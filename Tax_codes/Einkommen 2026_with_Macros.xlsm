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Working_drive\Bank statements\"/>
    </mc:Choice>
  </mc:AlternateContent>
  <xr:revisionPtr revIDLastSave="0" documentId="13_ncr:1_{8AC4ADB3-0656-44C5-80B0-F6947F4BFAE0}" xr6:coauthVersionLast="47" xr6:coauthVersionMax="47" xr10:uidLastSave="{00000000-0000-0000-0000-000000000000}"/>
  <bookViews>
    <workbookView xWindow="28680" yWindow="-120" windowWidth="29040" windowHeight="15720" firstSheet="4" activeTab="4" xr2:uid="{00000000-000D-0000-FFFF-FFFF00000000}"/>
  </bookViews>
  <sheets>
    <sheet name="2018" sheetId="1" state="hidden" r:id="rId1"/>
    <sheet name="2020" sheetId="2" state="hidden" r:id="rId2"/>
    <sheet name="Zusammenfassung" sheetId="4" r:id="rId3"/>
    <sheet name="SARS" sheetId="21" r:id="rId4"/>
    <sheet name="Einnahmen Ausgaben" sheetId="3" r:id="rId5"/>
    <sheet name="ImportSheet" sheetId="22" r:id="rId6"/>
    <sheet name="DE 2025" sheetId="19" state="hidden" r:id="rId7"/>
    <sheet name="UK 24_25" sheetId="20" r:id="rId8"/>
    <sheet name="DE 2024" sheetId="5" state="hidden" r:id="rId9"/>
    <sheet name="DE 2023" sheetId="6" state="hidden" r:id="rId10"/>
    <sheet name="UK 23_24" sheetId="7" state="hidden" r:id="rId11"/>
    <sheet name="Kopie von Zusammenfassung 1" sheetId="8" state="hidden" r:id="rId12"/>
    <sheet name="UK 2021" sheetId="9" state="hidden" r:id="rId13"/>
    <sheet name="UK 2022" sheetId="10" state="hidden" r:id="rId14"/>
    <sheet name="Day Counter" sheetId="11" state="hidden" r:id="rId15"/>
    <sheet name="Flights" sheetId="13" r:id="rId16"/>
    <sheet name="Conversion rates" sheetId="14" r:id="rId17"/>
    <sheet name="Invoices" sheetId="12" state="hidden" r:id="rId18"/>
    <sheet name="Korec invoices" sheetId="15" state="hidden" r:id="rId19"/>
    <sheet name="Kopie von Zusammenfassung" sheetId="16" state="hidden" r:id="rId20"/>
  </sheets>
  <definedNames>
    <definedName name="PndEur2">'Einnahmen Ausgaben'!$B$963</definedName>
    <definedName name="PndEur3">'Einnahmen Ausgaben'!$B$998</definedName>
    <definedName name="PndEur4">'Einnahmen Ausgaben'!$B$1030</definedName>
    <definedName name="PndEur5">'Einnahmen Ausgaben'!$B$1070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2" l="1"/>
  <c r="J2" i="22"/>
  <c r="K2" i="22"/>
  <c r="L2" i="22"/>
  <c r="M2" i="22"/>
  <c r="N2" i="22"/>
  <c r="O2" i="22"/>
  <c r="P2" i="22"/>
  <c r="Q2" i="22"/>
  <c r="R2" i="22"/>
  <c r="S2" i="22"/>
  <c r="T2" i="22"/>
  <c r="U2" i="22"/>
  <c r="V2" i="22"/>
  <c r="W2" i="22"/>
  <c r="X2" i="22"/>
  <c r="Y2" i="22"/>
  <c r="Z2" i="22"/>
  <c r="AA2" i="22"/>
  <c r="H2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E2" i="4"/>
  <c r="F2" i="4"/>
  <c r="G2" i="4"/>
  <c r="H2" i="4"/>
  <c r="I2" i="4"/>
  <c r="J2" i="4"/>
  <c r="K2" i="4"/>
  <c r="K2" i="19" s="1"/>
  <c r="L2" i="4"/>
  <c r="L2" i="19" s="1"/>
  <c r="M2" i="4"/>
  <c r="M2" i="19" s="1"/>
  <c r="N2" i="4"/>
  <c r="O2" i="4"/>
  <c r="P2" i="4"/>
  <c r="Q2" i="4"/>
  <c r="Q2" i="19" s="1"/>
  <c r="R2" i="4"/>
  <c r="S2" i="4"/>
  <c r="T2" i="4"/>
  <c r="U2" i="4"/>
  <c r="V2" i="4"/>
  <c r="W2" i="4"/>
  <c r="D2" i="4"/>
  <c r="I23" i="21"/>
  <c r="I22" i="21"/>
  <c r="G23" i="21"/>
  <c r="G22" i="21"/>
  <c r="E22" i="21"/>
  <c r="E23" i="21"/>
  <c r="K15" i="21"/>
  <c r="K14" i="21"/>
  <c r="J15" i="21"/>
  <c r="J14" i="21"/>
  <c r="I15" i="21"/>
  <c r="I14" i="21"/>
  <c r="I19" i="21" s="1"/>
  <c r="H15" i="21"/>
  <c r="H14" i="21"/>
  <c r="G15" i="21"/>
  <c r="G14" i="21"/>
  <c r="F15" i="21"/>
  <c r="F14" i="21"/>
  <c r="E15" i="21"/>
  <c r="E14" i="21"/>
  <c r="D15" i="21"/>
  <c r="D14" i="21"/>
  <c r="H51" i="14"/>
  <c r="H43" i="14"/>
  <c r="H39" i="14"/>
  <c r="H31" i="14"/>
  <c r="H27" i="14"/>
  <c r="H19" i="14"/>
  <c r="H15" i="14"/>
  <c r="H7" i="14"/>
  <c r="F51" i="14"/>
  <c r="F43" i="14"/>
  <c r="F39" i="14"/>
  <c r="F31" i="14"/>
  <c r="F27" i="14"/>
  <c r="F19" i="14"/>
  <c r="F15" i="14"/>
  <c r="F7" i="14"/>
  <c r="C15" i="14"/>
  <c r="C7" i="14"/>
  <c r="J11" i="21"/>
  <c r="I11" i="21"/>
  <c r="H11" i="21"/>
  <c r="H19" i="21" s="1"/>
  <c r="G11" i="21"/>
  <c r="F11" i="21"/>
  <c r="G9" i="21"/>
  <c r="F9" i="21"/>
  <c r="F32" i="21"/>
  <c r="F33" i="21"/>
  <c r="F31" i="21"/>
  <c r="J9" i="21"/>
  <c r="I9" i="21"/>
  <c r="H9" i="21"/>
  <c r="D8" i="21"/>
  <c r="D9" i="21" s="1"/>
  <c r="E6" i="21"/>
  <c r="D6" i="21"/>
  <c r="Q26" i="13"/>
  <c r="Q25" i="13"/>
  <c r="Q27" i="13"/>
  <c r="R27" i="13"/>
  <c r="L27" i="13"/>
  <c r="P27" i="13"/>
  <c r="O27" i="13"/>
  <c r="Y930" i="3"/>
  <c r="X1139" i="3"/>
  <c r="X1136" i="3"/>
  <c r="X1135" i="3"/>
  <c r="Y1121" i="3"/>
  <c r="X1121" i="3"/>
  <c r="Y1235" i="3"/>
  <c r="X1235" i="3"/>
  <c r="Y1231" i="3"/>
  <c r="X1231" i="3"/>
  <c r="Y1227" i="3"/>
  <c r="X1227" i="3"/>
  <c r="Y1191" i="3"/>
  <c r="X1191" i="3"/>
  <c r="Y1187" i="3"/>
  <c r="X1187" i="3"/>
  <c r="Y1185" i="3"/>
  <c r="X1185" i="3"/>
  <c r="Y1150" i="3"/>
  <c r="X1150" i="3"/>
  <c r="Y1147" i="3"/>
  <c r="X1147" i="3"/>
  <c r="Y1145" i="3"/>
  <c r="X1145" i="3"/>
  <c r="Y1117" i="3"/>
  <c r="X1117" i="3"/>
  <c r="Y1113" i="3"/>
  <c r="X1113" i="3"/>
  <c r="Y1074" i="3"/>
  <c r="X1074" i="3"/>
  <c r="Y1071" i="3"/>
  <c r="X1071" i="3"/>
  <c r="Y1070" i="3"/>
  <c r="X1070" i="3"/>
  <c r="Y1038" i="3"/>
  <c r="X1038" i="3"/>
  <c r="Y1033" i="3"/>
  <c r="X1033" i="3"/>
  <c r="Y1032" i="3"/>
  <c r="X1032" i="3"/>
  <c r="Y1002" i="3"/>
  <c r="X1002" i="3"/>
  <c r="Y1000" i="3"/>
  <c r="X1000" i="3"/>
  <c r="Y998" i="3"/>
  <c r="X998" i="3"/>
  <c r="Y967" i="3"/>
  <c r="X967" i="3"/>
  <c r="Y965" i="3"/>
  <c r="X965" i="3"/>
  <c r="Y963" i="3"/>
  <c r="X963" i="3"/>
  <c r="Y937" i="3"/>
  <c r="X937" i="3"/>
  <c r="Y933" i="3"/>
  <c r="X933" i="3"/>
  <c r="Y931" i="3"/>
  <c r="X931" i="3"/>
  <c r="X930" i="3"/>
  <c r="Y1314" i="3"/>
  <c r="X1314" i="3"/>
  <c r="Y1308" i="3"/>
  <c r="X1308" i="3"/>
  <c r="Y1307" i="3"/>
  <c r="X1307" i="3"/>
  <c r="Y1275" i="3"/>
  <c r="X1275" i="3"/>
  <c r="Y1271" i="3"/>
  <c r="X1271" i="3"/>
  <c r="Y1269" i="3"/>
  <c r="X1269" i="3"/>
  <c r="Y1324" i="3"/>
  <c r="Y1322" i="3"/>
  <c r="Y1313" i="3"/>
  <c r="X1313" i="3"/>
  <c r="Y1285" i="3"/>
  <c r="Y1282" i="3"/>
  <c r="Y1274" i="3"/>
  <c r="X1274" i="3"/>
  <c r="Y1245" i="3"/>
  <c r="X1245" i="3"/>
  <c r="Y1243" i="3"/>
  <c r="Y1234" i="3"/>
  <c r="X1234" i="3"/>
  <c r="Y1199" i="3"/>
  <c r="X1199" i="3"/>
  <c r="Y1190" i="3"/>
  <c r="X1190" i="3"/>
  <c r="Y1159" i="3"/>
  <c r="X1159" i="3"/>
  <c r="Y1158" i="3"/>
  <c r="X1158" i="3"/>
  <c r="Y1155" i="3"/>
  <c r="X1155" i="3"/>
  <c r="Y1140" i="3"/>
  <c r="X1140" i="3"/>
  <c r="Y1138" i="3"/>
  <c r="X1138" i="3"/>
  <c r="Y1125" i="3"/>
  <c r="X1125" i="3"/>
  <c r="Y1123" i="3"/>
  <c r="X1123" i="3"/>
  <c r="Y1116" i="3"/>
  <c r="X1116" i="3"/>
  <c r="Y1090" i="3"/>
  <c r="X1090" i="3"/>
  <c r="Y1083" i="3"/>
  <c r="X1083" i="3"/>
  <c r="Y1082" i="3"/>
  <c r="X1082" i="3"/>
  <c r="Y1081" i="3"/>
  <c r="X1081" i="3"/>
  <c r="Y1079" i="3"/>
  <c r="X1079" i="3"/>
  <c r="Y1045" i="3"/>
  <c r="X1045" i="3"/>
  <c r="Y1043" i="3"/>
  <c r="X1043" i="3"/>
  <c r="Y1008" i="3"/>
  <c r="X1008" i="3"/>
  <c r="Y1006" i="3"/>
  <c r="X1006" i="3"/>
  <c r="Y975" i="3"/>
  <c r="X975" i="3"/>
  <c r="Y973" i="3"/>
  <c r="X973" i="3"/>
  <c r="Y944" i="3"/>
  <c r="X944" i="3"/>
  <c r="X940" i="3"/>
  <c r="Y940" i="3"/>
  <c r="Y939" i="3"/>
  <c r="X939" i="3"/>
  <c r="Y1059" i="3"/>
  <c r="X1059" i="3"/>
  <c r="Y1277" i="3"/>
  <c r="X1277" i="3"/>
  <c r="Y1316" i="3"/>
  <c r="X1316" i="3"/>
  <c r="Y1255" i="3"/>
  <c r="X1255" i="3"/>
  <c r="Y1237" i="3"/>
  <c r="X1237" i="3"/>
  <c r="Y1215" i="3"/>
  <c r="X1215" i="3"/>
  <c r="Y1214" i="3"/>
  <c r="X1214" i="3"/>
  <c r="Y1193" i="3"/>
  <c r="X1193" i="3"/>
  <c r="Y1152" i="3"/>
  <c r="X1152" i="3"/>
  <c r="Y1119" i="3"/>
  <c r="X1119" i="3"/>
  <c r="Y1089" i="3"/>
  <c r="X1089" i="3"/>
  <c r="Y1076" i="3"/>
  <c r="X1076" i="3"/>
  <c r="Y1041" i="3"/>
  <c r="X1041" i="3"/>
  <c r="Y1015" i="3"/>
  <c r="X1015" i="3"/>
  <c r="Y989" i="3"/>
  <c r="X989" i="3"/>
  <c r="Y988" i="3"/>
  <c r="X988" i="3"/>
  <c r="Y972" i="3"/>
  <c r="X972" i="3"/>
  <c r="Y941" i="3"/>
  <c r="X941" i="3"/>
  <c r="Y1296" i="3"/>
  <c r="X1296" i="3"/>
  <c r="Y1249" i="3"/>
  <c r="Y1205" i="3"/>
  <c r="X1205" i="3"/>
  <c r="Y1173" i="3"/>
  <c r="X1173" i="3"/>
  <c r="X987" i="3"/>
  <c r="Y987" i="3"/>
  <c r="Y986" i="3"/>
  <c r="X986" i="3"/>
  <c r="Y1293" i="3"/>
  <c r="Y1292" i="3"/>
  <c r="X1292" i="3"/>
  <c r="Y1263" i="3"/>
  <c r="X1263" i="3"/>
  <c r="Y1217" i="3"/>
  <c r="X1217" i="3"/>
  <c r="Y1212" i="3"/>
  <c r="X1212" i="3"/>
  <c r="Y1172" i="3"/>
  <c r="X1172" i="3"/>
  <c r="Y1169" i="3"/>
  <c r="Y1167" i="3"/>
  <c r="Y1165" i="3"/>
  <c r="X1165" i="3"/>
  <c r="Y1164" i="3"/>
  <c r="X1164" i="3"/>
  <c r="Y1132" i="3"/>
  <c r="Y1130" i="3"/>
  <c r="X1130" i="3"/>
  <c r="Y1129" i="3"/>
  <c r="X1129" i="3"/>
  <c r="Y1106" i="3"/>
  <c r="Y1103" i="3"/>
  <c r="X1103" i="3"/>
  <c r="Y1063" i="3"/>
  <c r="Y1016" i="3"/>
  <c r="Y1014" i="3"/>
  <c r="Y1013" i="3"/>
  <c r="Y992" i="3"/>
  <c r="X992" i="3"/>
  <c r="Y954" i="3"/>
  <c r="X954" i="3"/>
  <c r="Y1332" i="3"/>
  <c r="X1332" i="3"/>
  <c r="Y1309" i="3"/>
  <c r="Y1272" i="3"/>
  <c r="Y1229" i="3"/>
  <c r="Y1216" i="3"/>
  <c r="Y1206" i="3"/>
  <c r="Y1188" i="3"/>
  <c r="X1188" i="3"/>
  <c r="Y1148" i="3"/>
  <c r="X1148" i="3"/>
  <c r="Y1115" i="3"/>
  <c r="X1115" i="3"/>
  <c r="Y1073" i="3"/>
  <c r="X1073" i="3"/>
  <c r="Y1035" i="3"/>
  <c r="Y1001" i="3"/>
  <c r="Y966" i="3"/>
  <c r="Y934" i="3"/>
  <c r="Y1305" i="3"/>
  <c r="X1305" i="3"/>
  <c r="Y1295" i="3"/>
  <c r="X1295" i="3"/>
  <c r="Y1289" i="3"/>
  <c r="X1289" i="3"/>
  <c r="Y1270" i="3"/>
  <c r="X1270" i="3"/>
  <c r="Y1261" i="3"/>
  <c r="X1261" i="3"/>
  <c r="Y1260" i="3"/>
  <c r="X1260" i="3"/>
  <c r="Y1259" i="3"/>
  <c r="X1259" i="3"/>
  <c r="Y1258" i="3"/>
  <c r="X1258" i="3"/>
  <c r="Y1256" i="3"/>
  <c r="X1256" i="3"/>
  <c r="Y1253" i="3"/>
  <c r="X1253" i="3"/>
  <c r="Y1252" i="3"/>
  <c r="X1252" i="3"/>
  <c r="Y1228" i="3"/>
  <c r="X1228" i="3"/>
  <c r="Y1222" i="3"/>
  <c r="X1222" i="3"/>
  <c r="Y1221" i="3"/>
  <c r="X1221" i="3"/>
  <c r="Y1220" i="3"/>
  <c r="X1220" i="3"/>
  <c r="Y1209" i="3"/>
  <c r="X1209" i="3"/>
  <c r="Y1186" i="3"/>
  <c r="X1186" i="3"/>
  <c r="Y1178" i="3"/>
  <c r="X1178" i="3"/>
  <c r="Y1171" i="3"/>
  <c r="X1171" i="3"/>
  <c r="Y1166" i="3"/>
  <c r="X1166" i="3"/>
  <c r="Y1163" i="3"/>
  <c r="X1163" i="3"/>
  <c r="Y1146" i="3"/>
  <c r="X1146" i="3"/>
  <c r="Y1134" i="3"/>
  <c r="X1134" i="3"/>
  <c r="Y1133" i="3"/>
  <c r="X1133" i="3"/>
  <c r="Y1114" i="3"/>
  <c r="X1114" i="3"/>
  <c r="Y1100" i="3"/>
  <c r="X1100" i="3"/>
  <c r="Y1072" i="3"/>
  <c r="X1072" i="3"/>
  <c r="Y1065" i="3"/>
  <c r="Y1062" i="3"/>
  <c r="X1062" i="3"/>
  <c r="Y1060" i="3"/>
  <c r="X1060" i="3"/>
  <c r="Y1052" i="3"/>
  <c r="X1052" i="3"/>
  <c r="Y1050" i="3"/>
  <c r="X1050" i="3"/>
  <c r="Y1034" i="3"/>
  <c r="X1034" i="3"/>
  <c r="Y1021" i="3"/>
  <c r="X1021" i="3"/>
  <c r="Y1020" i="3"/>
  <c r="X1020" i="3"/>
  <c r="Y999" i="3"/>
  <c r="X999" i="3"/>
  <c r="Y991" i="3"/>
  <c r="X991" i="3"/>
  <c r="Y990" i="3"/>
  <c r="X990" i="3"/>
  <c r="Y980" i="3"/>
  <c r="X980" i="3"/>
  <c r="Y964" i="3"/>
  <c r="X964" i="3"/>
  <c r="Y957" i="3"/>
  <c r="X957" i="3"/>
  <c r="Y951" i="3"/>
  <c r="X951" i="3"/>
  <c r="Y950" i="3"/>
  <c r="X950" i="3"/>
  <c r="Y949" i="3"/>
  <c r="X949" i="3"/>
  <c r="Y932" i="3"/>
  <c r="X932" i="3"/>
  <c r="Y1336" i="3"/>
  <c r="X1336" i="3"/>
  <c r="Y1334" i="3"/>
  <c r="X1334" i="3"/>
  <c r="Y1333" i="3"/>
  <c r="X1333" i="3"/>
  <c r="Y1331" i="3"/>
  <c r="X1331" i="3"/>
  <c r="Y1294" i="3"/>
  <c r="X1294" i="3"/>
  <c r="Y1257" i="3"/>
  <c r="X1257" i="3"/>
  <c r="Y1218" i="3"/>
  <c r="X1218" i="3"/>
  <c r="Y1211" i="3"/>
  <c r="X1211" i="3"/>
  <c r="Y1210" i="3"/>
  <c r="X1210" i="3"/>
  <c r="Y1177" i="3"/>
  <c r="X1177" i="3"/>
  <c r="Y1175" i="3"/>
  <c r="X1175" i="3"/>
  <c r="Y1170" i="3"/>
  <c r="X1170" i="3"/>
  <c r="Y1091" i="3"/>
  <c r="X1091" i="3"/>
  <c r="Y1064" i="3"/>
  <c r="X1064" i="3"/>
  <c r="Y1057" i="3"/>
  <c r="X1057" i="3"/>
  <c r="Y1051" i="3"/>
  <c r="X1051" i="3"/>
  <c r="Y1026" i="3"/>
  <c r="X1026" i="3"/>
  <c r="Y983" i="3"/>
  <c r="X983" i="3"/>
  <c r="Y982" i="3"/>
  <c r="X982" i="3"/>
  <c r="Y981" i="3"/>
  <c r="X981" i="3"/>
  <c r="Y956" i="3"/>
  <c r="X956" i="3"/>
  <c r="Y1321" i="3"/>
  <c r="X1321" i="3"/>
  <c r="Y1320" i="3"/>
  <c r="X1320" i="3"/>
  <c r="Y1318" i="3"/>
  <c r="X1318" i="3"/>
  <c r="Y1317" i="3"/>
  <c r="X1317" i="3"/>
  <c r="Y1312" i="3"/>
  <c r="X1312" i="3"/>
  <c r="Y1306" i="3"/>
  <c r="X1306" i="3"/>
  <c r="Y1281" i="3"/>
  <c r="X1281" i="3"/>
  <c r="Y1280" i="3"/>
  <c r="X1280" i="3"/>
  <c r="Y1278" i="3"/>
  <c r="X1278" i="3"/>
  <c r="Y1273" i="3"/>
  <c r="X1273" i="3"/>
  <c r="Y1254" i="3"/>
  <c r="X1254" i="3"/>
  <c r="Y1242" i="3"/>
  <c r="X1242" i="3"/>
  <c r="Y1240" i="3"/>
  <c r="X1240" i="3"/>
  <c r="Y1238" i="3"/>
  <c r="X1238" i="3"/>
  <c r="Y1198" i="3"/>
  <c r="X1198" i="3"/>
  <c r="Y1197" i="3"/>
  <c r="X1197" i="3"/>
  <c r="Y1195" i="3"/>
  <c r="X1195" i="3"/>
  <c r="Y1194" i="3"/>
  <c r="X1194" i="3"/>
  <c r="Y1189" i="3"/>
  <c r="X1189" i="3"/>
  <c r="Y1157" i="3"/>
  <c r="X1157" i="3"/>
  <c r="Y1156" i="3"/>
  <c r="X1156" i="3"/>
  <c r="Y1153" i="3"/>
  <c r="X1153" i="3"/>
  <c r="Y1149" i="3"/>
  <c r="X1149" i="3"/>
  <c r="Y1126" i="3"/>
  <c r="X1126" i="3"/>
  <c r="Y1122" i="3"/>
  <c r="X1122" i="3"/>
  <c r="Y1120" i="3"/>
  <c r="X1120" i="3"/>
  <c r="Y1111" i="3"/>
  <c r="X1111" i="3"/>
  <c r="Y1078" i="3"/>
  <c r="X1078" i="3"/>
  <c r="Y1077" i="3"/>
  <c r="X1077" i="3"/>
  <c r="Y1044" i="3"/>
  <c r="X1044" i="3"/>
  <c r="Y1040" i="3"/>
  <c r="X1040" i="3"/>
  <c r="Y1036" i="3"/>
  <c r="X1036" i="3"/>
  <c r="Y1030" i="3"/>
  <c r="X1030" i="3"/>
  <c r="Y1007" i="3"/>
  <c r="X1007" i="3"/>
  <c r="Y1004" i="3"/>
  <c r="X1004" i="3"/>
  <c r="Y974" i="3"/>
  <c r="X974" i="3"/>
  <c r="Y970" i="3"/>
  <c r="X970" i="3"/>
  <c r="Y969" i="3"/>
  <c r="X969" i="3"/>
  <c r="Y943" i="3"/>
  <c r="X943" i="3"/>
  <c r="Y942" i="3"/>
  <c r="X942" i="3"/>
  <c r="Y935" i="3"/>
  <c r="X935" i="3"/>
  <c r="Y1319" i="3"/>
  <c r="X1319" i="3"/>
  <c r="Y1279" i="3"/>
  <c r="X1279" i="3"/>
  <c r="Y1239" i="3"/>
  <c r="X1239" i="3"/>
  <c r="Y1196" i="3"/>
  <c r="X1196" i="3"/>
  <c r="Y1154" i="3"/>
  <c r="X1154" i="3"/>
  <c r="Y1080" i="3"/>
  <c r="X1080" i="3"/>
  <c r="Y1042" i="3"/>
  <c r="X1042" i="3"/>
  <c r="Y1005" i="3"/>
  <c r="X1005" i="3"/>
  <c r="Y971" i="3"/>
  <c r="X971" i="3"/>
  <c r="Y938" i="3"/>
  <c r="X938" i="3"/>
  <c r="Y1315" i="3"/>
  <c r="X1315" i="3"/>
  <c r="Y1276" i="3"/>
  <c r="X1276" i="3"/>
  <c r="Y1236" i="3"/>
  <c r="X1236" i="3"/>
  <c r="Y1192" i="3"/>
  <c r="X1192" i="3"/>
  <c r="Y1151" i="3"/>
  <c r="X1151" i="3"/>
  <c r="Y1118" i="3"/>
  <c r="X1118" i="3"/>
  <c r="Y1075" i="3"/>
  <c r="X1075" i="3"/>
  <c r="Y1039" i="3"/>
  <c r="X1039" i="3"/>
  <c r="Y1003" i="3"/>
  <c r="X1003" i="3"/>
  <c r="Y968" i="3"/>
  <c r="X968" i="3"/>
  <c r="X936" i="3"/>
  <c r="X945" i="3"/>
  <c r="X958" i="3"/>
  <c r="X976" i="3"/>
  <c r="X1009" i="3"/>
  <c r="X1023" i="3"/>
  <c r="X1024" i="3"/>
  <c r="X1046" i="3"/>
  <c r="X1055" i="3"/>
  <c r="X1056" i="3"/>
  <c r="X1058" i="3"/>
  <c r="X1084" i="3"/>
  <c r="X1098" i="3"/>
  <c r="X1102" i="3"/>
  <c r="X1104" i="3"/>
  <c r="X1124" i="3"/>
  <c r="X1131" i="3"/>
  <c r="X1137" i="3"/>
  <c r="X1160" i="3"/>
  <c r="X1174" i="3"/>
  <c r="X1204" i="3"/>
  <c r="X1200" i="3"/>
  <c r="X1244" i="3"/>
  <c r="X1250" i="3"/>
  <c r="X1283" i="3"/>
  <c r="X1291" i="3"/>
  <c r="X1323" i="3"/>
  <c r="X1328" i="3"/>
  <c r="X953" i="3"/>
  <c r="X952" i="3"/>
  <c r="X955" i="3"/>
  <c r="X984" i="3"/>
  <c r="X1022" i="3"/>
  <c r="X1025" i="3"/>
  <c r="X1054" i="3"/>
  <c r="X1061" i="3"/>
  <c r="X1088" i="3"/>
  <c r="X1101" i="3"/>
  <c r="X1105" i="3"/>
  <c r="X1107" i="3"/>
  <c r="X1176" i="3"/>
  <c r="X1179" i="3"/>
  <c r="X1219" i="3"/>
  <c r="X1251" i="3"/>
  <c r="X1264" i="3"/>
  <c r="X1298" i="3"/>
  <c r="X1299" i="3"/>
  <c r="X1330" i="3"/>
  <c r="X1337" i="3"/>
  <c r="X1340" i="3"/>
  <c r="X1339" i="3"/>
  <c r="Y936" i="3"/>
  <c r="Y1297" i="3"/>
  <c r="X1297" i="3"/>
  <c r="Y1208" i="3"/>
  <c r="Y1207" i="3"/>
  <c r="X1207" i="3"/>
  <c r="J99" i="13"/>
  <c r="I30" i="13"/>
  <c r="G14" i="20"/>
  <c r="G16" i="20"/>
  <c r="G18" i="20"/>
  <c r="G23" i="20"/>
  <c r="J107" i="13"/>
  <c r="I106" i="13"/>
  <c r="J105" i="13"/>
  <c r="J103" i="13"/>
  <c r="I102" i="13"/>
  <c r="J101" i="13"/>
  <c r="J97" i="13"/>
  <c r="I96" i="13"/>
  <c r="J95" i="13"/>
  <c r="J93" i="13"/>
  <c r="I92" i="13"/>
  <c r="J91" i="13"/>
  <c r="I90" i="13"/>
  <c r="J89" i="13"/>
  <c r="J87" i="13"/>
  <c r="I86" i="13"/>
  <c r="I84" i="13"/>
  <c r="J83" i="13"/>
  <c r="I82" i="13"/>
  <c r="J81" i="13"/>
  <c r="I80" i="13"/>
  <c r="J78" i="13"/>
  <c r="J77" i="13"/>
  <c r="I76" i="13"/>
  <c r="J75" i="13"/>
  <c r="I74" i="13"/>
  <c r="I70" i="13"/>
  <c r="J69" i="13"/>
  <c r="I68" i="13"/>
  <c r="I66" i="13"/>
  <c r="J65" i="13"/>
  <c r="I64" i="13"/>
  <c r="I62" i="13"/>
  <c r="J61" i="13"/>
  <c r="I60" i="13"/>
  <c r="J59" i="13"/>
  <c r="I58" i="13"/>
  <c r="J57" i="13"/>
  <c r="I56" i="13"/>
  <c r="J55" i="13"/>
  <c r="I54" i="13"/>
  <c r="I52" i="13"/>
  <c r="I46" i="13"/>
  <c r="J45" i="13"/>
  <c r="I44" i="13"/>
  <c r="J43" i="13"/>
  <c r="I42" i="13"/>
  <c r="I40" i="13"/>
  <c r="J39" i="13"/>
  <c r="I38" i="13"/>
  <c r="J37" i="13"/>
  <c r="I36" i="13"/>
  <c r="J33" i="13"/>
  <c r="I32" i="13"/>
  <c r="J31" i="13"/>
  <c r="J27" i="13"/>
  <c r="I26" i="13"/>
  <c r="I24" i="13"/>
  <c r="J23" i="13"/>
  <c r="I22" i="13"/>
  <c r="J21" i="13"/>
  <c r="I20" i="13"/>
  <c r="N16" i="20"/>
  <c r="D12" i="20"/>
  <c r="C5" i="20"/>
  <c r="C4" i="20"/>
  <c r="X1" i="20"/>
  <c r="I8" i="19"/>
  <c r="M8" i="19"/>
  <c r="N8" i="19"/>
  <c r="P8" i="19"/>
  <c r="R8" i="19"/>
  <c r="I9" i="19"/>
  <c r="M9" i="19"/>
  <c r="N9" i="19"/>
  <c r="P9" i="19"/>
  <c r="R9" i="19"/>
  <c r="H9" i="19"/>
  <c r="H8" i="19"/>
  <c r="G87" i="19"/>
  <c r="G52" i="19"/>
  <c r="G47" i="19"/>
  <c r="I32" i="19"/>
  <c r="I33" i="19" s="1"/>
  <c r="I35" i="19" s="1"/>
  <c r="G30" i="19"/>
  <c r="G23" i="19"/>
  <c r="C9" i="19"/>
  <c r="C8" i="19"/>
  <c r="C5" i="19"/>
  <c r="C4" i="19"/>
  <c r="S2" i="19"/>
  <c r="R2" i="19"/>
  <c r="P2" i="19"/>
  <c r="O2" i="19"/>
  <c r="N2" i="19"/>
  <c r="J2" i="19"/>
  <c r="I2" i="19"/>
  <c r="H2" i="19"/>
  <c r="H37" i="4"/>
  <c r="H38" i="4" s="1"/>
  <c r="H5" i="19" s="1"/>
  <c r="B36" i="4"/>
  <c r="B5" i="19" s="1"/>
  <c r="B9" i="19" s="1"/>
  <c r="B31" i="4"/>
  <c r="B5" i="20" s="1"/>
  <c r="B26" i="4"/>
  <c r="B4" i="20" s="1"/>
  <c r="C51" i="14"/>
  <c r="C36" i="4" s="1"/>
  <c r="I40" i="4" s="1"/>
  <c r="C43" i="14"/>
  <c r="C31" i="4" s="1"/>
  <c r="R35" i="4" s="1"/>
  <c r="R5" i="20" s="1"/>
  <c r="E8" i="3"/>
  <c r="E32" i="4" s="1"/>
  <c r="AA32" i="4" s="1"/>
  <c r="F8" i="3"/>
  <c r="F32" i="4" s="1"/>
  <c r="H8" i="3"/>
  <c r="H32" i="4" s="1"/>
  <c r="I8" i="3"/>
  <c r="I32" i="4" s="1"/>
  <c r="I33" i="4" s="1"/>
  <c r="I4" i="19" s="1"/>
  <c r="J8" i="3"/>
  <c r="J32" i="4" s="1"/>
  <c r="K8" i="3"/>
  <c r="K32" i="4" s="1"/>
  <c r="L8" i="3"/>
  <c r="L32" i="4" s="1"/>
  <c r="M8" i="3"/>
  <c r="M32" i="4" s="1"/>
  <c r="M33" i="4" s="1"/>
  <c r="M4" i="19" s="1"/>
  <c r="N8" i="3"/>
  <c r="O8" i="3"/>
  <c r="O32" i="4" s="1"/>
  <c r="P8" i="3"/>
  <c r="P32" i="4" s="1"/>
  <c r="P33" i="4" s="1"/>
  <c r="P4" i="19" s="1"/>
  <c r="Q8" i="3"/>
  <c r="Q32" i="4" s="1"/>
  <c r="R8" i="3"/>
  <c r="R32" i="4" s="1"/>
  <c r="R33" i="4" s="1"/>
  <c r="R4" i="19" s="1"/>
  <c r="S8" i="3"/>
  <c r="T8" i="3"/>
  <c r="T32" i="4" s="1"/>
  <c r="U8" i="3"/>
  <c r="U32" i="4" s="1"/>
  <c r="V8" i="3"/>
  <c r="V32" i="4" s="1"/>
  <c r="W8" i="3"/>
  <c r="W32" i="4" s="1"/>
  <c r="E9" i="3"/>
  <c r="F9" i="3"/>
  <c r="G9" i="3"/>
  <c r="G37" i="4" s="1"/>
  <c r="H9" i="3"/>
  <c r="I9" i="3"/>
  <c r="J9" i="3"/>
  <c r="J1843" i="3" s="1"/>
  <c r="K9" i="3"/>
  <c r="K1843" i="3" s="1"/>
  <c r="L9" i="3"/>
  <c r="M9" i="3"/>
  <c r="N9" i="3"/>
  <c r="N37" i="4" s="1"/>
  <c r="N38" i="4" s="1"/>
  <c r="N5" i="19" s="1"/>
  <c r="O9" i="3"/>
  <c r="O37" i="4" s="1"/>
  <c r="P9" i="3"/>
  <c r="P37" i="4" s="1"/>
  <c r="P38" i="4" s="1"/>
  <c r="P5" i="19" s="1"/>
  <c r="Q9" i="3"/>
  <c r="R9" i="3"/>
  <c r="R37" i="4" s="1"/>
  <c r="R38" i="4" s="1"/>
  <c r="R5" i="19" s="1"/>
  <c r="S9" i="3"/>
  <c r="S37" i="4" s="1"/>
  <c r="T9" i="3"/>
  <c r="T37" i="4" s="1"/>
  <c r="U9" i="3"/>
  <c r="V9" i="3"/>
  <c r="W9" i="3"/>
  <c r="D9" i="3"/>
  <c r="D8" i="3"/>
  <c r="D32" i="4" s="1"/>
  <c r="Z32" i="4" s="1"/>
  <c r="H927" i="3"/>
  <c r="Y1405" i="3"/>
  <c r="Y1382" i="3"/>
  <c r="Y1839" i="3"/>
  <c r="X1839" i="3"/>
  <c r="Y1838" i="3"/>
  <c r="X1838" i="3"/>
  <c r="Y1837" i="3"/>
  <c r="X1837" i="3"/>
  <c r="Y1836" i="3"/>
  <c r="X1836" i="3"/>
  <c r="Y1835" i="3"/>
  <c r="X1835" i="3"/>
  <c r="Y1834" i="3"/>
  <c r="X1834" i="3"/>
  <c r="X1833" i="3"/>
  <c r="Y1832" i="3"/>
  <c r="X1832" i="3"/>
  <c r="Y1831" i="3"/>
  <c r="X1831" i="3"/>
  <c r="Y1830" i="3"/>
  <c r="X1830" i="3"/>
  <c r="Y1829" i="3"/>
  <c r="X1829" i="3"/>
  <c r="Y1828" i="3"/>
  <c r="X1828" i="3"/>
  <c r="Y1827" i="3"/>
  <c r="X1827" i="3"/>
  <c r="Y1826" i="3"/>
  <c r="X1826" i="3"/>
  <c r="Y1825" i="3"/>
  <c r="X1825" i="3"/>
  <c r="Y1824" i="3"/>
  <c r="X1824" i="3"/>
  <c r="Y1823" i="3"/>
  <c r="X1823" i="3"/>
  <c r="Y1822" i="3"/>
  <c r="X1822" i="3"/>
  <c r="Y1821" i="3"/>
  <c r="X1821" i="3"/>
  <c r="Y1820" i="3"/>
  <c r="X1820" i="3"/>
  <c r="Y1819" i="3"/>
  <c r="X1819" i="3"/>
  <c r="Y1818" i="3"/>
  <c r="X1818" i="3"/>
  <c r="Y1817" i="3"/>
  <c r="X1817" i="3"/>
  <c r="Y1816" i="3"/>
  <c r="X1816" i="3"/>
  <c r="Y1815" i="3"/>
  <c r="X1815" i="3"/>
  <c r="Y1814" i="3"/>
  <c r="X1814" i="3"/>
  <c r="Y1813" i="3"/>
  <c r="X1813" i="3"/>
  <c r="X1812" i="3"/>
  <c r="X1811" i="3"/>
  <c r="X1810" i="3"/>
  <c r="Y1809" i="3"/>
  <c r="X1809" i="3"/>
  <c r="Y1808" i="3"/>
  <c r="X1808" i="3"/>
  <c r="Y1807" i="3"/>
  <c r="X1807" i="3"/>
  <c r="Y1806" i="3"/>
  <c r="X1806" i="3"/>
  <c r="Y1805" i="3"/>
  <c r="X1805" i="3"/>
  <c r="Y1804" i="3"/>
  <c r="X1804" i="3"/>
  <c r="Y1803" i="3"/>
  <c r="X1803" i="3"/>
  <c r="Y1800" i="3"/>
  <c r="X1800" i="3"/>
  <c r="Y1799" i="3"/>
  <c r="X1799" i="3"/>
  <c r="Y1798" i="3"/>
  <c r="X1798" i="3"/>
  <c r="Y1797" i="3"/>
  <c r="X1797" i="3"/>
  <c r="Y1796" i="3"/>
  <c r="X1796" i="3"/>
  <c r="Y1795" i="3"/>
  <c r="X1795" i="3"/>
  <c r="X1794" i="3"/>
  <c r="X1793" i="3"/>
  <c r="Y1792" i="3"/>
  <c r="X1792" i="3"/>
  <c r="Y1791" i="3"/>
  <c r="X1791" i="3"/>
  <c r="Y1790" i="3"/>
  <c r="X1790" i="3"/>
  <c r="X1789" i="3"/>
  <c r="Y1788" i="3"/>
  <c r="X1788" i="3"/>
  <c r="X1787" i="3"/>
  <c r="Y1786" i="3"/>
  <c r="X1786" i="3"/>
  <c r="Y1785" i="3"/>
  <c r="X1785" i="3"/>
  <c r="Y1784" i="3"/>
  <c r="X1784" i="3"/>
  <c r="Y1783" i="3"/>
  <c r="X1783" i="3"/>
  <c r="Y1782" i="3"/>
  <c r="X1782" i="3"/>
  <c r="Y1781" i="3"/>
  <c r="X1781" i="3"/>
  <c r="Y1780" i="3"/>
  <c r="X1780" i="3"/>
  <c r="Y1779" i="3"/>
  <c r="X1779" i="3"/>
  <c r="Y1778" i="3"/>
  <c r="X1778" i="3"/>
  <c r="Y1777" i="3"/>
  <c r="X1777" i="3"/>
  <c r="Y1776" i="3"/>
  <c r="X1776" i="3"/>
  <c r="Y1775" i="3"/>
  <c r="X1775" i="3"/>
  <c r="Y1774" i="3"/>
  <c r="X1774" i="3"/>
  <c r="Y1773" i="3"/>
  <c r="X1773" i="3"/>
  <c r="Y1772" i="3"/>
  <c r="X1772" i="3"/>
  <c r="Y1771" i="3"/>
  <c r="X1771" i="3"/>
  <c r="Y1770" i="3"/>
  <c r="X1770" i="3"/>
  <c r="X1769" i="3"/>
  <c r="Y1768" i="3"/>
  <c r="X1768" i="3"/>
  <c r="Y1767" i="3"/>
  <c r="X1767" i="3"/>
  <c r="Y1766" i="3"/>
  <c r="X1766" i="3"/>
  <c r="Y1765" i="3"/>
  <c r="X1765" i="3"/>
  <c r="Y1764" i="3"/>
  <c r="X1764" i="3"/>
  <c r="Y1763" i="3"/>
  <c r="X1763" i="3"/>
  <c r="Y1762" i="3"/>
  <c r="X1762" i="3"/>
  <c r="Y1761" i="3"/>
  <c r="X1761" i="3"/>
  <c r="Y1760" i="3"/>
  <c r="X1760" i="3"/>
  <c r="Y1757" i="3"/>
  <c r="X1757" i="3"/>
  <c r="Y1756" i="3"/>
  <c r="X1756" i="3"/>
  <c r="X1755" i="3"/>
  <c r="Y1754" i="3"/>
  <c r="X1754" i="3"/>
  <c r="Y1753" i="3"/>
  <c r="X1753" i="3"/>
  <c r="Y1752" i="3"/>
  <c r="X1752" i="3"/>
  <c r="Y1751" i="3"/>
  <c r="X1751" i="3"/>
  <c r="X1750" i="3"/>
  <c r="Y1749" i="3"/>
  <c r="X1749" i="3"/>
  <c r="Y1748" i="3"/>
  <c r="X1748" i="3"/>
  <c r="Y1747" i="3"/>
  <c r="X1747" i="3"/>
  <c r="Y1746" i="3"/>
  <c r="X1746" i="3"/>
  <c r="Y1745" i="3"/>
  <c r="X1745" i="3"/>
  <c r="Y1744" i="3"/>
  <c r="X1744" i="3"/>
  <c r="Y1743" i="3"/>
  <c r="X1743" i="3"/>
  <c r="Y1742" i="3"/>
  <c r="X1742" i="3"/>
  <c r="Y1741" i="3"/>
  <c r="X1741" i="3"/>
  <c r="Y1740" i="3"/>
  <c r="X1740" i="3"/>
  <c r="Y1739" i="3"/>
  <c r="X1739" i="3"/>
  <c r="Y1738" i="3"/>
  <c r="X1738" i="3"/>
  <c r="Y1737" i="3"/>
  <c r="X1737" i="3"/>
  <c r="X1736" i="3"/>
  <c r="X1735" i="3"/>
  <c r="Y1734" i="3"/>
  <c r="X1734" i="3"/>
  <c r="Y1733" i="3"/>
  <c r="X1733" i="3"/>
  <c r="Y1732" i="3"/>
  <c r="X1732" i="3"/>
  <c r="Y1731" i="3"/>
  <c r="X1731" i="3"/>
  <c r="X1730" i="3"/>
  <c r="Y1729" i="3"/>
  <c r="X1729" i="3"/>
  <c r="Y1728" i="3"/>
  <c r="X1728" i="3"/>
  <c r="Y1727" i="3"/>
  <c r="X1727" i="3"/>
  <c r="Y1724" i="3"/>
  <c r="X1724" i="3"/>
  <c r="X1723" i="3"/>
  <c r="Y1722" i="3"/>
  <c r="X1722" i="3"/>
  <c r="X1721" i="3"/>
  <c r="Y1720" i="3"/>
  <c r="X1720" i="3"/>
  <c r="Y1719" i="3"/>
  <c r="X1719" i="3"/>
  <c r="Y1718" i="3"/>
  <c r="X1718" i="3"/>
  <c r="Y1717" i="3"/>
  <c r="X1717" i="3"/>
  <c r="Y1716" i="3"/>
  <c r="X1716" i="3"/>
  <c r="X1715" i="3"/>
  <c r="Y1714" i="3"/>
  <c r="X1714" i="3"/>
  <c r="Y1713" i="3"/>
  <c r="X1713" i="3"/>
  <c r="Y1712" i="3"/>
  <c r="X1712" i="3"/>
  <c r="Y1711" i="3"/>
  <c r="X1711" i="3"/>
  <c r="Y1710" i="3"/>
  <c r="X1710" i="3"/>
  <c r="Y1709" i="3"/>
  <c r="X1709" i="3"/>
  <c r="Y1708" i="3"/>
  <c r="X1708" i="3"/>
  <c r="Y1707" i="3"/>
  <c r="X1707" i="3"/>
  <c r="Y1706" i="3"/>
  <c r="X1706" i="3"/>
  <c r="Y1705" i="3"/>
  <c r="X1705" i="3"/>
  <c r="Y1704" i="3"/>
  <c r="X1704" i="3"/>
  <c r="Y1703" i="3"/>
  <c r="X1703" i="3"/>
  <c r="Y1702" i="3"/>
  <c r="X1702" i="3"/>
  <c r="Y1701" i="3"/>
  <c r="X1701" i="3"/>
  <c r="Y1700" i="3"/>
  <c r="X1700" i="3"/>
  <c r="Y1699" i="3"/>
  <c r="X1699" i="3"/>
  <c r="Y1698" i="3"/>
  <c r="X1698" i="3"/>
  <c r="Y1697" i="3"/>
  <c r="X1697" i="3"/>
  <c r="Y1696" i="3"/>
  <c r="X1696" i="3"/>
  <c r="Y1695" i="3"/>
  <c r="X1695" i="3"/>
  <c r="Y1694" i="3"/>
  <c r="X1694" i="3"/>
  <c r="Y1693" i="3"/>
  <c r="X1693" i="3"/>
  <c r="X1692" i="3"/>
  <c r="Y1691" i="3"/>
  <c r="X1691" i="3"/>
  <c r="Y1690" i="3"/>
  <c r="X1690" i="3"/>
  <c r="Y1689" i="3"/>
  <c r="X1689" i="3"/>
  <c r="Y1688" i="3"/>
  <c r="X1688" i="3"/>
  <c r="Y1685" i="3"/>
  <c r="X1685" i="3"/>
  <c r="Y1684" i="3"/>
  <c r="X1684" i="3"/>
  <c r="Y1683" i="3"/>
  <c r="X1683" i="3"/>
  <c r="X1682" i="3"/>
  <c r="X1681" i="3"/>
  <c r="X1680" i="3"/>
  <c r="Y1679" i="3"/>
  <c r="X1679" i="3"/>
  <c r="Y1678" i="3"/>
  <c r="X1678" i="3"/>
  <c r="Y1677" i="3"/>
  <c r="X1677" i="3"/>
  <c r="Y1676" i="3"/>
  <c r="X1676" i="3"/>
  <c r="Y1675" i="3"/>
  <c r="X1675" i="3"/>
  <c r="Y1674" i="3"/>
  <c r="X1674" i="3"/>
  <c r="Y1673" i="3"/>
  <c r="X1673" i="3"/>
  <c r="Y1672" i="3"/>
  <c r="X1672" i="3"/>
  <c r="X1671" i="3"/>
  <c r="Y1670" i="3"/>
  <c r="X1670" i="3"/>
  <c r="Y1669" i="3"/>
  <c r="X1669" i="3"/>
  <c r="Y1668" i="3"/>
  <c r="X1668" i="3"/>
  <c r="X1667" i="3"/>
  <c r="X1666" i="3"/>
  <c r="Y1665" i="3"/>
  <c r="X1665" i="3"/>
  <c r="Y1664" i="3"/>
  <c r="X1664" i="3"/>
  <c r="Y1663" i="3"/>
  <c r="X1663" i="3"/>
  <c r="Y1662" i="3"/>
  <c r="X1662" i="3"/>
  <c r="Y1661" i="3"/>
  <c r="X1661" i="3"/>
  <c r="Y1660" i="3"/>
  <c r="X1660" i="3"/>
  <c r="Y1659" i="3"/>
  <c r="X1659" i="3"/>
  <c r="Y1658" i="3"/>
  <c r="X1658" i="3"/>
  <c r="Y1657" i="3"/>
  <c r="X1657" i="3"/>
  <c r="Y1656" i="3"/>
  <c r="X1656" i="3"/>
  <c r="Y1655" i="3"/>
  <c r="X1655" i="3"/>
  <c r="X1654" i="3"/>
  <c r="Y1653" i="3"/>
  <c r="X1653" i="3"/>
  <c r="X1652" i="3"/>
  <c r="X1651" i="3"/>
  <c r="Y1650" i="3"/>
  <c r="X1650" i="3"/>
  <c r="Y1649" i="3"/>
  <c r="X1649" i="3"/>
  <c r="Y1648" i="3"/>
  <c r="X1648" i="3"/>
  <c r="Y1647" i="3"/>
  <c r="X1647" i="3"/>
  <c r="Y1646" i="3"/>
  <c r="X1646" i="3"/>
  <c r="Y1645" i="3"/>
  <c r="X1645" i="3"/>
  <c r="Y1644" i="3"/>
  <c r="X1644" i="3"/>
  <c r="Y1643" i="3"/>
  <c r="X1643" i="3"/>
  <c r="X1640" i="3"/>
  <c r="Y1639" i="3"/>
  <c r="X1639" i="3"/>
  <c r="Y1638" i="3"/>
  <c r="X1638" i="3"/>
  <c r="X1637" i="3"/>
  <c r="Y1636" i="3"/>
  <c r="X1636" i="3"/>
  <c r="Y1635" i="3"/>
  <c r="X1635" i="3"/>
  <c r="Y1634" i="3"/>
  <c r="X1634" i="3"/>
  <c r="Y1633" i="3"/>
  <c r="X1633" i="3"/>
  <c r="Y1632" i="3"/>
  <c r="X1632" i="3"/>
  <c r="Y1631" i="3"/>
  <c r="X1631" i="3"/>
  <c r="Y1630" i="3"/>
  <c r="X1630" i="3"/>
  <c r="Y1629" i="3"/>
  <c r="X1629" i="3"/>
  <c r="Y1628" i="3"/>
  <c r="X1628" i="3"/>
  <c r="Y1627" i="3"/>
  <c r="X1627" i="3"/>
  <c r="Y1626" i="3"/>
  <c r="X1626" i="3"/>
  <c r="Y1625" i="3"/>
  <c r="X1625" i="3"/>
  <c r="Y1624" i="3"/>
  <c r="X1624" i="3"/>
  <c r="Y1623" i="3"/>
  <c r="X1623" i="3"/>
  <c r="Y1622" i="3"/>
  <c r="X1622" i="3"/>
  <c r="Y1621" i="3"/>
  <c r="X1621" i="3"/>
  <c r="Y1620" i="3"/>
  <c r="X1620" i="3"/>
  <c r="Y1619" i="3"/>
  <c r="X1619" i="3"/>
  <c r="Y1618" i="3"/>
  <c r="X1618" i="3"/>
  <c r="X1617" i="3"/>
  <c r="X1616" i="3"/>
  <c r="Y1615" i="3"/>
  <c r="X1615" i="3"/>
  <c r="X1614" i="3"/>
  <c r="Y1613" i="3"/>
  <c r="X1613" i="3"/>
  <c r="X1612" i="3"/>
  <c r="Y1611" i="3"/>
  <c r="X1611" i="3"/>
  <c r="Y1610" i="3"/>
  <c r="X1610" i="3"/>
  <c r="X1607" i="3"/>
  <c r="Y1606" i="3"/>
  <c r="X1606" i="3"/>
  <c r="Y1605" i="3"/>
  <c r="X1605" i="3"/>
  <c r="Y1604" i="3"/>
  <c r="X1604" i="3"/>
  <c r="Y1603" i="3"/>
  <c r="X1603" i="3"/>
  <c r="Y1602" i="3"/>
  <c r="X1602" i="3"/>
  <c r="Y1601" i="3"/>
  <c r="X1601" i="3"/>
  <c r="Y1600" i="3"/>
  <c r="X1600" i="3"/>
  <c r="Y1599" i="3"/>
  <c r="X1599" i="3"/>
  <c r="Y1598" i="3"/>
  <c r="X1598" i="3"/>
  <c r="Y1597" i="3"/>
  <c r="X1597" i="3"/>
  <c r="Y1596" i="3"/>
  <c r="X1596" i="3"/>
  <c r="Y1595" i="3"/>
  <c r="X1595" i="3"/>
  <c r="Y1594" i="3"/>
  <c r="X1594" i="3"/>
  <c r="Y1593" i="3"/>
  <c r="X1593" i="3"/>
  <c r="Y1592" i="3"/>
  <c r="X1592" i="3"/>
  <c r="Y1591" i="3"/>
  <c r="X1591" i="3"/>
  <c r="Y1590" i="3"/>
  <c r="X1590" i="3"/>
  <c r="Y1589" i="3"/>
  <c r="X1589" i="3"/>
  <c r="Y1588" i="3"/>
  <c r="X1588" i="3"/>
  <c r="Y1587" i="3"/>
  <c r="X1587" i="3"/>
  <c r="Y1586" i="3"/>
  <c r="X1586" i="3"/>
  <c r="Y1583" i="3"/>
  <c r="X1583" i="3"/>
  <c r="X1582" i="3"/>
  <c r="X1581" i="3"/>
  <c r="Y1580" i="3"/>
  <c r="X1580" i="3"/>
  <c r="X1579" i="3"/>
  <c r="Y1578" i="3"/>
  <c r="X1578" i="3"/>
  <c r="X1577" i="3"/>
  <c r="Y1576" i="3"/>
  <c r="X1576" i="3"/>
  <c r="Y1575" i="3"/>
  <c r="X1575" i="3"/>
  <c r="Y1574" i="3"/>
  <c r="X1574" i="3"/>
  <c r="Y1573" i="3"/>
  <c r="X1573" i="3"/>
  <c r="Y1572" i="3"/>
  <c r="X1572" i="3"/>
  <c r="Y1571" i="3"/>
  <c r="X1571" i="3"/>
  <c r="Y1570" i="3"/>
  <c r="X1570" i="3"/>
  <c r="Y1569" i="3"/>
  <c r="X1569" i="3"/>
  <c r="X1568" i="3"/>
  <c r="Y1567" i="3"/>
  <c r="X1567" i="3"/>
  <c r="X1566" i="3"/>
  <c r="X1565" i="3"/>
  <c r="Y1564" i="3"/>
  <c r="X1564" i="3"/>
  <c r="X1563" i="3"/>
  <c r="Y1562" i="3"/>
  <c r="X1562" i="3"/>
  <c r="X1561" i="3"/>
  <c r="Y1560" i="3"/>
  <c r="X1560" i="3"/>
  <c r="Y1559" i="3"/>
  <c r="X1559" i="3"/>
  <c r="Y1558" i="3"/>
  <c r="X1558" i="3"/>
  <c r="Y1557" i="3"/>
  <c r="X1557" i="3"/>
  <c r="X1556" i="3"/>
  <c r="Y1555" i="3"/>
  <c r="X1555" i="3"/>
  <c r="X1554" i="3"/>
  <c r="Y1553" i="3"/>
  <c r="X1553" i="3"/>
  <c r="Y1552" i="3"/>
  <c r="X1552" i="3"/>
  <c r="Y1551" i="3"/>
  <c r="X1551" i="3"/>
  <c r="Y1550" i="3"/>
  <c r="X1550" i="3"/>
  <c r="X1549" i="3"/>
  <c r="Y1548" i="3"/>
  <c r="X1548" i="3"/>
  <c r="Y1545" i="3"/>
  <c r="X1545" i="3"/>
  <c r="X1544" i="3"/>
  <c r="Y1543" i="3"/>
  <c r="X1543" i="3"/>
  <c r="Y1542" i="3"/>
  <c r="X1542" i="3"/>
  <c r="Y1541" i="3"/>
  <c r="X1541" i="3"/>
  <c r="X1540" i="3"/>
  <c r="Y1539" i="3"/>
  <c r="X1539" i="3"/>
  <c r="Y1538" i="3"/>
  <c r="X1538" i="3"/>
  <c r="Y1537" i="3"/>
  <c r="X1537" i="3"/>
  <c r="Y1536" i="3"/>
  <c r="X1536" i="3"/>
  <c r="Y1535" i="3"/>
  <c r="X1535" i="3"/>
  <c r="Y1534" i="3"/>
  <c r="X1534" i="3"/>
  <c r="Y1533" i="3"/>
  <c r="X1533" i="3"/>
  <c r="Y1532" i="3"/>
  <c r="X1532" i="3"/>
  <c r="Y1531" i="3"/>
  <c r="X1531" i="3"/>
  <c r="Y1530" i="3"/>
  <c r="X1530" i="3"/>
  <c r="Y1529" i="3"/>
  <c r="X1529" i="3"/>
  <c r="X1528" i="3"/>
  <c r="Y1527" i="3"/>
  <c r="X1527" i="3"/>
  <c r="Y1526" i="3"/>
  <c r="X1526" i="3"/>
  <c r="Y1525" i="3"/>
  <c r="X1525" i="3"/>
  <c r="Y1524" i="3"/>
  <c r="X1524" i="3"/>
  <c r="Y1523" i="3"/>
  <c r="X1523" i="3"/>
  <c r="Y1522" i="3"/>
  <c r="X1522" i="3"/>
  <c r="X1521" i="3"/>
  <c r="Y1520" i="3"/>
  <c r="X1520" i="3"/>
  <c r="Y1519" i="3"/>
  <c r="X1519" i="3"/>
  <c r="Y1518" i="3"/>
  <c r="X1518" i="3"/>
  <c r="X1517" i="3"/>
  <c r="Y1516" i="3"/>
  <c r="X1516" i="3"/>
  <c r="Y1514" i="3"/>
  <c r="X1514" i="3"/>
  <c r="Y1513" i="3"/>
  <c r="X1513" i="3"/>
  <c r="Y1512" i="3"/>
  <c r="X1512" i="3"/>
  <c r="Y1511" i="3"/>
  <c r="X1511" i="3"/>
  <c r="Y1510" i="3"/>
  <c r="X1510" i="3"/>
  <c r="Y1507" i="3"/>
  <c r="X1507" i="3"/>
  <c r="X1506" i="3"/>
  <c r="Y1505" i="3"/>
  <c r="X1505" i="3"/>
  <c r="Y1504" i="3"/>
  <c r="X1504" i="3"/>
  <c r="Y1503" i="3"/>
  <c r="X1503" i="3"/>
  <c r="Y1502" i="3"/>
  <c r="X1502" i="3"/>
  <c r="X1501" i="3"/>
  <c r="Y1500" i="3"/>
  <c r="X1500" i="3"/>
  <c r="Y1499" i="3"/>
  <c r="X1499" i="3"/>
  <c r="Y1498" i="3"/>
  <c r="X1498" i="3"/>
  <c r="Y1497" i="3"/>
  <c r="X1497" i="3"/>
  <c r="Y1496" i="3"/>
  <c r="X1496" i="3"/>
  <c r="Y1495" i="3"/>
  <c r="X1495" i="3"/>
  <c r="Y1494" i="3"/>
  <c r="X1494" i="3"/>
  <c r="Y1493" i="3"/>
  <c r="X1493" i="3"/>
  <c r="Y1492" i="3"/>
  <c r="X1492" i="3"/>
  <c r="Y1491" i="3"/>
  <c r="X1491" i="3"/>
  <c r="Y1490" i="3"/>
  <c r="X1490" i="3"/>
  <c r="Y1489" i="3"/>
  <c r="X1489" i="3"/>
  <c r="Y1488" i="3"/>
  <c r="X1488" i="3"/>
  <c r="Y1487" i="3"/>
  <c r="X1487" i="3"/>
  <c r="X1486" i="3"/>
  <c r="Y1485" i="3"/>
  <c r="X1485" i="3"/>
  <c r="Y1484" i="3"/>
  <c r="X1484" i="3"/>
  <c r="Y1483" i="3"/>
  <c r="X1483" i="3"/>
  <c r="X1482" i="3"/>
  <c r="Y1481" i="3"/>
  <c r="X1481" i="3"/>
  <c r="Y1480" i="3"/>
  <c r="X1480" i="3"/>
  <c r="Y1479" i="3"/>
  <c r="X1479" i="3"/>
  <c r="X1478" i="3"/>
  <c r="Y1477" i="3"/>
  <c r="X1477" i="3"/>
  <c r="X1476" i="3"/>
  <c r="Y1475" i="3"/>
  <c r="X1475" i="3"/>
  <c r="Y1474" i="3"/>
  <c r="X1474" i="3"/>
  <c r="Y1473" i="3"/>
  <c r="X1473" i="3"/>
  <c r="X1472" i="3"/>
  <c r="Y1471" i="3"/>
  <c r="X1471" i="3"/>
  <c r="Y1470" i="3"/>
  <c r="X1470" i="3"/>
  <c r="Y1469" i="3"/>
  <c r="X1469" i="3"/>
  <c r="Y1468" i="3"/>
  <c r="X1468" i="3"/>
  <c r="Y1467" i="3"/>
  <c r="X1467" i="3"/>
  <c r="X1464" i="3"/>
  <c r="Y1463" i="3"/>
  <c r="X1463" i="3"/>
  <c r="Y1462" i="3"/>
  <c r="X1462" i="3"/>
  <c r="X1461" i="3"/>
  <c r="Y1460" i="3"/>
  <c r="X1460" i="3"/>
  <c r="X1459" i="3"/>
  <c r="Y1458" i="3"/>
  <c r="X1458" i="3"/>
  <c r="Y1457" i="3"/>
  <c r="X1457" i="3"/>
  <c r="Y1456" i="3"/>
  <c r="X1456" i="3"/>
  <c r="Y1455" i="3"/>
  <c r="X1455" i="3"/>
  <c r="Y1454" i="3"/>
  <c r="X1454" i="3"/>
  <c r="Y1453" i="3"/>
  <c r="X1453" i="3"/>
  <c r="Y1452" i="3"/>
  <c r="X1452" i="3"/>
  <c r="Y1451" i="3"/>
  <c r="X1451" i="3"/>
  <c r="Y1450" i="3"/>
  <c r="X1450" i="3"/>
  <c r="Y1449" i="3"/>
  <c r="X1449" i="3"/>
  <c r="X1448" i="3"/>
  <c r="Y1447" i="3"/>
  <c r="X1447" i="3"/>
  <c r="Y1446" i="3"/>
  <c r="X1446" i="3"/>
  <c r="Y1445" i="3"/>
  <c r="X1445" i="3"/>
  <c r="Y1444" i="3"/>
  <c r="X1444" i="3"/>
  <c r="Y1443" i="3"/>
  <c r="X1443" i="3"/>
  <c r="Y1442" i="3"/>
  <c r="X1442" i="3"/>
  <c r="Y1441" i="3"/>
  <c r="X1441" i="3"/>
  <c r="X1440" i="3"/>
  <c r="X1439" i="3"/>
  <c r="X1438" i="3"/>
  <c r="Y1437" i="3"/>
  <c r="X1437" i="3"/>
  <c r="Y1436" i="3"/>
  <c r="X1436" i="3"/>
  <c r="X1435" i="3"/>
  <c r="Y1434" i="3"/>
  <c r="X1434" i="3"/>
  <c r="X1433" i="3"/>
  <c r="Y1432" i="3"/>
  <c r="X1432" i="3"/>
  <c r="X1431" i="3"/>
  <c r="Y1430" i="3"/>
  <c r="X1430" i="3"/>
  <c r="Y1429" i="3"/>
  <c r="X1429" i="3"/>
  <c r="Y1428" i="3"/>
  <c r="X1428" i="3"/>
  <c r="Y1427" i="3"/>
  <c r="X1427" i="3"/>
  <c r="Y1426" i="3"/>
  <c r="X1426" i="3"/>
  <c r="Y1425" i="3"/>
  <c r="X1425" i="3"/>
  <c r="X1422" i="3"/>
  <c r="X1421" i="3"/>
  <c r="Y1420" i="3"/>
  <c r="X1420" i="3"/>
  <c r="X1419" i="3"/>
  <c r="Y1418" i="3"/>
  <c r="X1418" i="3"/>
  <c r="Y1417" i="3"/>
  <c r="X1417" i="3"/>
  <c r="Y1416" i="3"/>
  <c r="X1416" i="3"/>
  <c r="Y1415" i="3"/>
  <c r="X1415" i="3"/>
  <c r="Y1414" i="3"/>
  <c r="X1414" i="3"/>
  <c r="Y1413" i="3"/>
  <c r="X1413" i="3"/>
  <c r="Y1412" i="3"/>
  <c r="X1412" i="3"/>
  <c r="X1411" i="3"/>
  <c r="Y1410" i="3"/>
  <c r="X1410" i="3"/>
  <c r="Y1409" i="3"/>
  <c r="X1409" i="3"/>
  <c r="Y1408" i="3"/>
  <c r="X1408" i="3"/>
  <c r="Y1407" i="3"/>
  <c r="X1407" i="3"/>
  <c r="Y1406" i="3"/>
  <c r="X1406" i="3"/>
  <c r="X1405" i="3"/>
  <c r="Y1404" i="3"/>
  <c r="X1404" i="3"/>
  <c r="Y1403" i="3"/>
  <c r="X1403" i="3"/>
  <c r="Y1402" i="3"/>
  <c r="X1402" i="3"/>
  <c r="Y1401" i="3"/>
  <c r="X1401" i="3"/>
  <c r="Y1400" i="3"/>
  <c r="X1400" i="3"/>
  <c r="Y1399" i="3"/>
  <c r="X1399" i="3"/>
  <c r="Y1398" i="3"/>
  <c r="X1398" i="3"/>
  <c r="Y1397" i="3"/>
  <c r="X1397" i="3"/>
  <c r="Y1396" i="3"/>
  <c r="X1396" i="3"/>
  <c r="Y1395" i="3"/>
  <c r="X1395" i="3"/>
  <c r="Y1394" i="3"/>
  <c r="X1394" i="3"/>
  <c r="Y1393" i="3"/>
  <c r="X1393" i="3"/>
  <c r="Y1392" i="3"/>
  <c r="X1392" i="3"/>
  <c r="X1391" i="3"/>
  <c r="Y1390" i="3"/>
  <c r="X1390" i="3"/>
  <c r="Y1389" i="3"/>
  <c r="X1389" i="3"/>
  <c r="Y1388" i="3"/>
  <c r="X1388" i="3"/>
  <c r="X1387" i="3"/>
  <c r="G8" i="3"/>
  <c r="G32" i="4" s="1"/>
  <c r="Y1386" i="3"/>
  <c r="X1386" i="3"/>
  <c r="X1385" i="3"/>
  <c r="X1384" i="3"/>
  <c r="Y1383" i="3"/>
  <c r="X1383" i="3"/>
  <c r="X1382" i="3"/>
  <c r="Y1381" i="3"/>
  <c r="X1381" i="3"/>
  <c r="Y1380" i="3"/>
  <c r="X1380" i="3"/>
  <c r="Y1379" i="3"/>
  <c r="X1379" i="3"/>
  <c r="F1843" i="3" l="1"/>
  <c r="K6" i="21"/>
  <c r="I6" i="21"/>
  <c r="J6" i="21"/>
  <c r="I1843" i="3"/>
  <c r="F37" i="4"/>
  <c r="W1843" i="3"/>
  <c r="J19" i="21"/>
  <c r="F19" i="21"/>
  <c r="D11" i="21"/>
  <c r="D19" i="21" s="1"/>
  <c r="G19" i="21"/>
  <c r="D17" i="21"/>
  <c r="J17" i="21"/>
  <c r="G17" i="21"/>
  <c r="F17" i="21"/>
  <c r="H17" i="21"/>
  <c r="I17" i="21"/>
  <c r="E8" i="21"/>
  <c r="N1843" i="3"/>
  <c r="Q1843" i="3"/>
  <c r="V1843" i="3"/>
  <c r="U1843" i="3"/>
  <c r="E1843" i="3"/>
  <c r="T1843" i="3"/>
  <c r="B4" i="19"/>
  <c r="B8" i="19" s="1"/>
  <c r="S1843" i="3"/>
  <c r="R1843" i="3"/>
  <c r="K37" i="4"/>
  <c r="I37" i="4"/>
  <c r="I38" i="4" s="1"/>
  <c r="I5" i="19" s="1"/>
  <c r="D1843" i="3"/>
  <c r="H1843" i="3"/>
  <c r="J37" i="4"/>
  <c r="D37" i="4"/>
  <c r="Z37" i="4" s="1"/>
  <c r="E37" i="4"/>
  <c r="AA37" i="4" s="1"/>
  <c r="AC37" i="4" s="1"/>
  <c r="Q37" i="4"/>
  <c r="S32" i="4"/>
  <c r="W37" i="4"/>
  <c r="G1843" i="3"/>
  <c r="M1843" i="3"/>
  <c r="P1843" i="3"/>
  <c r="M37" i="4"/>
  <c r="M38" i="4" s="1"/>
  <c r="M5" i="19" s="1"/>
  <c r="V37" i="4"/>
  <c r="L1843" i="3"/>
  <c r="O1843" i="3"/>
  <c r="L37" i="4"/>
  <c r="N32" i="4"/>
  <c r="N33" i="4" s="1"/>
  <c r="N4" i="19" s="1"/>
  <c r="U37" i="4"/>
  <c r="I35" i="4"/>
  <c r="I5" i="20" s="1"/>
  <c r="AB32" i="4"/>
  <c r="H35" i="4"/>
  <c r="H5" i="20" s="1"/>
  <c r="AC32" i="4"/>
  <c r="R40" i="4"/>
  <c r="H40" i="4"/>
  <c r="P40" i="4"/>
  <c r="M40" i="4"/>
  <c r="H33" i="4"/>
  <c r="H4" i="19" s="1"/>
  <c r="N40" i="4"/>
  <c r="M10" i="19"/>
  <c r="P10" i="19"/>
  <c r="N10" i="19"/>
  <c r="H10" i="19"/>
  <c r="I10" i="19"/>
  <c r="P35" i="4"/>
  <c r="P5" i="20" s="1"/>
  <c r="M35" i="4"/>
  <c r="M5" i="20" s="1"/>
  <c r="N35" i="4"/>
  <c r="N5" i="20" s="1"/>
  <c r="H182" i="12"/>
  <c r="E139" i="12"/>
  <c r="D139" i="12"/>
  <c r="D159" i="12"/>
  <c r="E159" i="12"/>
  <c r="M144" i="12" s="1"/>
  <c r="M147" i="12" s="1"/>
  <c r="M149" i="12" s="1"/>
  <c r="X32" i="4" l="1"/>
  <c r="E11" i="21"/>
  <c r="E19" i="21" s="1"/>
  <c r="E9" i="21"/>
  <c r="E17" i="21" s="1"/>
  <c r="AB37" i="4"/>
  <c r="X37" i="4"/>
  <c r="L144" i="12"/>
  <c r="L147" i="12" s="1"/>
  <c r="L149" i="12" s="1"/>
  <c r="K158" i="12" a="1"/>
  <c r="K158" i="12" s="1"/>
  <c r="P26" i="13" l="1"/>
  <c r="A38" i="4" s="1"/>
  <c r="O26" i="13"/>
  <c r="A37" i="4" s="1"/>
  <c r="P25" i="13"/>
  <c r="A33" i="4" s="1"/>
  <c r="O25" i="13"/>
  <c r="A32" i="4" s="1"/>
  <c r="L108" i="13"/>
  <c r="M87" i="13"/>
  <c r="L71" i="13"/>
  <c r="K78" i="13"/>
  <c r="N144" i="12"/>
  <c r="N145" i="12" s="1"/>
  <c r="A36" i="4" l="1"/>
  <c r="A31" i="4"/>
  <c r="A40" i="4"/>
  <c r="N26" i="13"/>
  <c r="N25" i="13"/>
  <c r="O144" i="12"/>
  <c r="L87" i="13"/>
  <c r="L78" i="13"/>
  <c r="D36" i="16"/>
  <c r="D34" i="16"/>
  <c r="D30" i="16"/>
  <c r="P23" i="16"/>
  <c r="N23" i="16"/>
  <c r="M23" i="16"/>
  <c r="I23" i="16"/>
  <c r="H23" i="16"/>
  <c r="W16" i="16"/>
  <c r="V16" i="16"/>
  <c r="U16" i="16"/>
  <c r="T16" i="16"/>
  <c r="S16" i="16"/>
  <c r="Q16" i="16"/>
  <c r="P16" i="16"/>
  <c r="P18" i="16" s="1"/>
  <c r="M16" i="16"/>
  <c r="M18" i="16" s="1"/>
  <c r="L16" i="16"/>
  <c r="J16" i="16"/>
  <c r="I16" i="16"/>
  <c r="I18" i="16" s="1"/>
  <c r="H16" i="16"/>
  <c r="H18" i="16" s="1"/>
  <c r="G16" i="16"/>
  <c r="F16" i="16"/>
  <c r="E16" i="16"/>
  <c r="D16" i="16"/>
  <c r="W12" i="16"/>
  <c r="V12" i="16"/>
  <c r="U12" i="16"/>
  <c r="T12" i="16"/>
  <c r="R12" i="16"/>
  <c r="Q12" i="16"/>
  <c r="P12" i="16"/>
  <c r="P14" i="16" s="1"/>
  <c r="N12" i="16"/>
  <c r="N14" i="16" s="1"/>
  <c r="L12" i="16"/>
  <c r="K12" i="16"/>
  <c r="J12" i="16"/>
  <c r="I12" i="16"/>
  <c r="I14" i="16" s="1"/>
  <c r="H12" i="16"/>
  <c r="H14" i="16" s="1"/>
  <c r="G12" i="16"/>
  <c r="F12" i="16"/>
  <c r="E12" i="16"/>
  <c r="D12" i="16"/>
  <c r="W8" i="16"/>
  <c r="V8" i="16"/>
  <c r="U8" i="16"/>
  <c r="T8" i="16"/>
  <c r="S8" i="16"/>
  <c r="R8" i="16"/>
  <c r="Q8" i="16"/>
  <c r="P8" i="16"/>
  <c r="P10" i="16" s="1"/>
  <c r="O8" i="16"/>
  <c r="N8" i="16"/>
  <c r="M8" i="16"/>
  <c r="M10" i="16" s="1"/>
  <c r="L8" i="16"/>
  <c r="K8" i="16"/>
  <c r="J8" i="16"/>
  <c r="I8" i="16"/>
  <c r="H8" i="16"/>
  <c r="G8" i="16"/>
  <c r="F8" i="16"/>
  <c r="E8" i="16"/>
  <c r="D8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39" i="14"/>
  <c r="C26" i="4" s="1"/>
  <c r="C31" i="14"/>
  <c r="C21" i="4" s="1"/>
  <c r="C27" i="14"/>
  <c r="C16" i="4" s="1"/>
  <c r="M20" i="4" s="1"/>
  <c r="C19" i="14"/>
  <c r="C11" i="4" s="1"/>
  <c r="M129" i="4" s="1"/>
  <c r="M4" i="10" s="1"/>
  <c r="K71" i="13"/>
  <c r="K67" i="13"/>
  <c r="G65" i="13"/>
  <c r="H65" i="13" s="1"/>
  <c r="K63" i="13"/>
  <c r="G63" i="13"/>
  <c r="G61" i="13"/>
  <c r="H61" i="13" s="1"/>
  <c r="G59" i="13"/>
  <c r="H59" i="13" s="1"/>
  <c r="G57" i="13"/>
  <c r="H57" i="13" s="1"/>
  <c r="G55" i="13"/>
  <c r="H55" i="13" s="1"/>
  <c r="K53" i="13"/>
  <c r="G53" i="13"/>
  <c r="K51" i="13"/>
  <c r="G51" i="13"/>
  <c r="H50" i="13"/>
  <c r="K49" i="13"/>
  <c r="K48" i="13"/>
  <c r="H47" i="13"/>
  <c r="G45" i="13"/>
  <c r="H45" i="13" s="1"/>
  <c r="G43" i="13"/>
  <c r="H43" i="13" s="1"/>
  <c r="G39" i="13"/>
  <c r="H39" i="13" s="1"/>
  <c r="G37" i="13"/>
  <c r="H37" i="13" s="1"/>
  <c r="K35" i="13"/>
  <c r="G35" i="13"/>
  <c r="G33" i="13"/>
  <c r="G31" i="13"/>
  <c r="H31" i="13" s="1"/>
  <c r="K29" i="13"/>
  <c r="G29" i="13"/>
  <c r="G23" i="13"/>
  <c r="H23" i="13" s="1"/>
  <c r="G21" i="13"/>
  <c r="H21" i="13" s="1"/>
  <c r="G18" i="13"/>
  <c r="H18" i="13" s="1"/>
  <c r="G16" i="13"/>
  <c r="H16" i="13" s="1"/>
  <c r="G14" i="13"/>
  <c r="H14" i="13" s="1"/>
  <c r="G12" i="13"/>
  <c r="H12" i="13" s="1"/>
  <c r="Q10" i="13"/>
  <c r="H10" i="13"/>
  <c r="G10" i="13"/>
  <c r="Q8" i="13"/>
  <c r="H8" i="13"/>
  <c r="Q6" i="13"/>
  <c r="G6" i="13"/>
  <c r="H6" i="13" s="1"/>
  <c r="Q4" i="13"/>
  <c r="G4" i="13"/>
  <c r="B1096" i="11"/>
  <c r="B1095" i="11"/>
  <c r="B1094" i="11"/>
  <c r="B1093" i="11"/>
  <c r="B1092" i="11"/>
  <c r="B1091" i="11"/>
  <c r="B1090" i="11"/>
  <c r="B1089" i="11"/>
  <c r="B1088" i="11"/>
  <c r="B1087" i="11"/>
  <c r="B1086" i="11"/>
  <c r="B1085" i="11"/>
  <c r="B1084" i="11"/>
  <c r="B1083" i="11"/>
  <c r="B1082" i="11"/>
  <c r="B1081" i="11"/>
  <c r="B1080" i="11"/>
  <c r="B1079" i="11"/>
  <c r="B1078" i="11"/>
  <c r="B1077" i="11"/>
  <c r="B1076" i="11"/>
  <c r="B1075" i="11"/>
  <c r="B1074" i="11"/>
  <c r="B1073" i="11"/>
  <c r="B1072" i="11"/>
  <c r="B1071" i="11"/>
  <c r="B1070" i="11"/>
  <c r="B1069" i="11"/>
  <c r="B1068" i="11"/>
  <c r="B1067" i="11"/>
  <c r="B1066" i="11"/>
  <c r="B1065" i="11"/>
  <c r="B1064" i="11"/>
  <c r="B1063" i="11"/>
  <c r="B1062" i="11"/>
  <c r="B1061" i="11"/>
  <c r="B1060" i="11"/>
  <c r="B1059" i="11"/>
  <c r="B1058" i="11"/>
  <c r="B1057" i="11"/>
  <c r="B1056" i="11"/>
  <c r="B1055" i="11"/>
  <c r="B1054" i="11"/>
  <c r="B1053" i="11"/>
  <c r="B1052" i="11"/>
  <c r="B1051" i="11"/>
  <c r="B1050" i="11"/>
  <c r="B1049" i="11"/>
  <c r="B1048" i="11"/>
  <c r="B1047" i="11"/>
  <c r="B1046" i="11"/>
  <c r="B1045" i="11"/>
  <c r="B1044" i="11"/>
  <c r="B1043" i="11"/>
  <c r="B1042" i="11"/>
  <c r="B1041" i="11"/>
  <c r="B1040" i="11"/>
  <c r="B1039" i="11"/>
  <c r="B1038" i="11"/>
  <c r="B1037" i="11"/>
  <c r="B1036" i="11"/>
  <c r="B1035" i="11"/>
  <c r="B1034" i="11"/>
  <c r="B1033" i="11"/>
  <c r="B1032" i="11"/>
  <c r="B1031" i="11"/>
  <c r="B1030" i="11"/>
  <c r="B1029" i="11"/>
  <c r="B1028" i="11"/>
  <c r="B1027" i="11"/>
  <c r="B1026" i="11"/>
  <c r="B1025" i="11"/>
  <c r="B1024" i="11"/>
  <c r="B1023" i="11"/>
  <c r="B1022" i="11"/>
  <c r="B1021" i="11"/>
  <c r="B1020" i="11"/>
  <c r="B1019" i="11"/>
  <c r="B1018" i="11"/>
  <c r="B1017" i="11"/>
  <c r="B1016" i="11"/>
  <c r="B1015" i="11"/>
  <c r="B1014" i="11"/>
  <c r="B1013" i="11"/>
  <c r="B1012" i="11"/>
  <c r="B1011" i="11"/>
  <c r="B1010" i="11"/>
  <c r="B1009" i="11"/>
  <c r="B1008" i="11"/>
  <c r="B1007" i="11"/>
  <c r="B1006" i="11"/>
  <c r="B1005" i="11"/>
  <c r="B1004" i="11"/>
  <c r="B1003" i="11"/>
  <c r="B1002" i="11"/>
  <c r="B1001" i="11"/>
  <c r="B1000" i="11"/>
  <c r="B999" i="11"/>
  <c r="B998" i="11"/>
  <c r="B997" i="11"/>
  <c r="B996" i="11"/>
  <c r="B995" i="11"/>
  <c r="B994" i="11"/>
  <c r="B993" i="11"/>
  <c r="B992" i="11"/>
  <c r="B991" i="11"/>
  <c r="B990" i="11"/>
  <c r="B989" i="11"/>
  <c r="B988" i="11"/>
  <c r="B987" i="11"/>
  <c r="B986" i="11"/>
  <c r="B985" i="11"/>
  <c r="B984" i="11"/>
  <c r="B983" i="11"/>
  <c r="B982" i="11"/>
  <c r="B981" i="11"/>
  <c r="B980" i="11"/>
  <c r="B979" i="11"/>
  <c r="B978" i="11"/>
  <c r="B977" i="11"/>
  <c r="B976" i="11"/>
  <c r="B975" i="11"/>
  <c r="B974" i="11"/>
  <c r="B973" i="11"/>
  <c r="B972" i="11"/>
  <c r="B971" i="11"/>
  <c r="B970" i="11"/>
  <c r="B969" i="11"/>
  <c r="B968" i="11"/>
  <c r="B967" i="11"/>
  <c r="B966" i="11"/>
  <c r="B965" i="11"/>
  <c r="B964" i="11"/>
  <c r="B963" i="11"/>
  <c r="B962" i="11"/>
  <c r="B961" i="11"/>
  <c r="B960" i="11"/>
  <c r="B959" i="11"/>
  <c r="B958" i="11"/>
  <c r="B957" i="11"/>
  <c r="B956" i="11"/>
  <c r="B955" i="11"/>
  <c r="B954" i="11"/>
  <c r="B953" i="11"/>
  <c r="B952" i="11"/>
  <c r="B951" i="11"/>
  <c r="B950" i="11"/>
  <c r="B949" i="11"/>
  <c r="B948" i="11"/>
  <c r="B947" i="11"/>
  <c r="B946" i="11"/>
  <c r="B945" i="11"/>
  <c r="B944" i="11"/>
  <c r="B943" i="11"/>
  <c r="B942" i="11"/>
  <c r="B941" i="11"/>
  <c r="B940" i="11"/>
  <c r="B939" i="11"/>
  <c r="B938" i="11"/>
  <c r="B937" i="11"/>
  <c r="B936" i="11"/>
  <c r="B935" i="11"/>
  <c r="B934" i="11"/>
  <c r="B933" i="11"/>
  <c r="B932" i="11"/>
  <c r="B931" i="11"/>
  <c r="B930" i="11"/>
  <c r="B929" i="11"/>
  <c r="B928" i="11"/>
  <c r="B927" i="11"/>
  <c r="B926" i="11"/>
  <c r="B925" i="11"/>
  <c r="B924" i="11"/>
  <c r="B923" i="11"/>
  <c r="B922" i="11"/>
  <c r="B921" i="11"/>
  <c r="B920" i="11"/>
  <c r="B919" i="11"/>
  <c r="B918" i="11"/>
  <c r="B917" i="11"/>
  <c r="B916" i="11"/>
  <c r="B915" i="11"/>
  <c r="B914" i="11"/>
  <c r="B913" i="11"/>
  <c r="B912" i="11"/>
  <c r="B911" i="11"/>
  <c r="B910" i="11"/>
  <c r="B909" i="11"/>
  <c r="B908" i="11"/>
  <c r="B907" i="11"/>
  <c r="B906" i="11"/>
  <c r="B905" i="11"/>
  <c r="B904" i="11"/>
  <c r="B903" i="11"/>
  <c r="B902" i="11"/>
  <c r="B901" i="11"/>
  <c r="B900" i="11"/>
  <c r="B899" i="11"/>
  <c r="B898" i="11"/>
  <c r="B897" i="11"/>
  <c r="B896" i="11"/>
  <c r="B895" i="11"/>
  <c r="B894" i="11"/>
  <c r="B893" i="11"/>
  <c r="B892" i="11"/>
  <c r="B891" i="11"/>
  <c r="B890" i="11"/>
  <c r="B889" i="11"/>
  <c r="B888" i="11"/>
  <c r="B887" i="11"/>
  <c r="B886" i="11"/>
  <c r="B885" i="11"/>
  <c r="B884" i="11"/>
  <c r="B883" i="11"/>
  <c r="B882" i="11"/>
  <c r="B881" i="11"/>
  <c r="B880" i="11"/>
  <c r="B879" i="11"/>
  <c r="B878" i="11"/>
  <c r="B877" i="11"/>
  <c r="B876" i="11"/>
  <c r="B875" i="11"/>
  <c r="B874" i="11"/>
  <c r="B873" i="11"/>
  <c r="B872" i="11"/>
  <c r="B871" i="11"/>
  <c r="B870" i="11"/>
  <c r="B869" i="11"/>
  <c r="B868" i="11"/>
  <c r="B867" i="11"/>
  <c r="B866" i="11"/>
  <c r="B865" i="11"/>
  <c r="B864" i="11"/>
  <c r="B863" i="11"/>
  <c r="B862" i="11"/>
  <c r="B861" i="11"/>
  <c r="B860" i="11"/>
  <c r="B859" i="11"/>
  <c r="B858" i="11"/>
  <c r="B857" i="11"/>
  <c r="B856" i="11"/>
  <c r="B855" i="11"/>
  <c r="B854" i="11"/>
  <c r="B853" i="11"/>
  <c r="B852" i="11"/>
  <c r="B851" i="11"/>
  <c r="B850" i="11"/>
  <c r="B849" i="11"/>
  <c r="B848" i="11"/>
  <c r="B847" i="11"/>
  <c r="B846" i="11"/>
  <c r="B845" i="11"/>
  <c r="B844" i="11"/>
  <c r="B843" i="11"/>
  <c r="B842" i="11"/>
  <c r="B841" i="11"/>
  <c r="B840" i="11"/>
  <c r="B839" i="11"/>
  <c r="B838" i="11"/>
  <c r="B837" i="11"/>
  <c r="B836" i="11"/>
  <c r="B835" i="11"/>
  <c r="B834" i="11"/>
  <c r="B833" i="11"/>
  <c r="B832" i="11"/>
  <c r="B831" i="11"/>
  <c r="B830" i="11"/>
  <c r="B829" i="11"/>
  <c r="B828" i="11"/>
  <c r="B827" i="11"/>
  <c r="E826" i="11"/>
  <c r="B826" i="11"/>
  <c r="B825" i="11"/>
  <c r="B824" i="11"/>
  <c r="B823" i="11"/>
  <c r="B822" i="11"/>
  <c r="B821" i="11"/>
  <c r="B820" i="11"/>
  <c r="B819" i="11"/>
  <c r="B818" i="11"/>
  <c r="B817" i="11"/>
  <c r="B816" i="11"/>
  <c r="B815" i="11"/>
  <c r="B814" i="11"/>
  <c r="B813" i="11"/>
  <c r="E812" i="11"/>
  <c r="B812" i="11"/>
  <c r="B811" i="11"/>
  <c r="B810" i="11"/>
  <c r="B809" i="11"/>
  <c r="B808" i="11"/>
  <c r="B807" i="11"/>
  <c r="B806" i="11"/>
  <c r="B805" i="11"/>
  <c r="B804" i="11"/>
  <c r="B803" i="11"/>
  <c r="B802" i="11"/>
  <c r="B801" i="11"/>
  <c r="B800" i="11"/>
  <c r="B799" i="11"/>
  <c r="B798" i="11"/>
  <c r="B797" i="11"/>
  <c r="B796" i="11"/>
  <c r="B795" i="11"/>
  <c r="B794" i="11"/>
  <c r="B793" i="11"/>
  <c r="B792" i="11"/>
  <c r="B791" i="11"/>
  <c r="B790" i="11"/>
  <c r="B789" i="11"/>
  <c r="B788" i="11"/>
  <c r="B787" i="11"/>
  <c r="B786" i="11"/>
  <c r="B785" i="11"/>
  <c r="B784" i="11"/>
  <c r="B783" i="11"/>
  <c r="B782" i="11"/>
  <c r="B781" i="11"/>
  <c r="B780" i="11"/>
  <c r="B779" i="11"/>
  <c r="B778" i="11"/>
  <c r="B777" i="11"/>
  <c r="B776" i="11"/>
  <c r="B775" i="11"/>
  <c r="B774" i="11"/>
  <c r="B773" i="11"/>
  <c r="B772" i="11"/>
  <c r="B771" i="11"/>
  <c r="E770" i="11"/>
  <c r="B770" i="11"/>
  <c r="B769" i="11"/>
  <c r="B768" i="11"/>
  <c r="B767" i="11"/>
  <c r="B766" i="11"/>
  <c r="B765" i="11"/>
  <c r="B764" i="11"/>
  <c r="B763" i="11"/>
  <c r="B762" i="11"/>
  <c r="B761" i="11"/>
  <c r="B760" i="11"/>
  <c r="B759" i="11"/>
  <c r="B758" i="11"/>
  <c r="B757" i="11"/>
  <c r="B756" i="11"/>
  <c r="B755" i="11"/>
  <c r="B754" i="11"/>
  <c r="B753" i="11"/>
  <c r="B752" i="11"/>
  <c r="B751" i="11"/>
  <c r="B750" i="11"/>
  <c r="B749" i="11"/>
  <c r="B748" i="11"/>
  <c r="B747" i="11"/>
  <c r="B746" i="11"/>
  <c r="B745" i="11"/>
  <c r="B744" i="11"/>
  <c r="B743" i="11"/>
  <c r="B742" i="11"/>
  <c r="B741" i="11"/>
  <c r="B740" i="11"/>
  <c r="B739" i="11"/>
  <c r="B738" i="11"/>
  <c r="B737" i="11"/>
  <c r="B736" i="11"/>
  <c r="B735" i="11"/>
  <c r="B734" i="11"/>
  <c r="B733" i="11"/>
  <c r="B732" i="11"/>
  <c r="F731" i="11"/>
  <c r="F826" i="11" s="1"/>
  <c r="B731" i="11"/>
  <c r="B730" i="11"/>
  <c r="B729" i="11"/>
  <c r="B728" i="11"/>
  <c r="B727" i="11"/>
  <c r="B726" i="11"/>
  <c r="B725" i="11"/>
  <c r="B724" i="11"/>
  <c r="B723" i="11"/>
  <c r="B722" i="11"/>
  <c r="B721" i="11"/>
  <c r="B720" i="11"/>
  <c r="B719" i="11"/>
  <c r="B718" i="11"/>
  <c r="B717" i="11"/>
  <c r="B716" i="11"/>
  <c r="B715" i="11"/>
  <c r="E714" i="11"/>
  <c r="B714" i="11"/>
  <c r="D714" i="11" s="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E659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D659" i="11" s="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E610" i="11"/>
  <c r="B610" i="11"/>
  <c r="D610" i="11" s="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E555" i="11"/>
  <c r="D555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E507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E478" i="11"/>
  <c r="B478" i="11"/>
  <c r="D478" i="11" s="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D456" i="11" s="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D403" i="11" s="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D332" i="11" s="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D240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V4" i="10"/>
  <c r="U4" i="10"/>
  <c r="T4" i="10"/>
  <c r="G4" i="10"/>
  <c r="F4" i="10"/>
  <c r="E4" i="10"/>
  <c r="W2" i="10"/>
  <c r="X1" i="10"/>
  <c r="N10" i="9"/>
  <c r="E13" i="9" s="1"/>
  <c r="N8" i="9"/>
  <c r="D8" i="9"/>
  <c r="V5" i="9"/>
  <c r="T5" i="9"/>
  <c r="P5" i="9"/>
  <c r="K15" i="9" s="1"/>
  <c r="K14" i="9" s="1"/>
  <c r="E18" i="9" s="1"/>
  <c r="O5" i="9"/>
  <c r="K10" i="9" s="1"/>
  <c r="N5" i="9"/>
  <c r="I5" i="9"/>
  <c r="H5" i="9"/>
  <c r="F5" i="9"/>
  <c r="D5" i="9"/>
  <c r="V4" i="9"/>
  <c r="U4" i="9"/>
  <c r="U5" i="9" s="1"/>
  <c r="T4" i="9"/>
  <c r="S4" i="9"/>
  <c r="S5" i="9" s="1"/>
  <c r="R4" i="9"/>
  <c r="R5" i="9" s="1"/>
  <c r="E16" i="9" s="1"/>
  <c r="Q4" i="9"/>
  <c r="Q5" i="9" s="1"/>
  <c r="E15" i="9" s="1"/>
  <c r="P4" i="9"/>
  <c r="O4" i="9"/>
  <c r="N4" i="9"/>
  <c r="M4" i="9"/>
  <c r="M5" i="9" s="1"/>
  <c r="L4" i="9"/>
  <c r="L5" i="9" s="1"/>
  <c r="K4" i="9"/>
  <c r="K5" i="9" s="1"/>
  <c r="K9" i="9" s="1"/>
  <c r="J4" i="9"/>
  <c r="J5" i="9" s="1"/>
  <c r="K8" i="9" s="1"/>
  <c r="K7" i="9" s="1"/>
  <c r="E17" i="9" s="1"/>
  <c r="I4" i="9"/>
  <c r="H4" i="9"/>
  <c r="G4" i="9"/>
  <c r="G5" i="9" s="1"/>
  <c r="F4" i="9"/>
  <c r="E4" i="9"/>
  <c r="D4" i="9"/>
  <c r="C4" i="9"/>
  <c r="O36" i="8"/>
  <c r="P32" i="8"/>
  <c r="N32" i="8"/>
  <c r="M32" i="8"/>
  <c r="I32" i="8"/>
  <c r="H32" i="8"/>
  <c r="W16" i="8"/>
  <c r="V16" i="8"/>
  <c r="U16" i="8"/>
  <c r="T16" i="8"/>
  <c r="S16" i="8"/>
  <c r="Q16" i="8"/>
  <c r="P16" i="8"/>
  <c r="P18" i="8" s="1"/>
  <c r="M16" i="8"/>
  <c r="M18" i="8" s="1"/>
  <c r="L16" i="8"/>
  <c r="J16" i="8"/>
  <c r="I16" i="8"/>
  <c r="I18" i="8" s="1"/>
  <c r="H16" i="8"/>
  <c r="H18" i="8" s="1"/>
  <c r="G16" i="8"/>
  <c r="F16" i="8"/>
  <c r="E16" i="8"/>
  <c r="D16" i="8"/>
  <c r="W12" i="8"/>
  <c r="V12" i="8"/>
  <c r="U12" i="8"/>
  <c r="T12" i="8"/>
  <c r="R12" i="8"/>
  <c r="Q12" i="8"/>
  <c r="P12" i="8"/>
  <c r="P14" i="8" s="1"/>
  <c r="N12" i="8"/>
  <c r="N14" i="8" s="1"/>
  <c r="L12" i="8"/>
  <c r="K12" i="8"/>
  <c r="J12" i="8"/>
  <c r="I12" i="8"/>
  <c r="H12" i="8"/>
  <c r="G12" i="8"/>
  <c r="F12" i="8"/>
  <c r="E12" i="8"/>
  <c r="D12" i="8"/>
  <c r="W8" i="8"/>
  <c r="W3" i="8" s="1"/>
  <c r="V8" i="8"/>
  <c r="U8" i="8"/>
  <c r="T8" i="8"/>
  <c r="S8" i="8"/>
  <c r="R8" i="8"/>
  <c r="Q8" i="8"/>
  <c r="P8" i="8"/>
  <c r="P10" i="8" s="1"/>
  <c r="O8" i="8"/>
  <c r="N8" i="8"/>
  <c r="N10" i="8" s="1"/>
  <c r="M8" i="8"/>
  <c r="M10" i="8" s="1"/>
  <c r="L8" i="8"/>
  <c r="K8" i="8"/>
  <c r="J8" i="8"/>
  <c r="I8" i="8"/>
  <c r="I10" i="8" s="1"/>
  <c r="H8" i="8"/>
  <c r="H10" i="8" s="1"/>
  <c r="G8" i="8"/>
  <c r="F8" i="8"/>
  <c r="E8" i="8"/>
  <c r="D8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G1" i="8"/>
  <c r="F1" i="8"/>
  <c r="E1" i="8"/>
  <c r="D1" i="8"/>
  <c r="F23" i="7"/>
  <c r="F18" i="7"/>
  <c r="N16" i="7"/>
  <c r="F16" i="7"/>
  <c r="F14" i="7"/>
  <c r="D12" i="7"/>
  <c r="C5" i="7"/>
  <c r="C4" i="7"/>
  <c r="X1" i="7"/>
  <c r="G87" i="6"/>
  <c r="G52" i="6"/>
  <c r="G47" i="6"/>
  <c r="G30" i="6"/>
  <c r="G23" i="6"/>
  <c r="P9" i="6"/>
  <c r="N9" i="6"/>
  <c r="M9" i="6"/>
  <c r="I9" i="6"/>
  <c r="H9" i="6"/>
  <c r="C9" i="6"/>
  <c r="P8" i="6"/>
  <c r="N8" i="6"/>
  <c r="M8" i="6"/>
  <c r="I8" i="6"/>
  <c r="H8" i="6"/>
  <c r="C8" i="6"/>
  <c r="O5" i="6"/>
  <c r="C5" i="6"/>
  <c r="O4" i="6"/>
  <c r="C4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G87" i="5"/>
  <c r="G52" i="5"/>
  <c r="G47" i="5"/>
  <c r="H33" i="5"/>
  <c r="H35" i="5" s="1"/>
  <c r="H32" i="5"/>
  <c r="G30" i="5"/>
  <c r="G23" i="5"/>
  <c r="R9" i="5"/>
  <c r="P9" i="5"/>
  <c r="N9" i="5"/>
  <c r="M9" i="5"/>
  <c r="I9" i="5"/>
  <c r="H9" i="5"/>
  <c r="G9" i="5"/>
  <c r="C9" i="5"/>
  <c r="P8" i="5"/>
  <c r="N8" i="5"/>
  <c r="M8" i="5"/>
  <c r="I8" i="5"/>
  <c r="H8" i="5"/>
  <c r="G8" i="5"/>
  <c r="C8" i="5"/>
  <c r="O5" i="5"/>
  <c r="C5" i="5"/>
  <c r="B5" i="5"/>
  <c r="O4" i="5"/>
  <c r="C4" i="5"/>
  <c r="S2" i="5"/>
  <c r="R2" i="5"/>
  <c r="Q2" i="5"/>
  <c r="P2" i="5"/>
  <c r="O2" i="5"/>
  <c r="N2" i="5"/>
  <c r="M2" i="5"/>
  <c r="L2" i="5"/>
  <c r="K2" i="5"/>
  <c r="J2" i="5"/>
  <c r="I2" i="5"/>
  <c r="H2" i="5"/>
  <c r="C130" i="4"/>
  <c r="O114" i="4"/>
  <c r="C114" i="4"/>
  <c r="O113" i="4"/>
  <c r="O112" i="4" s="1"/>
  <c r="B21" i="4"/>
  <c r="H6" i="21" s="1"/>
  <c r="B16" i="4"/>
  <c r="B11" i="4"/>
  <c r="W8" i="4"/>
  <c r="V8" i="4"/>
  <c r="U8" i="4"/>
  <c r="T8" i="4"/>
  <c r="R8" i="4"/>
  <c r="Q8" i="4"/>
  <c r="P8" i="4"/>
  <c r="P10" i="4" s="1"/>
  <c r="N8" i="4"/>
  <c r="L8" i="4"/>
  <c r="K8" i="4"/>
  <c r="J8" i="4"/>
  <c r="I8" i="4"/>
  <c r="I10" i="4" s="1"/>
  <c r="H8" i="4"/>
  <c r="H10" i="4" s="1"/>
  <c r="G8" i="4"/>
  <c r="F8" i="4"/>
  <c r="E8" i="4"/>
  <c r="D8" i="4"/>
  <c r="W4" i="4"/>
  <c r="V4" i="4"/>
  <c r="U4" i="4"/>
  <c r="T4" i="4"/>
  <c r="S4" i="4"/>
  <c r="R4" i="4"/>
  <c r="Q4" i="4"/>
  <c r="P4" i="4"/>
  <c r="P6" i="4" s="1"/>
  <c r="O4" i="4"/>
  <c r="O5" i="4" s="1"/>
  <c r="N4" i="4"/>
  <c r="N6" i="4" s="1"/>
  <c r="M4" i="4"/>
  <c r="L4" i="4"/>
  <c r="K4" i="4"/>
  <c r="J4" i="4"/>
  <c r="I4" i="4"/>
  <c r="H4" i="4"/>
  <c r="H6" i="4" s="1"/>
  <c r="G4" i="4"/>
  <c r="F4" i="4"/>
  <c r="E4" i="4"/>
  <c r="D4" i="4"/>
  <c r="W1" i="4"/>
  <c r="W1" i="10" s="1"/>
  <c r="V1" i="4"/>
  <c r="V1" i="10" s="1"/>
  <c r="U1" i="4"/>
  <c r="U1" i="10" s="1"/>
  <c r="T1" i="4"/>
  <c r="T1" i="10" s="1"/>
  <c r="S1" i="4"/>
  <c r="R1" i="4"/>
  <c r="Q1" i="4"/>
  <c r="Q1" i="19" s="1"/>
  <c r="P1" i="4"/>
  <c r="O1" i="4"/>
  <c r="O1" i="19" s="1"/>
  <c r="N1" i="4"/>
  <c r="M1" i="4"/>
  <c r="L1" i="4"/>
  <c r="K1" i="4"/>
  <c r="J1" i="4"/>
  <c r="I1" i="4"/>
  <c r="H1" i="4"/>
  <c r="H1" i="19" s="1"/>
  <c r="G1" i="4"/>
  <c r="G1" i="10" s="1"/>
  <c r="F1" i="4"/>
  <c r="F1" i="10" s="1"/>
  <c r="E1" i="4"/>
  <c r="E1" i="10" s="1"/>
  <c r="D1" i="4"/>
  <c r="D1" i="10" s="1"/>
  <c r="S1361" i="3"/>
  <c r="B1347" i="3"/>
  <c r="N1349" i="3" s="1"/>
  <c r="S1324" i="3"/>
  <c r="X1324" i="3" s="1"/>
  <c r="B1308" i="3"/>
  <c r="N1309" i="3" s="1"/>
  <c r="X1309" i="3" s="1"/>
  <c r="S1285" i="3"/>
  <c r="X1285" i="3" s="1"/>
  <c r="S1282" i="3"/>
  <c r="X1282" i="3" s="1"/>
  <c r="B1271" i="3"/>
  <c r="P1249" i="3"/>
  <c r="S1243" i="3"/>
  <c r="X1243" i="3" s="1"/>
  <c r="B1227" i="3"/>
  <c r="N1229" i="3" s="1"/>
  <c r="X1229" i="3" s="1"/>
  <c r="G1208" i="3"/>
  <c r="B1187" i="3"/>
  <c r="O1169" i="3"/>
  <c r="X1169" i="3" s="1"/>
  <c r="O1167" i="3"/>
  <c r="X1167" i="3" s="1"/>
  <c r="B1147" i="3"/>
  <c r="B1113" i="3"/>
  <c r="O1132" i="3" s="1"/>
  <c r="X1132" i="3" s="1"/>
  <c r="B1071" i="3"/>
  <c r="O1106" i="3" s="1"/>
  <c r="X1106" i="3" s="1"/>
  <c r="R1037" i="3"/>
  <c r="P1037" i="3"/>
  <c r="O1037" i="3"/>
  <c r="N1037" i="3"/>
  <c r="M1037" i="3"/>
  <c r="I1037" i="3"/>
  <c r="H1037" i="3"/>
  <c r="D6" i="3"/>
  <c r="D22" i="4" s="1"/>
  <c r="B1033" i="3"/>
  <c r="O1063" i="3" s="1"/>
  <c r="X1063" i="3" s="1"/>
  <c r="B1000" i="3"/>
  <c r="B965" i="3"/>
  <c r="N966" i="3" s="1"/>
  <c r="X966" i="3" s="1"/>
  <c r="B931" i="3"/>
  <c r="N934" i="3" s="1"/>
  <c r="X934" i="3" s="1"/>
  <c r="R927" i="3"/>
  <c r="R5" i="3" s="1"/>
  <c r="P927" i="3"/>
  <c r="P5" i="3" s="1"/>
  <c r="P20" i="8" s="1"/>
  <c r="P22" i="8" s="1"/>
  <c r="O927" i="3"/>
  <c r="N927" i="3"/>
  <c r="M927" i="3"/>
  <c r="M5" i="3" s="1"/>
  <c r="I927" i="3"/>
  <c r="B905" i="3"/>
  <c r="N901" i="3" s="1"/>
  <c r="D894" i="3"/>
  <c r="B871" i="3"/>
  <c r="N876" i="3" s="1"/>
  <c r="D865" i="3"/>
  <c r="D863" i="3"/>
  <c r="O856" i="3"/>
  <c r="B831" i="3"/>
  <c r="N832" i="3" s="1"/>
  <c r="D819" i="3"/>
  <c r="B796" i="3"/>
  <c r="N803" i="3" s="1"/>
  <c r="D785" i="3"/>
  <c r="B758" i="3"/>
  <c r="N759" i="3" s="1"/>
  <c r="K729" i="3"/>
  <c r="B721" i="3"/>
  <c r="N722" i="3" s="1"/>
  <c r="K708" i="3"/>
  <c r="O705" i="3"/>
  <c r="N677" i="3"/>
  <c r="B675" i="3"/>
  <c r="K669" i="3"/>
  <c r="K667" i="3"/>
  <c r="B646" i="3"/>
  <c r="N648" i="3" s="1"/>
  <c r="K640" i="3"/>
  <c r="K639" i="3"/>
  <c r="B620" i="3"/>
  <c r="N613" i="3" s="1"/>
  <c r="R617" i="3"/>
  <c r="P617" i="3"/>
  <c r="O617" i="3"/>
  <c r="N617" i="3"/>
  <c r="M617" i="3"/>
  <c r="I617" i="3"/>
  <c r="H617" i="3"/>
  <c r="R603" i="3"/>
  <c r="R16" i="16" s="1"/>
  <c r="K583" i="3"/>
  <c r="K582" i="3"/>
  <c r="B573" i="3"/>
  <c r="O595" i="3" s="1"/>
  <c r="B534" i="3"/>
  <c r="O548" i="3" s="1"/>
  <c r="B500" i="3"/>
  <c r="N506" i="3" s="1"/>
  <c r="R498" i="3"/>
  <c r="P498" i="3"/>
  <c r="P4" i="3" s="1"/>
  <c r="P12" i="4" s="1"/>
  <c r="P13" i="4" s="1"/>
  <c r="O498" i="3"/>
  <c r="N498" i="3"/>
  <c r="M498" i="3"/>
  <c r="M4" i="3" s="1"/>
  <c r="M12" i="4" s="1"/>
  <c r="M13" i="4" s="1"/>
  <c r="M481" i="3"/>
  <c r="O476" i="3"/>
  <c r="O8" i="4" s="1"/>
  <c r="O9" i="4" s="1"/>
  <c r="M475" i="3"/>
  <c r="S135" i="3"/>
  <c r="W7" i="3"/>
  <c r="W27" i="4" s="1"/>
  <c r="V7" i="3"/>
  <c r="V27" i="4" s="1"/>
  <c r="U7" i="3"/>
  <c r="U27" i="4" s="1"/>
  <c r="T7" i="3"/>
  <c r="T27" i="4" s="1"/>
  <c r="R7" i="3"/>
  <c r="Q7" i="3"/>
  <c r="Q27" i="4" s="1"/>
  <c r="L7" i="3"/>
  <c r="L27" i="4" s="1"/>
  <c r="K7" i="3"/>
  <c r="K27" i="4" s="1"/>
  <c r="J7" i="3"/>
  <c r="J27" i="4" s="1"/>
  <c r="I7" i="3"/>
  <c r="I27" i="4" s="1"/>
  <c r="I28" i="4" s="1"/>
  <c r="H7" i="3"/>
  <c r="F7" i="3"/>
  <c r="E7" i="3"/>
  <c r="E27" i="4" s="1"/>
  <c r="D7" i="3"/>
  <c r="D27" i="4" s="1"/>
  <c r="Z27" i="4" s="1"/>
  <c r="W6" i="3"/>
  <c r="W22" i="4" s="1"/>
  <c r="V6" i="3"/>
  <c r="V22" i="4" s="1"/>
  <c r="U6" i="3"/>
  <c r="U22" i="4" s="1"/>
  <c r="T6" i="3"/>
  <c r="T22" i="4" s="1"/>
  <c r="S6" i="3"/>
  <c r="S22" i="4" s="1"/>
  <c r="R6" i="3"/>
  <c r="R22" i="4" s="1"/>
  <c r="Q6" i="3"/>
  <c r="Q22" i="4" s="1"/>
  <c r="P6" i="3"/>
  <c r="P22" i="4" s="1"/>
  <c r="P23" i="4" s="1"/>
  <c r="M6" i="3"/>
  <c r="M22" i="4" s="1"/>
  <c r="M23" i="4" s="1"/>
  <c r="L6" i="3"/>
  <c r="L22" i="4" s="1"/>
  <c r="K6" i="3"/>
  <c r="K22" i="4" s="1"/>
  <c r="J6" i="3"/>
  <c r="J22" i="4" s="1"/>
  <c r="I6" i="3"/>
  <c r="I22" i="4" s="1"/>
  <c r="I23" i="4" s="1"/>
  <c r="H6" i="3"/>
  <c r="H22" i="4" s="1"/>
  <c r="H23" i="4" s="1"/>
  <c r="G6" i="3"/>
  <c r="G22" i="4" s="1"/>
  <c r="F6" i="3"/>
  <c r="F22" i="4" s="1"/>
  <c r="E6" i="3"/>
  <c r="E22" i="4" s="1"/>
  <c r="W5" i="3"/>
  <c r="W17" i="4" s="1"/>
  <c r="V5" i="3"/>
  <c r="V20" i="8" s="1"/>
  <c r="U5" i="3"/>
  <c r="U20" i="8" s="1"/>
  <c r="T5" i="3"/>
  <c r="H5" i="3"/>
  <c r="G5" i="3"/>
  <c r="G17" i="4" s="1"/>
  <c r="F5" i="3"/>
  <c r="F20" i="8" s="1"/>
  <c r="E5" i="3"/>
  <c r="E17" i="4" s="1"/>
  <c r="W4" i="3"/>
  <c r="W12" i="4" s="1"/>
  <c r="V4" i="3"/>
  <c r="V12" i="4" s="1"/>
  <c r="U4" i="3"/>
  <c r="T4" i="3"/>
  <c r="I4" i="3"/>
  <c r="I12" i="4" s="1"/>
  <c r="I13" i="4" s="1"/>
  <c r="I4" i="6" s="1"/>
  <c r="H4" i="3"/>
  <c r="H12" i="4" s="1"/>
  <c r="G4" i="3"/>
  <c r="F4" i="3"/>
  <c r="E4" i="3"/>
  <c r="D4" i="3"/>
  <c r="D12" i="4" s="1"/>
  <c r="Z12" i="4" s="1"/>
  <c r="M160" i="2"/>
  <c r="M142" i="2"/>
  <c r="U94" i="2"/>
  <c r="U3" i="2" s="1"/>
  <c r="R73" i="2"/>
  <c r="R3" i="2" s="1"/>
  <c r="M70" i="2"/>
  <c r="L58" i="2"/>
  <c r="M56" i="2"/>
  <c r="M3" i="2" s="1"/>
  <c r="M50" i="2"/>
  <c r="L47" i="2"/>
  <c r="P45" i="2"/>
  <c r="P44" i="2"/>
  <c r="P40" i="2"/>
  <c r="L33" i="2"/>
  <c r="P31" i="2"/>
  <c r="P29" i="2"/>
  <c r="P28" i="2"/>
  <c r="M25" i="2"/>
  <c r="M13" i="2"/>
  <c r="P12" i="2"/>
  <c r="P9" i="2"/>
  <c r="P8" i="2"/>
  <c r="P3" i="2" s="1"/>
  <c r="AB3" i="2"/>
  <c r="AA3" i="2"/>
  <c r="Z3" i="2"/>
  <c r="Y3" i="2"/>
  <c r="X3" i="2"/>
  <c r="W3" i="2"/>
  <c r="V3" i="2"/>
  <c r="T3" i="2"/>
  <c r="S3" i="2"/>
  <c r="Q3" i="2"/>
  <c r="O3" i="2"/>
  <c r="N3" i="2"/>
  <c r="L3" i="2"/>
  <c r="AC3" i="2" s="1"/>
  <c r="B2" i="2" s="1"/>
  <c r="K3" i="2"/>
  <c r="J3" i="2"/>
  <c r="I3" i="2"/>
  <c r="H3" i="2"/>
  <c r="G3" i="2"/>
  <c r="F3" i="2"/>
  <c r="E3" i="2"/>
  <c r="P2" i="1"/>
  <c r="O2" i="1"/>
  <c r="N2" i="1"/>
  <c r="M2" i="1"/>
  <c r="L2" i="1"/>
  <c r="K2" i="1"/>
  <c r="J2" i="1"/>
  <c r="I2" i="1"/>
  <c r="H2" i="1"/>
  <c r="G2" i="1"/>
  <c r="F2" i="1"/>
  <c r="E2" i="1"/>
  <c r="D2" i="1"/>
  <c r="B5" i="6" l="1"/>
  <c r="B9" i="6" s="1"/>
  <c r="G6" i="21"/>
  <c r="B4" i="6"/>
  <c r="B8" i="6" s="1"/>
  <c r="F6" i="21"/>
  <c r="P25" i="4"/>
  <c r="P5" i="7" s="1"/>
  <c r="P7" i="3"/>
  <c r="P27" i="4" s="1"/>
  <c r="P28" i="4" s="1"/>
  <c r="P6" i="19" s="1"/>
  <c r="X1249" i="3"/>
  <c r="N1001" i="3"/>
  <c r="X1001" i="3" s="1"/>
  <c r="C995" i="3"/>
  <c r="G7" i="3"/>
  <c r="G27" i="4" s="1"/>
  <c r="X1208" i="3"/>
  <c r="M10" i="6"/>
  <c r="N10" i="6"/>
  <c r="G3" i="16"/>
  <c r="W3" i="16"/>
  <c r="L26" i="13"/>
  <c r="A39" i="4"/>
  <c r="R26" i="13"/>
  <c r="M4" i="7"/>
  <c r="O6" i="5"/>
  <c r="F61" i="5" s="1"/>
  <c r="G60" i="5" s="1"/>
  <c r="G26" i="5" s="1"/>
  <c r="L1" i="6"/>
  <c r="L1" i="19"/>
  <c r="N30" i="4"/>
  <c r="N4" i="20" s="1"/>
  <c r="R30" i="4"/>
  <c r="R4" i="20" s="1"/>
  <c r="P30" i="4"/>
  <c r="P4" i="20" s="1"/>
  <c r="M30" i="4"/>
  <c r="M4" i="20" s="1"/>
  <c r="I30" i="4"/>
  <c r="I4" i="20" s="1"/>
  <c r="H30" i="4"/>
  <c r="H4" i="20" s="1"/>
  <c r="I1" i="10"/>
  <c r="I1" i="19"/>
  <c r="K1" i="10"/>
  <c r="K1" i="19"/>
  <c r="P1" i="5"/>
  <c r="P1" i="19"/>
  <c r="S1" i="6"/>
  <c r="S1" i="19"/>
  <c r="N1" i="10"/>
  <c r="N1" i="19"/>
  <c r="R1" i="5"/>
  <c r="R1" i="19"/>
  <c r="J1" i="5"/>
  <c r="J1" i="19"/>
  <c r="M1" i="10"/>
  <c r="M1" i="19"/>
  <c r="B5" i="7"/>
  <c r="H4" i="5"/>
  <c r="I4" i="5"/>
  <c r="I6" i="19"/>
  <c r="H10" i="6"/>
  <c r="P10" i="5"/>
  <c r="O6" i="6"/>
  <c r="F61" i="6" s="1"/>
  <c r="G60" i="6" s="1"/>
  <c r="G26" i="6" s="1"/>
  <c r="AA27" i="4"/>
  <c r="AB27" i="4" s="1"/>
  <c r="M10" i="5"/>
  <c r="P10" i="6"/>
  <c r="P1" i="10"/>
  <c r="M12" i="8"/>
  <c r="M14" i="8" s="1"/>
  <c r="S1" i="10"/>
  <c r="G1" i="6"/>
  <c r="O527" i="3"/>
  <c r="O16" i="8" s="1"/>
  <c r="O17" i="8" s="1"/>
  <c r="J35" i="8"/>
  <c r="I143" i="4"/>
  <c r="N129" i="4"/>
  <c r="N4" i="10" s="1"/>
  <c r="N11" i="10" s="1"/>
  <c r="E12" i="10" s="1"/>
  <c r="G17" i="20" s="1"/>
  <c r="L35" i="8"/>
  <c r="M1065" i="3"/>
  <c r="E1" i="6"/>
  <c r="C113" i="4"/>
  <c r="F1" i="6"/>
  <c r="K143" i="4"/>
  <c r="H15" i="4"/>
  <c r="W20" i="8"/>
  <c r="W6" i="8" s="1"/>
  <c r="T3" i="8"/>
  <c r="H143" i="4"/>
  <c r="W6" i="16"/>
  <c r="N143" i="4"/>
  <c r="G6" i="16"/>
  <c r="O12" i="8"/>
  <c r="O13" i="8" s="1"/>
  <c r="U3" i="8"/>
  <c r="E3" i="16"/>
  <c r="R143" i="4"/>
  <c r="E20" i="8"/>
  <c r="E36" i="8" s="1"/>
  <c r="E6" i="8" s="1"/>
  <c r="G20" i="8"/>
  <c r="F114" i="4"/>
  <c r="R4" i="3"/>
  <c r="R12" i="4" s="1"/>
  <c r="E1053" i="3"/>
  <c r="E1376" i="3" s="1"/>
  <c r="H1053" i="3"/>
  <c r="H1376" i="3" s="1"/>
  <c r="E108" i="4"/>
  <c r="E110" i="4" s="1"/>
  <c r="N575" i="3"/>
  <c r="N15" i="4"/>
  <c r="P143" i="4"/>
  <c r="N9" i="9"/>
  <c r="E11" i="9" s="1"/>
  <c r="E9" i="9" s="1"/>
  <c r="S1322" i="3"/>
  <c r="X1322" i="3" s="1"/>
  <c r="U17" i="4"/>
  <c r="I144" i="4"/>
  <c r="O12" i="16"/>
  <c r="O13" i="16" s="1"/>
  <c r="K1" i="5"/>
  <c r="O1293" i="3"/>
  <c r="N1272" i="3"/>
  <c r="X1272" i="3" s="1"/>
  <c r="V17" i="4"/>
  <c r="B615" i="3"/>
  <c r="O633" i="3" s="1"/>
  <c r="H20" i="4"/>
  <c r="H113" i="4"/>
  <c r="L1" i="5"/>
  <c r="R16" i="8"/>
  <c r="S1358" i="3"/>
  <c r="I20" i="4"/>
  <c r="I113" i="4"/>
  <c r="M1" i="5"/>
  <c r="J1" i="6"/>
  <c r="B4" i="7"/>
  <c r="I10" i="16"/>
  <c r="I26" i="16"/>
  <c r="P20" i="4"/>
  <c r="M1" i="6"/>
  <c r="O143" i="4"/>
  <c r="I6" i="4"/>
  <c r="N20" i="4"/>
  <c r="S1" i="5"/>
  <c r="P1" i="6"/>
  <c r="N1216" i="3"/>
  <c r="X1216" i="3" s="1"/>
  <c r="N1206" i="3"/>
  <c r="X1206" i="3" s="1"/>
  <c r="N10" i="4"/>
  <c r="H129" i="4"/>
  <c r="H4" i="10" s="1"/>
  <c r="J1" i="10"/>
  <c r="D26" i="16"/>
  <c r="K1" i="6"/>
  <c r="I129" i="4"/>
  <c r="I4" i="10" s="1"/>
  <c r="L1" i="10"/>
  <c r="L47" i="13"/>
  <c r="G41" i="13"/>
  <c r="O23" i="13"/>
  <c r="A22" i="4" s="1"/>
  <c r="P21" i="13"/>
  <c r="O21" i="13"/>
  <c r="A12" i="4" s="1"/>
  <c r="A13" i="4" s="1"/>
  <c r="A16" i="16"/>
  <c r="A18" i="16" s="1"/>
  <c r="A20" i="8"/>
  <c r="A21" i="8" s="1"/>
  <c r="A8" i="4"/>
  <c r="A10" i="4" s="1"/>
  <c r="L9" i="4" s="1"/>
  <c r="L10" i="4" s="1"/>
  <c r="V1053" i="3"/>
  <c r="V1376" i="3" s="1"/>
  <c r="W1053" i="3"/>
  <c r="W1376" i="3" s="1"/>
  <c r="D110" i="4"/>
  <c r="I114" i="4"/>
  <c r="I5" i="5"/>
  <c r="M113" i="4"/>
  <c r="M4" i="5"/>
  <c r="H27" i="4"/>
  <c r="H28" i="4" s="1"/>
  <c r="J143" i="4"/>
  <c r="Z22" i="4"/>
  <c r="T17" i="4"/>
  <c r="T20" i="8"/>
  <c r="T6" i="8" s="1"/>
  <c r="P4" i="6"/>
  <c r="P144" i="4"/>
  <c r="F79" i="19" s="1"/>
  <c r="D108" i="4"/>
  <c r="M6" i="4"/>
  <c r="K26" i="16"/>
  <c r="P3" i="16"/>
  <c r="R1" i="6"/>
  <c r="R1" i="10"/>
  <c r="F6" i="8"/>
  <c r="F3" i="8"/>
  <c r="A16" i="8"/>
  <c r="AA17" i="4"/>
  <c r="S12" i="8"/>
  <c r="S12" i="16"/>
  <c r="S8" i="4"/>
  <c r="F27" i="4"/>
  <c r="M12" i="16"/>
  <c r="M8" i="4"/>
  <c r="M10" i="4" s="1"/>
  <c r="O24" i="13"/>
  <c r="P17" i="4"/>
  <c r="P18" i="4" s="1"/>
  <c r="P5" i="6" s="1"/>
  <c r="A17" i="16"/>
  <c r="M4" i="6"/>
  <c r="M144" i="4"/>
  <c r="R20" i="8"/>
  <c r="R17" i="4"/>
  <c r="P4" i="5"/>
  <c r="P113" i="4"/>
  <c r="O1" i="10"/>
  <c r="O1" i="5"/>
  <c r="O1" i="6"/>
  <c r="A22" i="8"/>
  <c r="P1053" i="3"/>
  <c r="T12" i="4"/>
  <c r="T1053" i="3"/>
  <c r="T1376" i="3" s="1"/>
  <c r="Q1" i="10"/>
  <c r="Q1" i="5"/>
  <c r="Q1" i="6"/>
  <c r="U1053" i="3"/>
  <c r="U1376" i="3" s="1"/>
  <c r="U12" i="4"/>
  <c r="D35" i="8"/>
  <c r="E3" i="8"/>
  <c r="U6" i="8"/>
  <c r="L26" i="16"/>
  <c r="L143" i="4"/>
  <c r="V6" i="8"/>
  <c r="V3" i="8"/>
  <c r="N26" i="16"/>
  <c r="N10" i="16"/>
  <c r="N3" i="16" s="1"/>
  <c r="D5" i="3"/>
  <c r="D1053" i="3" s="1"/>
  <c r="D1376" i="3" s="1"/>
  <c r="N5" i="3"/>
  <c r="H10" i="5"/>
  <c r="P23" i="13"/>
  <c r="I10" i="5"/>
  <c r="R27" i="4"/>
  <c r="R28" i="4" s="1"/>
  <c r="N35" i="8"/>
  <c r="G114" i="4"/>
  <c r="G12" i="4"/>
  <c r="G113" i="4" s="1"/>
  <c r="H1" i="6"/>
  <c r="H1" i="5"/>
  <c r="O9" i="8"/>
  <c r="L40" i="13"/>
  <c r="K16" i="8"/>
  <c r="K16" i="16"/>
  <c r="P3" i="8"/>
  <c r="P35" i="8"/>
  <c r="D143" i="4"/>
  <c r="E12" i="4"/>
  <c r="P36" i="8"/>
  <c r="E6" i="16"/>
  <c r="U3" i="16"/>
  <c r="U6" i="16"/>
  <c r="M17" i="4"/>
  <c r="M18" i="4" s="1"/>
  <c r="M5" i="6" s="1"/>
  <c r="M20" i="8"/>
  <c r="M22" i="8" s="1"/>
  <c r="M36" i="8" s="1"/>
  <c r="F12" i="4"/>
  <c r="H1" i="10"/>
  <c r="A12" i="8"/>
  <c r="A14" i="8" s="1"/>
  <c r="Q13" i="8" s="1"/>
  <c r="A12" i="16"/>
  <c r="F3" i="16"/>
  <c r="F6" i="16"/>
  <c r="V3" i="16"/>
  <c r="V6" i="16"/>
  <c r="F1053" i="3"/>
  <c r="F1376" i="3" s="1"/>
  <c r="N25" i="4"/>
  <c r="M25" i="4"/>
  <c r="I25" i="4"/>
  <c r="H25" i="4"/>
  <c r="B4" i="5"/>
  <c r="N3" i="8"/>
  <c r="G6" i="8"/>
  <c r="G3" i="8"/>
  <c r="L8" i="13"/>
  <c r="T23" i="13" s="1"/>
  <c r="P22" i="13"/>
  <c r="J26" i="16"/>
  <c r="G2" i="13"/>
  <c r="H4" i="13"/>
  <c r="H33" i="13"/>
  <c r="H13" i="4"/>
  <c r="I1" i="6"/>
  <c r="I1" i="5"/>
  <c r="G19" i="13"/>
  <c r="T6" i="16"/>
  <c r="T3" i="16"/>
  <c r="N536" i="3"/>
  <c r="N1035" i="3"/>
  <c r="G1053" i="3"/>
  <c r="G1376" i="3" s="1"/>
  <c r="O22" i="13"/>
  <c r="H35" i="8"/>
  <c r="H14" i="8"/>
  <c r="H3" i="8" s="1"/>
  <c r="E5" i="9"/>
  <c r="W2" i="9"/>
  <c r="H20" i="8"/>
  <c r="H22" i="8" s="1"/>
  <c r="H36" i="8" s="1"/>
  <c r="H17" i="4"/>
  <c r="K35" i="8"/>
  <c r="P129" i="4"/>
  <c r="P4" i="10" s="1"/>
  <c r="K9" i="10" s="1"/>
  <c r="I15" i="4"/>
  <c r="M15" i="4"/>
  <c r="Q26" i="16"/>
  <c r="I5" i="3"/>
  <c r="AA22" i="4"/>
  <c r="AC22" i="4" s="1"/>
  <c r="Q143" i="4"/>
  <c r="P15" i="4"/>
  <c r="D507" i="11"/>
  <c r="R26" i="16"/>
  <c r="I10" i="6"/>
  <c r="I35" i="8"/>
  <c r="I14" i="8"/>
  <c r="I3" i="8" s="1"/>
  <c r="M1053" i="3"/>
  <c r="F17" i="4"/>
  <c r="Q35" i="8"/>
  <c r="P24" i="13"/>
  <c r="N1" i="5"/>
  <c r="N1" i="6"/>
  <c r="N10" i="5"/>
  <c r="R35" i="8"/>
  <c r="O9" i="16"/>
  <c r="D289" i="11"/>
  <c r="P26" i="16"/>
  <c r="P6" i="16" s="1"/>
  <c r="H26" i="16"/>
  <c r="H10" i="16"/>
  <c r="H3" i="16" s="1"/>
  <c r="O4" i="3" l="1"/>
  <c r="O12" i="4" s="1"/>
  <c r="O14" i="4" s="1"/>
  <c r="O8" i="6" s="1"/>
  <c r="M7" i="3"/>
  <c r="M27" i="4" s="1"/>
  <c r="M28" i="4" s="1"/>
  <c r="M6" i="19" s="1"/>
  <c r="F68" i="19" s="1"/>
  <c r="X1065" i="3"/>
  <c r="O7" i="3"/>
  <c r="O27" i="4" s="1"/>
  <c r="O29" i="4" s="1"/>
  <c r="X1293" i="3"/>
  <c r="S7" i="3"/>
  <c r="S27" i="4" s="1"/>
  <c r="M3" i="8"/>
  <c r="O1016" i="3"/>
  <c r="X1016" i="3" s="1"/>
  <c r="O1013" i="3"/>
  <c r="O1014" i="3"/>
  <c r="X1014" i="3" s="1"/>
  <c r="N6" i="3"/>
  <c r="N22" i="4" s="1"/>
  <c r="N23" i="4" s="1"/>
  <c r="N113" i="4" s="1"/>
  <c r="X1035" i="3"/>
  <c r="P1376" i="3"/>
  <c r="M35" i="8"/>
  <c r="M6" i="8" s="1"/>
  <c r="R25" i="13"/>
  <c r="A34" i="4"/>
  <c r="L36" i="4"/>
  <c r="J36" i="4"/>
  <c r="E39" i="4"/>
  <c r="D39" i="4"/>
  <c r="E38" i="4"/>
  <c r="D38" i="4"/>
  <c r="S36" i="4"/>
  <c r="Q36" i="4"/>
  <c r="K36" i="4"/>
  <c r="P4" i="7"/>
  <c r="P6" i="7" s="1"/>
  <c r="K14" i="7" s="1"/>
  <c r="P6" i="20"/>
  <c r="K14" i="20" s="1"/>
  <c r="I4" i="7"/>
  <c r="N4" i="7"/>
  <c r="H4" i="7"/>
  <c r="H6" i="20"/>
  <c r="F17" i="7"/>
  <c r="N5" i="7"/>
  <c r="N6" i="20"/>
  <c r="E17" i="20" s="1"/>
  <c r="I5" i="7"/>
  <c r="M5" i="7"/>
  <c r="M6" i="7" s="1"/>
  <c r="M6" i="20"/>
  <c r="P5" i="5"/>
  <c r="P6" i="5" s="1"/>
  <c r="I6" i="5"/>
  <c r="P114" i="4"/>
  <c r="P112" i="4" s="1"/>
  <c r="H6" i="19"/>
  <c r="F56" i="19" s="1"/>
  <c r="G55" i="19" s="1"/>
  <c r="G24" i="19" s="1"/>
  <c r="I112" i="4"/>
  <c r="O15" i="4"/>
  <c r="O16" i="16"/>
  <c r="O17" i="16" s="1"/>
  <c r="O23" i="16" s="1"/>
  <c r="N16" i="8"/>
  <c r="N18" i="8" s="1"/>
  <c r="O32" i="8"/>
  <c r="H110" i="4"/>
  <c r="H6" i="16"/>
  <c r="O35" i="8"/>
  <c r="O3" i="8"/>
  <c r="R1053" i="3"/>
  <c r="R1376" i="3" s="1"/>
  <c r="I6" i="16"/>
  <c r="M143" i="4"/>
  <c r="N4" i="3"/>
  <c r="N12" i="4" s="1"/>
  <c r="N13" i="4" s="1"/>
  <c r="N4" i="6" s="1"/>
  <c r="N7" i="3"/>
  <c r="O632" i="3"/>
  <c r="O5" i="3" s="1"/>
  <c r="P6" i="8"/>
  <c r="O26" i="16"/>
  <c r="O129" i="4"/>
  <c r="O4" i="10" s="1"/>
  <c r="N7" i="10" s="1"/>
  <c r="I3" i="16"/>
  <c r="R9" i="4"/>
  <c r="R10" i="4" s="1"/>
  <c r="K9" i="4"/>
  <c r="K10" i="4" s="1"/>
  <c r="J9" i="4"/>
  <c r="J10" i="4" s="1"/>
  <c r="D9" i="4"/>
  <c r="D10" i="4" s="1"/>
  <c r="A9" i="4"/>
  <c r="Q9" i="4"/>
  <c r="Q10" i="4" s="1"/>
  <c r="N21" i="13"/>
  <c r="Q21" i="13" s="1"/>
  <c r="L24" i="13"/>
  <c r="H6" i="8"/>
  <c r="A8" i="16"/>
  <c r="A8" i="8"/>
  <c r="A4" i="4"/>
  <c r="L3" i="13"/>
  <c r="H5" i="7"/>
  <c r="E13" i="4"/>
  <c r="E144" i="4"/>
  <c r="AA12" i="4"/>
  <c r="S13" i="8"/>
  <c r="S14" i="8" s="1"/>
  <c r="S35" i="8"/>
  <c r="F79" i="5"/>
  <c r="F79" i="6"/>
  <c r="R17" i="16"/>
  <c r="R18" i="16" s="1"/>
  <c r="S17" i="16"/>
  <c r="S18" i="16" s="1"/>
  <c r="Q17" i="16"/>
  <c r="Q18" i="16" s="1"/>
  <c r="I20" i="8"/>
  <c r="I17" i="4"/>
  <c r="I18" i="4" s="1"/>
  <c r="I5" i="6" s="1"/>
  <c r="I6" i="6" s="1"/>
  <c r="I1053" i="3"/>
  <c r="I1376" i="3" s="1"/>
  <c r="A17" i="4"/>
  <c r="Q14" i="8"/>
  <c r="P6" i="6"/>
  <c r="N24" i="13"/>
  <c r="Q24" i="13" s="1"/>
  <c r="A28" i="4"/>
  <c r="C35" i="16"/>
  <c r="A14" i="16"/>
  <c r="K13" i="8"/>
  <c r="R13" i="8"/>
  <c r="J13" i="8"/>
  <c r="A27" i="4"/>
  <c r="L22" i="13"/>
  <c r="A13" i="8"/>
  <c r="D17" i="4"/>
  <c r="D20" i="8"/>
  <c r="R21" i="8"/>
  <c r="R22" i="8" s="1"/>
  <c r="A18" i="8"/>
  <c r="A17" i="8"/>
  <c r="O3" i="16"/>
  <c r="F113" i="4"/>
  <c r="K17" i="16"/>
  <c r="K18" i="16" s="1"/>
  <c r="D13" i="8"/>
  <c r="H18" i="4"/>
  <c r="M14" i="16"/>
  <c r="M3" i="16" s="1"/>
  <c r="M26" i="16"/>
  <c r="A18" i="4"/>
  <c r="N22" i="13"/>
  <c r="Q22" i="13" s="1"/>
  <c r="R5" i="5"/>
  <c r="R114" i="4"/>
  <c r="L17" i="16"/>
  <c r="L18" i="16" s="1"/>
  <c r="S26" i="16"/>
  <c r="H144" i="4"/>
  <c r="H4" i="6"/>
  <c r="D17" i="8"/>
  <c r="N16" i="16"/>
  <c r="L13" i="8"/>
  <c r="A13" i="16"/>
  <c r="N20" i="8"/>
  <c r="N22" i="8" s="1"/>
  <c r="N17" i="4"/>
  <c r="N18" i="4" s="1"/>
  <c r="N5" i="6" s="1"/>
  <c r="J17" i="16"/>
  <c r="J18" i="16" s="1"/>
  <c r="M6" i="6"/>
  <c r="F68" i="6" s="1"/>
  <c r="AB22" i="4"/>
  <c r="AC27" i="4"/>
  <c r="N23" i="13"/>
  <c r="Q23" i="13" s="1"/>
  <c r="A23" i="4"/>
  <c r="S9" i="4"/>
  <c r="S10" i="4" s="1"/>
  <c r="S143" i="4"/>
  <c r="M1376" i="3" l="1"/>
  <c r="X1013" i="3"/>
  <c r="O6" i="3"/>
  <c r="O22" i="4" s="1"/>
  <c r="O24" i="4" s="1"/>
  <c r="N4" i="5"/>
  <c r="X35" i="8"/>
  <c r="N6" i="7"/>
  <c r="E17" i="7" s="1"/>
  <c r="I6" i="20"/>
  <c r="I6" i="7"/>
  <c r="E5" i="19"/>
  <c r="AD37" i="4"/>
  <c r="AE39" i="4"/>
  <c r="D40" i="4"/>
  <c r="E9" i="19"/>
  <c r="E40" i="4"/>
  <c r="AE38" i="4" s="1"/>
  <c r="AE37" i="4"/>
  <c r="S31" i="4"/>
  <c r="D34" i="4"/>
  <c r="E33" i="4"/>
  <c r="D33" i="4"/>
  <c r="J31" i="4"/>
  <c r="L31" i="4"/>
  <c r="K31" i="4"/>
  <c r="Q31" i="4"/>
  <c r="E34" i="4"/>
  <c r="O30" i="4"/>
  <c r="O4" i="20" s="1"/>
  <c r="A35" i="4"/>
  <c r="X143" i="4"/>
  <c r="M6" i="16"/>
  <c r="O6" i="16"/>
  <c r="X26" i="16"/>
  <c r="N144" i="4"/>
  <c r="N1053" i="3"/>
  <c r="N1376" i="3" s="1"/>
  <c r="N27" i="4"/>
  <c r="N28" i="4" s="1"/>
  <c r="N6" i="19" s="1"/>
  <c r="F70" i="19" s="1"/>
  <c r="N6" i="6"/>
  <c r="F70" i="6" s="1"/>
  <c r="A14" i="4"/>
  <c r="D14" i="4" s="1"/>
  <c r="R21" i="13"/>
  <c r="H5" i="6"/>
  <c r="H6" i="6" s="1"/>
  <c r="H5" i="5"/>
  <c r="H114" i="4"/>
  <c r="H112" i="4" s="1"/>
  <c r="R24" i="13"/>
  <c r="A29" i="4"/>
  <c r="S26" i="4" s="1"/>
  <c r="N18" i="16"/>
  <c r="N6" i="16" s="1"/>
  <c r="Z17" i="4"/>
  <c r="E18" i="4"/>
  <c r="D18" i="8"/>
  <c r="R14" i="8"/>
  <c r="A10" i="16"/>
  <c r="A9" i="16"/>
  <c r="K14" i="8"/>
  <c r="M114" i="4"/>
  <c r="M112" i="4" s="1"/>
  <c r="M5" i="5"/>
  <c r="M6" i="5" s="1"/>
  <c r="F68" i="5" s="1"/>
  <c r="R13" i="16"/>
  <c r="Q13" i="16"/>
  <c r="K13" i="16"/>
  <c r="D13" i="16"/>
  <c r="D17" i="16"/>
  <c r="D18" i="16" s="1"/>
  <c r="J13" i="16"/>
  <c r="L13" i="16"/>
  <c r="E15" i="4"/>
  <c r="L14" i="8"/>
  <c r="R22" i="13"/>
  <c r="A19" i="4"/>
  <c r="H6" i="7"/>
  <c r="D21" i="8"/>
  <c r="D36" i="8" s="1"/>
  <c r="D32" i="8"/>
  <c r="D14" i="8"/>
  <c r="A6" i="4"/>
  <c r="A5" i="4"/>
  <c r="A20" i="4"/>
  <c r="J14" i="8"/>
  <c r="I22" i="8"/>
  <c r="I36" i="8" s="1"/>
  <c r="A10" i="8"/>
  <c r="A9" i="8"/>
  <c r="C37" i="16"/>
  <c r="D37" i="16" s="1"/>
  <c r="D35" i="16"/>
  <c r="S13" i="16"/>
  <c r="O20" i="8"/>
  <c r="O17" i="4"/>
  <c r="O19" i="4" s="1"/>
  <c r="A30" i="4"/>
  <c r="A25" i="4"/>
  <c r="Q17" i="8"/>
  <c r="L17" i="8"/>
  <c r="L18" i="8" s="1"/>
  <c r="J17" i="8"/>
  <c r="J18" i="8" s="1"/>
  <c r="R17" i="8"/>
  <c r="R18" i="8" s="1"/>
  <c r="R36" i="8" s="1"/>
  <c r="S17" i="8"/>
  <c r="S18" i="8" s="1"/>
  <c r="AD12" i="4"/>
  <c r="AB12" i="4"/>
  <c r="AE12" i="4" s="1"/>
  <c r="A24" i="4"/>
  <c r="R23" i="13"/>
  <c r="K17" i="8"/>
  <c r="K18" i="8" s="1"/>
  <c r="O9" i="5"/>
  <c r="N36" i="8"/>
  <c r="N6" i="8" s="1"/>
  <c r="O1053" i="3" l="1"/>
  <c r="O1376" i="3" s="1"/>
  <c r="X22" i="4"/>
  <c r="O25" i="4"/>
  <c r="O5" i="7" s="1"/>
  <c r="O8" i="5"/>
  <c r="O10" i="5" s="1"/>
  <c r="N5" i="5"/>
  <c r="N6" i="5" s="1"/>
  <c r="F70" i="5" s="1"/>
  <c r="X27" i="4"/>
  <c r="E4" i="19"/>
  <c r="AE34" i="4"/>
  <c r="AD32" i="4"/>
  <c r="D35" i="4"/>
  <c r="E8" i="19"/>
  <c r="S21" i="4"/>
  <c r="S927" i="3" s="1"/>
  <c r="S5" i="3" s="1"/>
  <c r="Q21" i="4"/>
  <c r="Q927" i="3" s="1"/>
  <c r="Q5" i="3" s="1"/>
  <c r="L21" i="4"/>
  <c r="L927" i="3" s="1"/>
  <c r="L5" i="3" s="1"/>
  <c r="K21" i="4"/>
  <c r="K927" i="3" s="1"/>
  <c r="K5" i="3" s="1"/>
  <c r="J21" i="4"/>
  <c r="J927" i="3" s="1"/>
  <c r="AD38" i="4"/>
  <c r="AD39" i="4"/>
  <c r="E35" i="4"/>
  <c r="AE32" i="4"/>
  <c r="N114" i="4"/>
  <c r="N112" i="4" s="1"/>
  <c r="D29" i="4"/>
  <c r="K39" i="4"/>
  <c r="K9" i="19" s="1"/>
  <c r="S34" i="4"/>
  <c r="S8" i="19" s="1"/>
  <c r="O39" i="4"/>
  <c r="O9" i="19" s="1"/>
  <c r="Q39" i="4"/>
  <c r="Q9" i="19" s="1"/>
  <c r="S39" i="4"/>
  <c r="S9" i="19" s="1"/>
  <c r="Q34" i="4"/>
  <c r="Q8" i="19" s="1"/>
  <c r="L39" i="4"/>
  <c r="L9" i="19" s="1"/>
  <c r="AC38" i="4"/>
  <c r="J34" i="4"/>
  <c r="J8" i="19" s="1"/>
  <c r="AB33" i="4"/>
  <c r="L34" i="4"/>
  <c r="L8" i="19" s="1"/>
  <c r="O34" i="4"/>
  <c r="O8" i="19" s="1"/>
  <c r="J39" i="4"/>
  <c r="J9" i="19" s="1"/>
  <c r="K34" i="4"/>
  <c r="K8" i="19" s="1"/>
  <c r="AC39" i="4"/>
  <c r="D28" i="4"/>
  <c r="AB39" i="4"/>
  <c r="AB38" i="4"/>
  <c r="AB40" i="4" s="1"/>
  <c r="AB34" i="4"/>
  <c r="AC34" i="4"/>
  <c r="AC33" i="4"/>
  <c r="K29" i="4"/>
  <c r="L29" i="4"/>
  <c r="J29" i="4"/>
  <c r="Q29" i="4"/>
  <c r="S29" i="4"/>
  <c r="AB29" i="4"/>
  <c r="AB28" i="4"/>
  <c r="AC29" i="4"/>
  <c r="AB24" i="4"/>
  <c r="E23" i="4"/>
  <c r="E24" i="4"/>
  <c r="D24" i="4"/>
  <c r="D23" i="4"/>
  <c r="AC28" i="4"/>
  <c r="AC24" i="4"/>
  <c r="AC23" i="4"/>
  <c r="AE13" i="4"/>
  <c r="AE14" i="4"/>
  <c r="E28" i="4"/>
  <c r="E29" i="4"/>
  <c r="I6" i="8"/>
  <c r="D13" i="4"/>
  <c r="R14" i="4"/>
  <c r="L11" i="4"/>
  <c r="L498" i="3" s="1"/>
  <c r="L4" i="3" s="1"/>
  <c r="L12" i="4" s="1"/>
  <c r="L14" i="4" s="1"/>
  <c r="L13" i="4" s="1"/>
  <c r="J11" i="4"/>
  <c r="J498" i="3" s="1"/>
  <c r="Q11" i="4"/>
  <c r="Q498" i="3" s="1"/>
  <c r="Q4" i="3" s="1"/>
  <c r="Q12" i="4" s="1"/>
  <c r="Q14" i="4" s="1"/>
  <c r="Q13" i="4" s="1"/>
  <c r="S11" i="4"/>
  <c r="S498" i="3" s="1"/>
  <c r="S4" i="3" s="1"/>
  <c r="S12" i="4" s="1"/>
  <c r="S14" i="4" s="1"/>
  <c r="K11" i="4"/>
  <c r="K498" i="3" s="1"/>
  <c r="K4" i="3" s="1"/>
  <c r="K12" i="4" s="1"/>
  <c r="K14" i="4" s="1"/>
  <c r="AB23" i="4"/>
  <c r="K32" i="8"/>
  <c r="D38" i="8"/>
  <c r="E20" i="4"/>
  <c r="D18" i="4"/>
  <c r="D19" i="4"/>
  <c r="AB17" i="4"/>
  <c r="AE17" i="4" s="1"/>
  <c r="AD17" i="4"/>
  <c r="D15" i="4"/>
  <c r="E8" i="6"/>
  <c r="L5" i="4"/>
  <c r="L6" i="4" s="1"/>
  <c r="Q5" i="4"/>
  <c r="Q6" i="4" s="1"/>
  <c r="K5" i="4"/>
  <c r="K6" i="4" s="1"/>
  <c r="R5" i="4"/>
  <c r="R6" i="4" s="1"/>
  <c r="J5" i="4"/>
  <c r="J6" i="4" s="1"/>
  <c r="D5" i="4"/>
  <c r="D6" i="4" s="1"/>
  <c r="S5" i="4"/>
  <c r="S6" i="4" s="1"/>
  <c r="L23" i="16"/>
  <c r="L14" i="16"/>
  <c r="K26" i="4"/>
  <c r="K1037" i="3" s="1"/>
  <c r="Q26" i="4"/>
  <c r="Q1037" i="3" s="1"/>
  <c r="L26" i="4"/>
  <c r="L1037" i="3" s="1"/>
  <c r="J26" i="4"/>
  <c r="J1037" i="3" s="1"/>
  <c r="S1037" i="3"/>
  <c r="R32" i="8"/>
  <c r="D22" i="8"/>
  <c r="O144" i="4"/>
  <c r="O9" i="6"/>
  <c r="O10" i="6" s="1"/>
  <c r="O20" i="4"/>
  <c r="K23" i="16"/>
  <c r="K14" i="16"/>
  <c r="F56" i="6"/>
  <c r="G55" i="6" s="1"/>
  <c r="G24" i="6" s="1"/>
  <c r="H6" i="5"/>
  <c r="S24" i="4"/>
  <c r="K24" i="4"/>
  <c r="J24" i="4"/>
  <c r="L24" i="4"/>
  <c r="Q24" i="4"/>
  <c r="R24" i="4"/>
  <c r="R10" i="19" s="1"/>
  <c r="O21" i="8"/>
  <c r="O6" i="8" s="1"/>
  <c r="Q14" i="16"/>
  <c r="Q23" i="16"/>
  <c r="AB13" i="4"/>
  <c r="AB14" i="4"/>
  <c r="S23" i="16"/>
  <c r="S14" i="16"/>
  <c r="S9" i="8"/>
  <c r="R9" i="8"/>
  <c r="Q9" i="8"/>
  <c r="L9" i="8"/>
  <c r="K9" i="8"/>
  <c r="J9" i="8"/>
  <c r="D9" i="8"/>
  <c r="K16" i="4"/>
  <c r="K617" i="3" s="1"/>
  <c r="J16" i="4"/>
  <c r="J617" i="3" s="1"/>
  <c r="L16" i="4"/>
  <c r="L617" i="3" s="1"/>
  <c r="S16" i="4"/>
  <c r="S617" i="3" s="1"/>
  <c r="Q16" i="4"/>
  <c r="Q617" i="3" s="1"/>
  <c r="R19" i="4"/>
  <c r="R14" i="16"/>
  <c r="R23" i="16"/>
  <c r="S32" i="8"/>
  <c r="J9" i="16"/>
  <c r="Q9" i="16"/>
  <c r="S9" i="16"/>
  <c r="R9" i="16"/>
  <c r="L9" i="16"/>
  <c r="D9" i="16"/>
  <c r="K9" i="16"/>
  <c r="J23" i="16"/>
  <c r="J14" i="16"/>
  <c r="D23" i="16"/>
  <c r="D14" i="16"/>
  <c r="AD13" i="4"/>
  <c r="AD14" i="4"/>
  <c r="D33" i="16"/>
  <c r="L32" i="8"/>
  <c r="J32" i="8"/>
  <c r="Q18" i="8"/>
  <c r="Q32" i="8"/>
  <c r="AC25" i="4" l="1"/>
  <c r="AC35" i="4"/>
  <c r="E5" i="20"/>
  <c r="AE33" i="4"/>
  <c r="D5" i="20"/>
  <c r="AD33" i="4"/>
  <c r="AD34" i="4"/>
  <c r="O10" i="19"/>
  <c r="D30" i="4"/>
  <c r="D4" i="20" s="1"/>
  <c r="D41" i="4"/>
  <c r="AB35" i="4"/>
  <c r="O4" i="7"/>
  <c r="O6" i="7" s="1"/>
  <c r="N12" i="7" s="1"/>
  <c r="J38" i="4"/>
  <c r="J5" i="19" s="1"/>
  <c r="J40" i="4"/>
  <c r="X39" i="4"/>
  <c r="O33" i="4"/>
  <c r="O4" i="19" s="1"/>
  <c r="O35" i="4"/>
  <c r="O5" i="20" s="1"/>
  <c r="O6" i="20" s="1"/>
  <c r="N12" i="20" s="1"/>
  <c r="L40" i="4"/>
  <c r="L38" i="4"/>
  <c r="L5" i="19" s="1"/>
  <c r="K10" i="19"/>
  <c r="K30" i="4"/>
  <c r="K4" i="20" s="1"/>
  <c r="K28" i="4"/>
  <c r="O40" i="4"/>
  <c r="O38" i="4"/>
  <c r="O5" i="19" s="1"/>
  <c r="J10" i="19"/>
  <c r="J30" i="4"/>
  <c r="J4" i="20" s="1"/>
  <c r="J28" i="4"/>
  <c r="AE24" i="4"/>
  <c r="AD22" i="4"/>
  <c r="L33" i="4"/>
  <c r="L4" i="19" s="1"/>
  <c r="L35" i="4"/>
  <c r="L5" i="20" s="1"/>
  <c r="S30" i="4"/>
  <c r="S4" i="20" s="1"/>
  <c r="S10" i="19"/>
  <c r="S28" i="4"/>
  <c r="Q30" i="4"/>
  <c r="Q4" i="20" s="1"/>
  <c r="Q10" i="19"/>
  <c r="Q28" i="4"/>
  <c r="L10" i="19"/>
  <c r="L30" i="4"/>
  <c r="L4" i="20" s="1"/>
  <c r="L28" i="4"/>
  <c r="S40" i="4"/>
  <c r="S38" i="4"/>
  <c r="S5" i="19" s="1"/>
  <c r="E10" i="19"/>
  <c r="D25" i="4"/>
  <c r="K40" i="4"/>
  <c r="K38" i="4"/>
  <c r="K5" i="19" s="1"/>
  <c r="M16" i="5"/>
  <c r="K33" i="4"/>
  <c r="K4" i="19" s="1"/>
  <c r="K35" i="4"/>
  <c r="K5" i="20" s="1"/>
  <c r="J35" i="4"/>
  <c r="J5" i="20" s="1"/>
  <c r="X34" i="4"/>
  <c r="J33" i="4"/>
  <c r="J4" i="19" s="1"/>
  <c r="AC40" i="4"/>
  <c r="AB25" i="4"/>
  <c r="Q33" i="4"/>
  <c r="Q4" i="19" s="1"/>
  <c r="Q35" i="4"/>
  <c r="Q5" i="20" s="1"/>
  <c r="Q40" i="4"/>
  <c r="Q38" i="4"/>
  <c r="Q5" i="19" s="1"/>
  <c r="S35" i="4"/>
  <c r="S5" i="20" s="1"/>
  <c r="S33" i="4"/>
  <c r="S4" i="19" s="1"/>
  <c r="E25" i="4"/>
  <c r="AE23" i="4" s="1"/>
  <c r="AE22" i="4"/>
  <c r="E30" i="4"/>
  <c r="AE27" i="4"/>
  <c r="T8" i="19"/>
  <c r="AE19" i="4"/>
  <c r="AE18" i="4"/>
  <c r="AD27" i="4"/>
  <c r="AE29" i="4"/>
  <c r="AE15" i="4"/>
  <c r="AD15" i="4"/>
  <c r="E4" i="6"/>
  <c r="L16" i="6"/>
  <c r="Q1053" i="3"/>
  <c r="Q1376" i="3" s="1"/>
  <c r="X32" i="8"/>
  <c r="J4" i="3"/>
  <c r="J12" i="4" s="1"/>
  <c r="AC30" i="4"/>
  <c r="R8" i="6"/>
  <c r="R15" i="4"/>
  <c r="R13" i="4"/>
  <c r="R4" i="6" s="1"/>
  <c r="R129" i="4"/>
  <c r="R4" i="10" s="1"/>
  <c r="E14" i="10" s="1"/>
  <c r="G19" i="20" s="1"/>
  <c r="X23" i="16"/>
  <c r="D29" i="16" s="1"/>
  <c r="AB15" i="4"/>
  <c r="AB30" i="4"/>
  <c r="L4" i="6"/>
  <c r="Q4" i="6"/>
  <c r="K10" i="8"/>
  <c r="K8" i="6"/>
  <c r="K15" i="4"/>
  <c r="K129" i="4"/>
  <c r="K4" i="10" s="1"/>
  <c r="K8" i="10" s="1"/>
  <c r="R10" i="8"/>
  <c r="R3" i="8" s="1"/>
  <c r="Q8" i="5"/>
  <c r="Q25" i="4"/>
  <c r="Q23" i="4"/>
  <c r="L25" i="4"/>
  <c r="L8" i="5"/>
  <c r="L23" i="4"/>
  <c r="D10" i="16"/>
  <c r="K25" i="4"/>
  <c r="K8" i="5"/>
  <c r="K23" i="4"/>
  <c r="AD18" i="4"/>
  <c r="AD19" i="4"/>
  <c r="L10" i="16"/>
  <c r="L3" i="16" s="1"/>
  <c r="AB18" i="4"/>
  <c r="AB19" i="4"/>
  <c r="R10" i="16"/>
  <c r="R6" i="16" s="1"/>
  <c r="E9" i="6"/>
  <c r="E10" i="6" s="1"/>
  <c r="D20" i="4"/>
  <c r="D4" i="7" s="1"/>
  <c r="S10" i="16"/>
  <c r="S3" i="16" s="1"/>
  <c r="L1053" i="3"/>
  <c r="L1376" i="3" s="1"/>
  <c r="K1053" i="3"/>
  <c r="K1376" i="3" s="1"/>
  <c r="E9" i="5"/>
  <c r="D113" i="4"/>
  <c r="E4" i="5"/>
  <c r="K13" i="4"/>
  <c r="Q10" i="8"/>
  <c r="Q3" i="8" s="1"/>
  <c r="K9" i="5"/>
  <c r="L15" i="4"/>
  <c r="L8" i="6"/>
  <c r="L129" i="4"/>
  <c r="L4" i="10" s="1"/>
  <c r="N8" i="10" s="1"/>
  <c r="N6" i="10" s="1"/>
  <c r="E10" i="10" s="1"/>
  <c r="G15" i="20" s="1"/>
  <c r="J25" i="4"/>
  <c r="J8" i="5"/>
  <c r="X24" i="4"/>
  <c r="J23" i="4"/>
  <c r="Y1370" i="3"/>
  <c r="Z1370" i="3" s="1"/>
  <c r="Y1359" i="3"/>
  <c r="Z1359" i="3" s="1"/>
  <c r="Y1358" i="3"/>
  <c r="Z1358" i="3" s="1"/>
  <c r="Y1356" i="3"/>
  <c r="Z1356" i="3" s="1"/>
  <c r="Y1361" i="3"/>
  <c r="Z1361" i="3" s="1"/>
  <c r="Y1347" i="3"/>
  <c r="Z1347" i="3" s="1"/>
  <c r="Y1346" i="3"/>
  <c r="Z1346" i="3" s="1"/>
  <c r="Y1375" i="3"/>
  <c r="Z1375" i="3" s="1"/>
  <c r="Y1344" i="3"/>
  <c r="Z1344" i="3" s="1"/>
  <c r="Y1372" i="3"/>
  <c r="Z1372" i="3" s="1"/>
  <c r="Y1369" i="3"/>
  <c r="Z1369" i="3" s="1"/>
  <c r="Y1353" i="3"/>
  <c r="Z1353" i="3" s="1"/>
  <c r="Y1348" i="3"/>
  <c r="Z1348" i="3" s="1"/>
  <c r="Y1368" i="3"/>
  <c r="Z1368" i="3" s="1"/>
  <c r="Y1355" i="3"/>
  <c r="Z1355" i="3" s="1"/>
  <c r="Y1352" i="3"/>
  <c r="Z1352" i="3" s="1"/>
  <c r="Y1351" i="3"/>
  <c r="Z1351" i="3" s="1"/>
  <c r="Y1367" i="3"/>
  <c r="Z1367" i="3" s="1"/>
  <c r="Y1366" i="3"/>
  <c r="Z1366" i="3" s="1"/>
  <c r="Y1364" i="3"/>
  <c r="Z1364" i="3" s="1"/>
  <c r="Y1354" i="3"/>
  <c r="Z1354" i="3" s="1"/>
  <c r="Y1374" i="3"/>
  <c r="Z1374" i="3" s="1"/>
  <c r="Y1349" i="3"/>
  <c r="Z1349" i="3" s="1"/>
  <c r="Y1350" i="3"/>
  <c r="Z1350" i="3" s="1"/>
  <c r="Y1360" i="3"/>
  <c r="Z1360" i="3" s="1"/>
  <c r="Y1371" i="3"/>
  <c r="Z1371" i="3" s="1"/>
  <c r="Y1362" i="3"/>
  <c r="Z1362" i="3" s="1"/>
  <c r="Y1345" i="3"/>
  <c r="Z1345" i="3" s="1"/>
  <c r="Y1365" i="3"/>
  <c r="Z1365" i="3" s="1"/>
  <c r="Y1357" i="3"/>
  <c r="Z1357" i="3" s="1"/>
  <c r="Y1373" i="3"/>
  <c r="Z1373" i="3" s="1"/>
  <c r="Q9" i="5"/>
  <c r="R20" i="4"/>
  <c r="R9" i="6"/>
  <c r="R18" i="4"/>
  <c r="R5" i="6" s="1"/>
  <c r="S1053" i="3"/>
  <c r="S1376" i="3" s="1"/>
  <c r="K17" i="4"/>
  <c r="K20" i="8"/>
  <c r="E8" i="5"/>
  <c r="S9" i="5"/>
  <c r="Q15" i="4"/>
  <c r="Q8" i="6"/>
  <c r="Q129" i="4"/>
  <c r="Q4" i="10" s="1"/>
  <c r="K14" i="10" s="1"/>
  <c r="K13" i="10" s="1"/>
  <c r="E17" i="10" s="1"/>
  <c r="G22" i="20" s="1"/>
  <c r="L10" i="8"/>
  <c r="L3" i="8" s="1"/>
  <c r="E5" i="5"/>
  <c r="L17" i="5" s="1"/>
  <c r="D114" i="4"/>
  <c r="R8" i="5"/>
  <c r="R10" i="5" s="1"/>
  <c r="R25" i="4"/>
  <c r="R23" i="4"/>
  <c r="R6" i="19" s="1"/>
  <c r="F80" i="19" s="1"/>
  <c r="J9" i="5"/>
  <c r="S10" i="8"/>
  <c r="S3" i="8" s="1"/>
  <c r="K10" i="16"/>
  <c r="K6" i="16" s="1"/>
  <c r="D144" i="4"/>
  <c r="D129" i="4"/>
  <c r="S17" i="4"/>
  <c r="S20" i="8"/>
  <c r="S8" i="5"/>
  <c r="S25" i="4"/>
  <c r="S23" i="4"/>
  <c r="L20" i="8"/>
  <c r="L17" i="4"/>
  <c r="S15" i="4"/>
  <c r="S8" i="6"/>
  <c r="S129" i="4"/>
  <c r="S4" i="10" s="1"/>
  <c r="E15" i="10" s="1"/>
  <c r="G20" i="20" s="1"/>
  <c r="L17" i="6"/>
  <c r="M17" i="5"/>
  <c r="E5" i="6"/>
  <c r="Q10" i="16"/>
  <c r="Q6" i="16" s="1"/>
  <c r="J5" i="3"/>
  <c r="S13" i="4"/>
  <c r="J10" i="16"/>
  <c r="J3" i="16" s="1"/>
  <c r="Q20" i="8"/>
  <c r="Q17" i="4"/>
  <c r="D10" i="8"/>
  <c r="D3" i="8" s="1"/>
  <c r="F56" i="5"/>
  <c r="G55" i="5" s="1"/>
  <c r="G24" i="5" s="1"/>
  <c r="J10" i="8"/>
  <c r="J3" i="8" s="1"/>
  <c r="L15" i="6" l="1"/>
  <c r="O6" i="19"/>
  <c r="F61" i="19" s="1"/>
  <c r="G60" i="19" s="1"/>
  <c r="G26" i="19" s="1"/>
  <c r="F19" i="7"/>
  <c r="F22" i="7"/>
  <c r="M15" i="5"/>
  <c r="F20" i="7"/>
  <c r="AE28" i="4"/>
  <c r="E41" i="4"/>
  <c r="E4" i="20"/>
  <c r="S5" i="7"/>
  <c r="K5" i="7"/>
  <c r="Q5" i="7"/>
  <c r="R4" i="7"/>
  <c r="R5" i="7"/>
  <c r="L5" i="7"/>
  <c r="D5" i="7"/>
  <c r="D6" i="7" s="1"/>
  <c r="Y35" i="4"/>
  <c r="U8" i="19"/>
  <c r="Y40" i="4"/>
  <c r="AF39" i="4" s="1"/>
  <c r="D30" i="21" s="1"/>
  <c r="U9" i="19"/>
  <c r="AE20" i="4"/>
  <c r="L6" i="19"/>
  <c r="F69" i="19" s="1"/>
  <c r="G64" i="19" s="1"/>
  <c r="G27" i="19" s="1"/>
  <c r="Q6" i="19"/>
  <c r="F73" i="19" s="1"/>
  <c r="G72" i="19" s="1"/>
  <c r="G28" i="19" s="1"/>
  <c r="E6" i="19"/>
  <c r="G17" i="19" s="1"/>
  <c r="T10" i="19"/>
  <c r="S6" i="19"/>
  <c r="F83" i="19" s="1"/>
  <c r="T5" i="19"/>
  <c r="K6" i="19"/>
  <c r="F78" i="19" s="1"/>
  <c r="T9" i="19"/>
  <c r="X33" i="4"/>
  <c r="X40" i="4"/>
  <c r="X35" i="4"/>
  <c r="AD23" i="4"/>
  <c r="AD24" i="4"/>
  <c r="X38" i="4"/>
  <c r="Y37" i="4" s="1"/>
  <c r="J6" i="19"/>
  <c r="T4" i="19"/>
  <c r="AD29" i="4"/>
  <c r="AD28" i="4"/>
  <c r="E6" i="6"/>
  <c r="G17" i="6" s="1"/>
  <c r="R3" i="16"/>
  <c r="R10" i="6"/>
  <c r="R6" i="6"/>
  <c r="F80" i="6" s="1"/>
  <c r="R144" i="4"/>
  <c r="J6" i="16"/>
  <c r="K3" i="16"/>
  <c r="J14" i="4"/>
  <c r="X12" i="4"/>
  <c r="AB20" i="4"/>
  <c r="L6" i="16"/>
  <c r="AD20" i="4"/>
  <c r="D6" i="16"/>
  <c r="X3" i="16" s="1"/>
  <c r="D6" i="8"/>
  <c r="X3" i="8" s="1"/>
  <c r="Q10" i="5"/>
  <c r="K10" i="5"/>
  <c r="S10" i="5"/>
  <c r="J114" i="4"/>
  <c r="J5" i="5"/>
  <c r="F15" i="7"/>
  <c r="Q3" i="16"/>
  <c r="S4" i="6"/>
  <c r="D146" i="4"/>
  <c r="E10" i="5"/>
  <c r="K113" i="4"/>
  <c r="K4" i="5"/>
  <c r="D3" i="16"/>
  <c r="L19" i="4"/>
  <c r="L18" i="4" s="1"/>
  <c r="L5" i="6" s="1"/>
  <c r="L6" i="6" s="1"/>
  <c r="F69" i="6" s="1"/>
  <c r="G64" i="6" s="1"/>
  <c r="G27" i="6" s="1"/>
  <c r="L16" i="5"/>
  <c r="L15" i="5" s="1"/>
  <c r="E6" i="5"/>
  <c r="G17" i="5" s="1"/>
  <c r="L4" i="5"/>
  <c r="L113" i="4"/>
  <c r="J113" i="4"/>
  <c r="J4" i="5"/>
  <c r="I110" i="4"/>
  <c r="J110" i="4" s="1"/>
  <c r="X23" i="4"/>
  <c r="D112" i="4"/>
  <c r="U8" i="5"/>
  <c r="Y25" i="4"/>
  <c r="S21" i="8"/>
  <c r="S22" i="8" s="1"/>
  <c r="S36" i="8" s="1"/>
  <c r="S19" i="4"/>
  <c r="R6" i="8"/>
  <c r="Y1376" i="3"/>
  <c r="K114" i="4"/>
  <c r="K5" i="5"/>
  <c r="Q19" i="4"/>
  <c r="K4" i="6"/>
  <c r="K3" i="8"/>
  <c r="L21" i="8"/>
  <c r="L22" i="8" s="1"/>
  <c r="L36" i="8" s="1"/>
  <c r="J10" i="5"/>
  <c r="T8" i="5"/>
  <c r="Q4" i="5"/>
  <c r="Q113" i="4"/>
  <c r="J17" i="4"/>
  <c r="J20" i="8"/>
  <c r="S114" i="4"/>
  <c r="S5" i="5"/>
  <c r="D4" i="10"/>
  <c r="R4" i="5"/>
  <c r="R6" i="5" s="1"/>
  <c r="F80" i="5" s="1"/>
  <c r="R113" i="4"/>
  <c r="R112" i="4" s="1"/>
  <c r="S6" i="16"/>
  <c r="K21" i="8"/>
  <c r="K22" i="8" s="1"/>
  <c r="K19" i="4"/>
  <c r="K144" i="4" s="1"/>
  <c r="Q21" i="8"/>
  <c r="Q22" i="8" s="1"/>
  <c r="Q36" i="8" s="1"/>
  <c r="J1053" i="3"/>
  <c r="J1376" i="3" s="1"/>
  <c r="S4" i="5"/>
  <c r="S113" i="4"/>
  <c r="Q114" i="4"/>
  <c r="Q5" i="5"/>
  <c r="J5" i="7"/>
  <c r="X25" i="4"/>
  <c r="K9" i="21" l="1"/>
  <c r="K17" i="21" s="1"/>
  <c r="K22" i="21" s="1"/>
  <c r="E30" i="21"/>
  <c r="K11" i="21" s="1"/>
  <c r="K19" i="21" s="1"/>
  <c r="K23" i="21" s="1"/>
  <c r="D6" i="20"/>
  <c r="E11" i="20" s="1"/>
  <c r="Y5" i="7"/>
  <c r="Y5" i="20"/>
  <c r="R6" i="7"/>
  <c r="E19" i="7" s="1"/>
  <c r="T11" i="19"/>
  <c r="R6" i="20"/>
  <c r="E19" i="20" s="1"/>
  <c r="Y32" i="4"/>
  <c r="U4" i="19"/>
  <c r="U5" i="19"/>
  <c r="U4" i="5"/>
  <c r="F77" i="19"/>
  <c r="G75" i="19" s="1"/>
  <c r="G29" i="19" s="1"/>
  <c r="G32" i="19" s="1"/>
  <c r="G33" i="19" s="1"/>
  <c r="G35" i="19" s="1"/>
  <c r="G93" i="19" s="1"/>
  <c r="G98" i="19" s="1"/>
  <c r="T6" i="19"/>
  <c r="T7" i="19" s="1"/>
  <c r="K18" i="4"/>
  <c r="K5" i="6" s="1"/>
  <c r="K6" i="6" s="1"/>
  <c r="F78" i="6" s="1"/>
  <c r="X4" i="16"/>
  <c r="X2" i="16" s="1"/>
  <c r="X14" i="4"/>
  <c r="J15" i="4"/>
  <c r="X15" i="4" s="1"/>
  <c r="J129" i="4"/>
  <c r="J13" i="4"/>
  <c r="J8" i="6"/>
  <c r="T8" i="6" s="1"/>
  <c r="Q112" i="4"/>
  <c r="J112" i="4"/>
  <c r="Y22" i="4"/>
  <c r="K36" i="8"/>
  <c r="K6" i="8" s="1"/>
  <c r="Q20" i="4"/>
  <c r="Q9" i="6"/>
  <c r="Q10" i="6" s="1"/>
  <c r="Q144" i="4"/>
  <c r="J21" i="8"/>
  <c r="J22" i="8" s="1"/>
  <c r="L9" i="6"/>
  <c r="L10" i="6" s="1"/>
  <c r="L20" i="4"/>
  <c r="L144" i="4"/>
  <c r="J19" i="4"/>
  <c r="X17" i="4"/>
  <c r="E11" i="7"/>
  <c r="Q6" i="5"/>
  <c r="F73" i="5" s="1"/>
  <c r="G72" i="5" s="1"/>
  <c r="G28" i="5" s="1"/>
  <c r="K20" i="4"/>
  <c r="K9" i="6"/>
  <c r="K10" i="6" s="1"/>
  <c r="K6" i="5"/>
  <c r="F78" i="5" s="1"/>
  <c r="Z1376" i="3"/>
  <c r="K112" i="4"/>
  <c r="L110" i="4"/>
  <c r="K110" i="4"/>
  <c r="S20" i="4"/>
  <c r="S9" i="6"/>
  <c r="S10" i="6" s="1"/>
  <c r="Q6" i="8"/>
  <c r="Q18" i="4"/>
  <c r="Q5" i="6" s="1"/>
  <c r="Q6" i="6" s="1"/>
  <c r="F73" i="6" s="1"/>
  <c r="G72" i="6" s="1"/>
  <c r="G28" i="6" s="1"/>
  <c r="S6" i="8"/>
  <c r="S144" i="4"/>
  <c r="L6" i="8"/>
  <c r="J6" i="5"/>
  <c r="T4" i="5"/>
  <c r="S112" i="4"/>
  <c r="S6" i="5"/>
  <c r="F83" i="5" s="1"/>
  <c r="S18" i="4"/>
  <c r="S5" i="6" s="1"/>
  <c r="S6" i="6" s="1"/>
  <c r="F83" i="6" s="1"/>
  <c r="K4" i="7" l="1"/>
  <c r="K6" i="7" s="1"/>
  <c r="K13" i="7" s="1"/>
  <c r="K6" i="20"/>
  <c r="K13" i="20" s="1"/>
  <c r="L4" i="7"/>
  <c r="L6" i="7" s="1"/>
  <c r="N13" i="7" s="1"/>
  <c r="N10" i="7" s="1"/>
  <c r="E15" i="7" s="1"/>
  <c r="L6" i="20"/>
  <c r="N13" i="20" s="1"/>
  <c r="N10" i="20" s="1"/>
  <c r="E15" i="20" s="1"/>
  <c r="S4" i="7"/>
  <c r="S6" i="7" s="1"/>
  <c r="E20" i="7" s="1"/>
  <c r="S6" i="20"/>
  <c r="E20" i="20" s="1"/>
  <c r="Q4" i="7"/>
  <c r="Q6" i="7" s="1"/>
  <c r="K19" i="7" s="1"/>
  <c r="K18" i="7" s="1"/>
  <c r="E22" i="7" s="1"/>
  <c r="Q6" i="20"/>
  <c r="K19" i="20" s="1"/>
  <c r="K18" i="20" s="1"/>
  <c r="E22" i="20" s="1"/>
  <c r="J4" i="10"/>
  <c r="X129" i="4"/>
  <c r="J4" i="6"/>
  <c r="T4" i="6" s="1"/>
  <c r="X13" i="4"/>
  <c r="U4" i="6" s="1"/>
  <c r="U8" i="6"/>
  <c r="Y15" i="4"/>
  <c r="J36" i="8"/>
  <c r="X36" i="8" s="1"/>
  <c r="F77" i="5"/>
  <c r="G75" i="5" s="1"/>
  <c r="G29" i="5" s="1"/>
  <c r="X19" i="4"/>
  <c r="Y20" i="4" s="1"/>
  <c r="J20" i="4"/>
  <c r="J9" i="6"/>
  <c r="J144" i="4"/>
  <c r="X144" i="4" s="1"/>
  <c r="J18" i="4"/>
  <c r="J6" i="20" l="1"/>
  <c r="Y4" i="20"/>
  <c r="Y12" i="4"/>
  <c r="AC12" i="4" s="1"/>
  <c r="E16" i="10"/>
  <c r="G21" i="20" s="1"/>
  <c r="G13" i="20" s="1"/>
  <c r="K7" i="10"/>
  <c r="K6" i="10" s="1"/>
  <c r="J6" i="8"/>
  <c r="X4" i="8" s="1"/>
  <c r="X2" i="8" s="1"/>
  <c r="J5" i="6"/>
  <c r="X18" i="4"/>
  <c r="U5" i="6" s="1"/>
  <c r="T9" i="6"/>
  <c r="J10" i="6"/>
  <c r="T10" i="6" s="1"/>
  <c r="J4" i="7"/>
  <c r="X20" i="4"/>
  <c r="U9" i="6"/>
  <c r="K12" i="20" l="1"/>
  <c r="K11" i="20" s="1"/>
  <c r="E21" i="20" s="1"/>
  <c r="Y6" i="20"/>
  <c r="AC13" i="4"/>
  <c r="AC14" i="4"/>
  <c r="Y17" i="4"/>
  <c r="AC17" i="4" s="1"/>
  <c r="F21" i="7"/>
  <c r="F13" i="7" s="1"/>
  <c r="E8" i="10"/>
  <c r="D7" i="10" s="1"/>
  <c r="G12" i="20" s="1"/>
  <c r="J6" i="7"/>
  <c r="Y4" i="7"/>
  <c r="T11" i="6"/>
  <c r="T5" i="6"/>
  <c r="J6" i="6"/>
  <c r="AC15" i="4" l="1"/>
  <c r="E13" i="20"/>
  <c r="E12" i="20" s="1"/>
  <c r="F12" i="7"/>
  <c r="AC19" i="4"/>
  <c r="AC18" i="4"/>
  <c r="F77" i="6"/>
  <c r="G75" i="6" s="1"/>
  <c r="G29" i="6" s="1"/>
  <c r="G32" i="6" s="1"/>
  <c r="G33" i="6" s="1"/>
  <c r="G35" i="6" s="1"/>
  <c r="G93" i="6" s="1"/>
  <c r="G98" i="6" s="1"/>
  <c r="T6" i="6"/>
  <c r="T7" i="6" s="1"/>
  <c r="K12" i="7"/>
  <c r="K11" i="7" s="1"/>
  <c r="E21" i="7" s="1"/>
  <c r="E13" i="7" s="1"/>
  <c r="E12" i="7" s="1"/>
  <c r="Y6" i="7"/>
  <c r="L114" i="4"/>
  <c r="L112" i="4" s="1"/>
  <c r="L9" i="5"/>
  <c r="T9" i="5" s="1"/>
  <c r="X30" i="4"/>
  <c r="X29" i="4"/>
  <c r="L5" i="5"/>
  <c r="X28" i="4"/>
  <c r="AC20" i="4" l="1"/>
  <c r="L10" i="5"/>
  <c r="T10" i="5" s="1"/>
  <c r="T11" i="5" s="1"/>
  <c r="U5" i="5"/>
  <c r="U9" i="5"/>
  <c r="L6" i="5"/>
  <c r="T5" i="5"/>
  <c r="Y27" i="4"/>
  <c r="Y30" i="4"/>
  <c r="T6" i="5" l="1"/>
  <c r="T7" i="5" s="1"/>
  <c r="F69" i="5"/>
  <c r="G64" i="5" s="1"/>
  <c r="G27" i="5" s="1"/>
  <c r="G32" i="5" s="1"/>
  <c r="G33" i="5" s="1"/>
  <c r="G35" i="5" s="1"/>
  <c r="G93" i="5" s="1"/>
  <c r="G98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368A0D-BA5E-4595-9105-E9AFD3492442}" keepAlive="1" name="Query - CreditCard_202511" description="Connection to the 'CreditCard_202511' query in the workbook." type="5" refreshedVersion="0" background="1">
    <dbPr connection="Provider=Microsoft.Mashup.OleDb.1;Data Source=$Workbook$;Location=CreditCard_202511;Extended Properties=&quot;&quot;" command="SELECT * FROM [CreditCard_20251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<sst xmlns="http://schemas.openxmlformats.org/spreadsheetml/2006/main" count="5551" uniqueCount="2495">
  <si>
    <t>Date</t>
  </si>
  <si>
    <t>Reference</t>
  </si>
  <si>
    <t>Description</t>
  </si>
  <si>
    <t>Telephone</t>
  </si>
  <si>
    <t>Stationary</t>
  </si>
  <si>
    <t>Hotel</t>
  </si>
  <si>
    <t>Airline</t>
  </si>
  <si>
    <t>Taxi</t>
  </si>
  <si>
    <t>DBahn</t>
  </si>
  <si>
    <t>Train</t>
  </si>
  <si>
    <t>Bus</t>
  </si>
  <si>
    <t>Office Equipment</t>
  </si>
  <si>
    <t>Software</t>
  </si>
  <si>
    <t>Training</t>
  </si>
  <si>
    <t>Professional fees</t>
  </si>
  <si>
    <t>Entertainment</t>
  </si>
  <si>
    <t>Summary</t>
  </si>
  <si>
    <t>DBahn: Month travel card: Sep</t>
  </si>
  <si>
    <t>Balsamic software (USD)</t>
  </si>
  <si>
    <t>Lindenberg &amp; Witting Rechtsanwalt</t>
  </si>
  <si>
    <t>Universitas Buchhandel: German A2 handbuch</t>
  </si>
  <si>
    <t>Hetzner software hosting</t>
  </si>
  <si>
    <t>FastSpring software</t>
  </si>
  <si>
    <t>DBahn: Month travel card</t>
  </si>
  <si>
    <t>DBahn: Before 09h00 extra tickets</t>
  </si>
  <si>
    <t>Axioma: A2.2 german course</t>
  </si>
  <si>
    <t>Axioma: A2.1 german course</t>
  </si>
  <si>
    <t>DBahn: Month travel card: Oct</t>
  </si>
  <si>
    <t>DBahn: Month travel card: Nov</t>
  </si>
  <si>
    <t>DBahn: Month travel card: Dec</t>
  </si>
  <si>
    <t>Saturn: Samsung computer monitor</t>
  </si>
  <si>
    <t>Conrad: Label machine</t>
  </si>
  <si>
    <t>Invoice</t>
  </si>
  <si>
    <t>Income (untaxed)</t>
  </si>
  <si>
    <t>Income (taxed)</t>
  </si>
  <si>
    <t>Steuer</t>
  </si>
  <si>
    <t>Krankenkasse ens.</t>
  </si>
  <si>
    <t>Medical</t>
  </si>
  <si>
    <t>Telephone Wifi Internet</t>
  </si>
  <si>
    <t>Accomodation</t>
  </si>
  <si>
    <t>Vehicle Rental Fuel</t>
  </si>
  <si>
    <t>Taxi, Bus, Train, Toll, Parking, Hotel</t>
  </si>
  <si>
    <t>Software Cloud Services</t>
  </si>
  <si>
    <t>BundesA fur Arbeit</t>
  </si>
  <si>
    <t>Membership</t>
  </si>
  <si>
    <t>Business Clothing</t>
  </si>
  <si>
    <t>Wohnung</t>
  </si>
  <si>
    <t>Mortgage / Hypothek</t>
  </si>
  <si>
    <t>Bank charges</t>
  </si>
  <si>
    <t>South Africa Pension Medical</t>
  </si>
  <si>
    <t>Gewinn / Verlust</t>
  </si>
  <si>
    <t>Einkommensteuererklärungreferenz / Kommentar</t>
  </si>
  <si>
    <t>No tax applied</t>
  </si>
  <si>
    <t xml:space="preserve">120: (Tax has been deducted)  </t>
  </si>
  <si>
    <t>Geschäft</t>
  </si>
  <si>
    <t>Geschäft (keine auto in Deutsland)</t>
  </si>
  <si>
    <t>HKSB-Flughafen:56km HKSB-München: 20km</t>
  </si>
  <si>
    <t>GWG und nicht GWG</t>
  </si>
  <si>
    <t>Rückerstattung</t>
  </si>
  <si>
    <t>Geschäft ??</t>
  </si>
  <si>
    <t>Privat</t>
  </si>
  <si>
    <t>Private krankenkasse &amp; pension</t>
  </si>
  <si>
    <t>GNA Geomatics (pension, medical aid)</t>
  </si>
  <si>
    <t>Hausmeister (Hausgeld, Heizkosten, Reuklagen)</t>
  </si>
  <si>
    <t>BHW Bausparkasse</t>
  </si>
  <si>
    <t>Rundfunk ARD</t>
  </si>
  <si>
    <t>West Midlands Railway</t>
  </si>
  <si>
    <t>National Rail</t>
  </si>
  <si>
    <t>Credit Card fee</t>
  </si>
  <si>
    <t>RyanAir L7Q0</t>
  </si>
  <si>
    <t>EasyJet Flight K188F5Z</t>
  </si>
  <si>
    <t>EasyJet Plus fee</t>
  </si>
  <si>
    <t>New Southern Rail (Huntingdon to Horley, airport)</t>
  </si>
  <si>
    <t>TKR Techniker Krankenkasse</t>
  </si>
  <si>
    <t>Baufinanzierung</t>
  </si>
  <si>
    <t>Red Cow hotel, Dublin: dinner</t>
  </si>
  <si>
    <t>1u1 Telephone</t>
  </si>
  <si>
    <t>E.on (strohm)</t>
  </si>
  <si>
    <t>Telefonica Germany (O2 mobile)</t>
  </si>
  <si>
    <t>Marquette Ireland: lunch</t>
  </si>
  <si>
    <t>New Southern Rail (Horley, airport to Huntingdon)</t>
  </si>
  <si>
    <t>EasyJet 1885FZ</t>
  </si>
  <si>
    <t>British Airways</t>
  </si>
  <si>
    <t>Lufthansa 2208527994800</t>
  </si>
  <si>
    <t>National Rail (Huntingdon to Manchester)</t>
  </si>
  <si>
    <t>National Rail (Manchester to Bolton)</t>
  </si>
  <si>
    <t>Bundesagentur fur Arbeit (Nach Steuern)</t>
  </si>
  <si>
    <t>National Rail (Huntingdon to Stansted Airport)</t>
  </si>
  <si>
    <t>Finanzamt Munchen</t>
  </si>
  <si>
    <t>Huntingdon Osteopathic (Accomodation Huntingdon: January)</t>
  </si>
  <si>
    <t>20200101/ 20200102</t>
  </si>
  <si>
    <t>Precise Construction Instruments</t>
  </si>
  <si>
    <t>St Leonhards Apotheke</t>
  </si>
  <si>
    <t>National Rail (Huntingdon to Heathrow)</t>
  </si>
  <si>
    <t>National Rail (Gatwick to London)</t>
  </si>
  <si>
    <t>National Rail (London to Huntingdon)</t>
  </si>
  <si>
    <t>The Devonshire House Hotel Liverpool</t>
  </si>
  <si>
    <t>EasyJet 1HCB7V</t>
  </si>
  <si>
    <t>Shell Edge Lane, Liverpool (fuel)</t>
  </si>
  <si>
    <t>Revolut credit card</t>
  </si>
  <si>
    <t>EasyJet 1HCB7V Rebooking fee</t>
  </si>
  <si>
    <t>Huntingdon Osteopathic (Accomodation Huntingdon: February)</t>
  </si>
  <si>
    <t>DBahn (Month ticket)</t>
  </si>
  <si>
    <t>DBahn (visit to Bank for statements)</t>
  </si>
  <si>
    <t>Kanzlei Langer (steuerberater)</t>
  </si>
  <si>
    <t>Hagebau: repairs to floor in bedroom</t>
  </si>
  <si>
    <t>EasyJet K1HCB7V Rebooking fee</t>
  </si>
  <si>
    <t>Credit card fee</t>
  </si>
  <si>
    <t>Gemeinde Höhenkirchen (grundsteuer)</t>
  </si>
  <si>
    <t>EPPlus (Intellicad CAD license)</t>
  </si>
  <si>
    <t>Fleming Apotheke</t>
  </si>
  <si>
    <t>1u1 Telekom GmbH</t>
  </si>
  <si>
    <t>Dbank</t>
  </si>
  <si>
    <t>20200201a 20200301</t>
  </si>
  <si>
    <t>Survey Supplies Limited</t>
  </si>
  <si>
    <t>GNA Geomatics (support)</t>
  </si>
  <si>
    <t>Team Viewer License paid</t>
  </si>
  <si>
    <t>Pridesure (Pridetech cc t/a) Professional Indenminty insurance</t>
  </si>
  <si>
    <t>Finanzamt Munchen (refund)</t>
  </si>
  <si>
    <t xml:space="preserve">DRI Systems </t>
  </si>
  <si>
    <t>DBahn (Client meeting: Sensemetrics)</t>
  </si>
  <si>
    <t>20200401/ 20200601</t>
  </si>
  <si>
    <t>Rebooking fee for EasyJet flight K1HCB7V</t>
  </si>
  <si>
    <t>20200701/ 20200801</t>
  </si>
  <si>
    <t>GNA Geomatics (pension, medical aid) - extra payment to cover year shortfall</t>
  </si>
  <si>
    <t>Langer Tratz</t>
  </si>
  <si>
    <t>EasyJet (Ticket rebooking)</t>
  </si>
  <si>
    <t>DBahn (bank visit)</t>
  </si>
  <si>
    <t>MVV: (business trip to bank)</t>
  </si>
  <si>
    <t>München Klinikun (Hospital)</t>
  </si>
  <si>
    <t>Bundesagentur fur Arbeit (refund)</t>
  </si>
  <si>
    <t>CAD Maunufacturing (IntelliCAD software upgrade)</t>
  </si>
  <si>
    <t>Hetzner (Website hosting, year fee)</t>
  </si>
  <si>
    <t>Move Solutions Italy</t>
  </si>
  <si>
    <t>Contentale (Household insurance)</t>
  </si>
  <si>
    <t>E.on (strohm) Refund</t>
  </si>
  <si>
    <t>Gemeinde Hohenkirchen</t>
  </si>
  <si>
    <t>JAG20201203</t>
  </si>
  <si>
    <t xml:space="preserve">AI Engineering </t>
  </si>
  <si>
    <t>JAG20201001/1101/1201</t>
  </si>
  <si>
    <t>Huntingdon Apartment (fee)</t>
  </si>
  <si>
    <t>D.Bank (balance of Settlement Items ??)</t>
  </si>
  <si>
    <t>Up to 20240831 previous 20240531</t>
  </si>
  <si>
    <t>Income 
(UK)</t>
  </si>
  <si>
    <t>Income (Germany)</t>
  </si>
  <si>
    <t>Steuer
DE</t>
  </si>
  <si>
    <t>Steuer
(UK)</t>
  </si>
  <si>
    <t>Data SIM Cards, Internet</t>
  </si>
  <si>
    <t>Airline tickets &amp; Covid Tests</t>
  </si>
  <si>
    <t>Taxi, Train, Toll, Parking</t>
  </si>
  <si>
    <t>Hotel, Apartment</t>
  </si>
  <si>
    <t>Auto</t>
  </si>
  <si>
    <t>Office equipment, hardware, Insurance</t>
  </si>
  <si>
    <t>Support</t>
  </si>
  <si>
    <t>https://www.ofx.com/en-gb/forex-news/historical-exchange-rates/monthly-average-rates/</t>
  </si>
  <si>
    <t>Einkommensteuererklärungreferenz 
Kommentar 220 3389194</t>
  </si>
  <si>
    <t>No Tax</t>
  </si>
  <si>
    <t>Roman gets certificate</t>
  </si>
  <si>
    <t>333+334</t>
  </si>
  <si>
    <t>281
(Privat)</t>
  </si>
  <si>
    <t>326+329 (Privat)</t>
  </si>
  <si>
    <t>UK</t>
  </si>
  <si>
    <t>2023.01.01 bis 2023.04.05</t>
  </si>
  <si>
    <t>2023.04.06 bis 2023.12.31</t>
  </si>
  <si>
    <t>2024.01.01 bis 2024.04.05</t>
  </si>
  <si>
    <t>2024.04.06 bis 2024.12.31</t>
  </si>
  <si>
    <t>Jan 2022 exchange rate</t>
  </si>
  <si>
    <t>monatlicher Kreditkartenpreis</t>
  </si>
  <si>
    <t>D.bank (baufinzierung)</t>
  </si>
  <si>
    <t>TK krankasse</t>
  </si>
  <si>
    <t>Rent: February (Huntingdon)</t>
  </si>
  <si>
    <t>giffgaff London (Data card for equipment): January 2021</t>
  </si>
  <si>
    <t>General hardware &amp; equipment bought with credit card</t>
  </si>
  <si>
    <t>Prenetics Covid travel test</t>
  </si>
  <si>
    <t>GiffGaff</t>
  </si>
  <si>
    <t>Trainline: Train ticket UK</t>
  </si>
  <si>
    <t>Dbahn train ticket</t>
  </si>
  <si>
    <t>Lufthansa (MUC LON)</t>
  </si>
  <si>
    <t>Halfords</t>
  </si>
  <si>
    <t>Kanzlei Langer Tratz Aigner</t>
  </si>
  <si>
    <t>Autodoc</t>
  </si>
  <si>
    <t>Auto Service and Performance</t>
  </si>
  <si>
    <t>Finanzamt München</t>
  </si>
  <si>
    <t>Foreign Transaction fee (January)</t>
  </si>
  <si>
    <t>Feb 2022 exchange rate</t>
  </si>
  <si>
    <t>31.02.2022</t>
  </si>
  <si>
    <t>giffgaff London (Data card for equipment): February 2021</t>
  </si>
  <si>
    <t>Auto service and Performance</t>
  </si>
  <si>
    <t>Db ticket</t>
  </si>
  <si>
    <t>JAG20220129.1</t>
  </si>
  <si>
    <t>Lufthansa (MUC-LON)</t>
  </si>
  <si>
    <t>Lufthansa (Rebooking)</t>
  </si>
  <si>
    <t>Trainline: UK train ticket</t>
  </si>
  <si>
    <t>Foreign Transaction Fee</t>
  </si>
  <si>
    <t>monatlicher Kartenpreis</t>
  </si>
  <si>
    <t>Lufthansa (LON-CPT)</t>
  </si>
  <si>
    <t>Mar 2022 exchange rate</t>
  </si>
  <si>
    <t>Rent: March (Huntingdon) Fidor</t>
  </si>
  <si>
    <t>giffgaff London (Data card for equipment): March 2021</t>
  </si>
  <si>
    <t>JAG20220129.3</t>
  </si>
  <si>
    <t>JWG Survey</t>
  </si>
  <si>
    <t>Software license: Team Viewer</t>
  </si>
  <si>
    <t>JAG20220228.1 JAG20220305.1</t>
  </si>
  <si>
    <t>JAG20220129.2</t>
  </si>
  <si>
    <t>Geo Info</t>
  </si>
  <si>
    <t>Screwfix</t>
  </si>
  <si>
    <t>Lufthansa (Seat booking)</t>
  </si>
  <si>
    <t>Trainline</t>
  </si>
  <si>
    <t>Währungsumrechn</t>
  </si>
  <si>
    <t>Bank fees</t>
  </si>
  <si>
    <t>Apr 2022 exchange rate</t>
  </si>
  <si>
    <t>Rent: April (Huntingdon) Fidor</t>
  </si>
  <si>
    <t>giffgaff London (Data card for equipment): April 2021</t>
  </si>
  <si>
    <t>JAG20220331.1</t>
  </si>
  <si>
    <t>Survey Supplies</t>
  </si>
  <si>
    <t>GLG Support</t>
  </si>
  <si>
    <t>TeamViewer</t>
  </si>
  <si>
    <t>Lufthansa (rebooking)</t>
  </si>
  <si>
    <t>JAG20220129.4</t>
  </si>
  <si>
    <t>SEP Rail</t>
  </si>
  <si>
    <t>St Leonards apotheke</t>
  </si>
  <si>
    <t xml:space="preserve">Trainline </t>
  </si>
  <si>
    <t>EPPlus licences</t>
  </si>
  <si>
    <t>Heathrow Express to Paddington (strike on)</t>
  </si>
  <si>
    <t>May 2022 exchange rate</t>
  </si>
  <si>
    <t>Rent: May (Huntingdon)</t>
  </si>
  <si>
    <t>giffgaff London (Data card for equipment): May 2021</t>
  </si>
  <si>
    <t>JAG20220331.2</t>
  </si>
  <si>
    <t>Geo-Info</t>
  </si>
  <si>
    <t>JAG20220430.1</t>
  </si>
  <si>
    <t>Google cloud disk</t>
  </si>
  <si>
    <t>RustBuster</t>
  </si>
  <si>
    <t>Trainline LHR to Huntingdon</t>
  </si>
  <si>
    <t>Dr Hammerl</t>
  </si>
  <si>
    <t>Jun 2022 exchange rate</t>
  </si>
  <si>
    <t>Rent: June (Huntingdon) Fidor (2 payments, 2nd cash)</t>
  </si>
  <si>
    <t>ADAC medical insurance</t>
  </si>
  <si>
    <t>ADAC year premium</t>
  </si>
  <si>
    <t xml:space="preserve">DB ticket </t>
  </si>
  <si>
    <t>Trainline: LHR to Huntingdon (unable to use due to strike)</t>
  </si>
  <si>
    <t>Heathrow Express: LHR to Huntingdon (strike)</t>
  </si>
  <si>
    <t>Heathrow Rail Link (strike ticket)</t>
  </si>
  <si>
    <t>JAG20220531.1</t>
  </si>
  <si>
    <t>Toolstation</t>
  </si>
  <si>
    <t>Shell Huntingdon (fuel)</t>
  </si>
  <si>
    <t>giffgaff London (Data card for equipment): June 2021</t>
  </si>
  <si>
    <t>UK vehicle Tax (2022)</t>
  </si>
  <si>
    <t>DVLA Vehicle Tax</t>
  </si>
  <si>
    <t>JAG20220511.1</t>
  </si>
  <si>
    <t>Cromarty Campus (Geo-Info)</t>
  </si>
  <si>
    <t>Paypal (wiperblades)</t>
  </si>
  <si>
    <t>JAG20220622.1</t>
  </si>
  <si>
    <t>Jul 2022 exchange rate</t>
  </si>
  <si>
    <t>Rent:July (Huntingdon)</t>
  </si>
  <si>
    <t>Shell Huntingdon (Fuel)</t>
  </si>
  <si>
    <t>Trainline (LHR to Huntingdon return)</t>
  </si>
  <si>
    <t>giffgaff London (Data card for equipment): July 2021</t>
  </si>
  <si>
    <t>JAG20220630.1</t>
  </si>
  <si>
    <t>Lufthansa (LHR to MUC)</t>
  </si>
  <si>
    <t>Aug 2022 exchange rate</t>
  </si>
  <si>
    <t>PENS Rente/Pension</t>
  </si>
  <si>
    <t>Hausmeister: Heizkosten ekstra</t>
  </si>
  <si>
    <t>Rent:August (Huntingdon)</t>
  </si>
  <si>
    <t>giffgaff London (Data card for equipment): August 2021</t>
  </si>
  <si>
    <t>Bekker Kollegen</t>
  </si>
  <si>
    <t>Marshmallow Vehicle insurance</t>
  </si>
  <si>
    <t>IHS Global (Apartment Insurance)</t>
  </si>
  <si>
    <t>JAG202207311</t>
  </si>
  <si>
    <t xml:space="preserve">Precise Construction </t>
  </si>
  <si>
    <t>AA MEMBERSHIP 0800887766</t>
  </si>
  <si>
    <t>Gemeinde HK-SB Grundsteuer</t>
  </si>
  <si>
    <t>GOOGLE *Google Storage</t>
  </si>
  <si>
    <t>Trainline London</t>
  </si>
  <si>
    <t>Finanzamt Meunchen</t>
  </si>
  <si>
    <t>LUFTHAN2204000457379 MIDDLESEX</t>
  </si>
  <si>
    <t>Sep 2022 exchange rate</t>
  </si>
  <si>
    <t>e.on (strohm)</t>
  </si>
  <si>
    <t>Rent: Sep (Huntingdon)</t>
  </si>
  <si>
    <t>giffgaff London (Data card for equipment): Sep 2021</t>
  </si>
  <si>
    <t>Pension Deutsche Post AG</t>
  </si>
  <si>
    <t>JAG202208311</t>
  </si>
  <si>
    <t>Gemeinde HK-SB Steuer</t>
  </si>
  <si>
    <t>Trainline.SAS Paris</t>
  </si>
  <si>
    <t>DB Wahrungsumrechnung</t>
  </si>
  <si>
    <t>TK krankenkasse</t>
  </si>
  <si>
    <t>Kanzlei Langer</t>
  </si>
  <si>
    <t>DB SEPA uberweisung</t>
  </si>
  <si>
    <t>Refund Kanzlei Langer</t>
  </si>
  <si>
    <t>Dbahn (trip to Dbank)</t>
  </si>
  <si>
    <t>FK Munchen</t>
  </si>
  <si>
    <t>Oct 2022 exchange rate</t>
  </si>
  <si>
    <t>Fidor</t>
  </si>
  <si>
    <t>Rent: Okt (Huntingdon) - paid from UK</t>
  </si>
  <si>
    <t>giffgaff London (Data card for equipment): Okt 2021</t>
  </si>
  <si>
    <t xml:space="preserve">TK </t>
  </si>
  <si>
    <t>JAG20220926.1</t>
  </si>
  <si>
    <t>Kanzlei Langer (Refund???)</t>
  </si>
  <si>
    <t>Opodo (MUC-LON)</t>
  </si>
  <si>
    <t>BHW Bausparkasse ( refund, did not like the reference)</t>
  </si>
  <si>
    <t>JAG20221011.1</t>
  </si>
  <si>
    <t>Twilio SMS software service</t>
  </si>
  <si>
    <t>Trainline (Monitoring conference London)</t>
  </si>
  <si>
    <t>FK München</t>
  </si>
  <si>
    <t>Hetzner (Website hosting)</t>
  </si>
  <si>
    <t>Lufthansa ticket rebooking</t>
  </si>
  <si>
    <t>Eon Refund</t>
  </si>
  <si>
    <t>Nov 2022 exchange rate</t>
  </si>
  <si>
    <t>giffgaff London (Data card for equipment): Nov 2021</t>
  </si>
  <si>
    <t>FK Munchen (2022/4)</t>
  </si>
  <si>
    <t>JAG2022.10.27.1</t>
  </si>
  <si>
    <t>Halifax</t>
  </si>
  <si>
    <t>Tax 2021/2022</t>
  </si>
  <si>
    <t>Gemeinde HK-SB (Grundsteuer)</t>
  </si>
  <si>
    <t xml:space="preserve">FK Munchen (2022/4) returned </t>
  </si>
  <si>
    <t>Twilio</t>
  </si>
  <si>
    <t>Hetzner</t>
  </si>
  <si>
    <t>Dbahn</t>
  </si>
  <si>
    <t>East Midlands Rail</t>
  </si>
  <si>
    <t>Dec 2022 exchange rate</t>
  </si>
  <si>
    <t>Rent: December (Huntingdon) - paid from UK</t>
  </si>
  <si>
    <t>Twilio SMS service</t>
  </si>
  <si>
    <t>giffgaff London (Data card for equipment): Dec 2021</t>
  </si>
  <si>
    <t>Bank charges (Credit card)</t>
  </si>
  <si>
    <t>JAG20220812.3</t>
  </si>
  <si>
    <t>JWG Surveys</t>
  </si>
  <si>
    <t>refund Gewerbesteuer</t>
  </si>
  <si>
    <t>Gemeinde HK-SB</t>
  </si>
  <si>
    <t>Contintale Home insurance 2023</t>
  </si>
  <si>
    <t>Gewerbesteuer</t>
  </si>
  <si>
    <t>JAG20221128.1 / JAG20221128.3</t>
  </si>
  <si>
    <t>JAG20221027.1/JAG20221027.2</t>
  </si>
  <si>
    <t>PENS Rente/Pension: Energy Pauschaule</t>
  </si>
  <si>
    <t>Mr Kishori (Birmingham taxi)</t>
  </si>
  <si>
    <t>ASAP brakes</t>
  </si>
  <si>
    <t>NX Bus (Birmingham)</t>
  </si>
  <si>
    <t>Dbahn train</t>
  </si>
  <si>
    <t>Kenilworth</t>
  </si>
  <si>
    <t>Lawley</t>
  </si>
  <si>
    <t>WWH Ph 1</t>
  </si>
  <si>
    <t>DE Tax % (Zusammenfassung)</t>
  </si>
  <si>
    <t>Rent: January (Huntingdon) - paid from UK</t>
  </si>
  <si>
    <t>TK Techniker Krakenkasse</t>
  </si>
  <si>
    <t>Giffgaff London (multiple Data cards for equipment)</t>
  </si>
  <si>
    <t>31.02.2023</t>
  </si>
  <si>
    <t>Kreditkart Wahrungsumrechn</t>
  </si>
  <si>
    <t>JAG20221220.1 / JAG20230103.1</t>
  </si>
  <si>
    <t>Survey Supplies (Dec 22)</t>
  </si>
  <si>
    <t>St Leonhards apotheke</t>
  </si>
  <si>
    <t>Sum Up Taxi (Huntingdon)</t>
  </si>
  <si>
    <t>ABZ-ZR Zahnartz Hk-Sb</t>
  </si>
  <si>
    <t>ASAP repairs</t>
  </si>
  <si>
    <t>Rent: Feb (Huntingdon) - paid from UK</t>
  </si>
  <si>
    <t>Trainline: HUN-LHR</t>
  </si>
  <si>
    <t>Auto Service &amp; Parts</t>
  </si>
  <si>
    <t>DBahn Monatskarte</t>
  </si>
  <si>
    <t>JAG20230130.1</t>
  </si>
  <si>
    <t>Survey Supplies (Jan)</t>
  </si>
  <si>
    <t>JAG20221220.2</t>
  </si>
  <si>
    <t>JAG20230103.2</t>
  </si>
  <si>
    <t>Medpex</t>
  </si>
  <si>
    <t>Gewerbesteuer: Gemeinde HK_SB</t>
  </si>
  <si>
    <t>British Airways (LON MUC)</t>
  </si>
  <si>
    <t>HK-SB Grundsteuer</t>
  </si>
  <si>
    <t>AutoDoc</t>
  </si>
  <si>
    <t>giffgaff London (Data card for equipment)</t>
  </si>
  <si>
    <t>Rent: March (Huntingdon) - paid from UK</t>
  </si>
  <si>
    <t>DBank service fees</t>
  </si>
  <si>
    <t>British Airways (MUC LON)</t>
  </si>
  <si>
    <t>JAG20230227.3</t>
  </si>
  <si>
    <t>Asset &amp; Infrastructure</t>
  </si>
  <si>
    <t>Fk München</t>
  </si>
  <si>
    <t>Team Viewer subscription</t>
  </si>
  <si>
    <t>JAG20230227.2</t>
  </si>
  <si>
    <t>Survey Supplies (Feb)</t>
  </si>
  <si>
    <t>British Airways (LON CPT)</t>
  </si>
  <si>
    <t>JAG20230103.1</t>
  </si>
  <si>
    <t>JAG20230130.2</t>
  </si>
  <si>
    <t>Dbahn monaatskaart</t>
  </si>
  <si>
    <t xml:space="preserve">Deutschebank SMS TAN </t>
  </si>
  <si>
    <t>EPPlus software</t>
  </si>
  <si>
    <t>Doc Morric medikamente</t>
  </si>
  <si>
    <t>JM Glendinning (Professional Indemnity Insurance)</t>
  </si>
  <si>
    <t>JAG20230329.1</t>
  </si>
  <si>
    <t>Survey Supplies (March)</t>
  </si>
  <si>
    <t>Rent: April (Huntingdon) - paid from UK</t>
  </si>
  <si>
    <t>Kartenzahlung</t>
  </si>
  <si>
    <t>JAG20230227.1</t>
  </si>
  <si>
    <t>DBank SMS Gebühren</t>
  </si>
  <si>
    <t>JAG20230426.3</t>
  </si>
  <si>
    <t>Techsol</t>
  </si>
  <si>
    <t>Dbahn (HKSB-Flughawen)</t>
  </si>
  <si>
    <t>JAG20230426.1</t>
  </si>
  <si>
    <t>Survey Supplies (April)</t>
  </si>
  <si>
    <t>Rent: May (Huntingdon) - paid from UK</t>
  </si>
  <si>
    <t>Bayerischer Rundfunk</t>
  </si>
  <si>
    <t>Schreibwaren Obermeier</t>
  </si>
  <si>
    <t>Lufthansa</t>
  </si>
  <si>
    <t>Gemeinde HK-SB Gewerbesteuer</t>
  </si>
  <si>
    <t>Holiday Inn Express Raunheim</t>
  </si>
  <si>
    <t>St Leonards Apotheke</t>
  </si>
  <si>
    <t>Marshmallow Insurance</t>
  </si>
  <si>
    <t>Rent: June (Huntingdon) - paid from UK</t>
  </si>
  <si>
    <t>Deutsche Bahn</t>
  </si>
  <si>
    <t>ADAC</t>
  </si>
  <si>
    <t>JAG20230524.5</t>
  </si>
  <si>
    <t>JAG20230524.3</t>
  </si>
  <si>
    <t>Survey Supplies (May)</t>
  </si>
  <si>
    <t>JAG20230524.1</t>
  </si>
  <si>
    <t>GHE Surveying</t>
  </si>
  <si>
    <t>JAG20230524.4</t>
  </si>
  <si>
    <t>Precise Construction Instruments (May)</t>
  </si>
  <si>
    <t>DVLA Vehicle tax</t>
  </si>
  <si>
    <t>JAG20230524.2</t>
  </si>
  <si>
    <t>JWG Surveying</t>
  </si>
  <si>
    <t>JAG20230329.2</t>
  </si>
  <si>
    <t>JAG20230426.2</t>
  </si>
  <si>
    <t>Vehicle MOT certificate</t>
  </si>
  <si>
    <t>Emirates (MUC PER)</t>
  </si>
  <si>
    <t>ADAC Krankenversecherung</t>
  </si>
  <si>
    <t>Rent: July (Huntingdon) - paid from UK</t>
  </si>
  <si>
    <t>Bayerische Rundfunk ARD</t>
  </si>
  <si>
    <t>DB Vertrieb Dbahn</t>
  </si>
  <si>
    <t>Perth Accomodation: Booking.com</t>
  </si>
  <si>
    <t>JAG20230627.2</t>
  </si>
  <si>
    <t>Survey Supplies (June)</t>
  </si>
  <si>
    <t>trainline</t>
  </si>
  <si>
    <t>TWILIO INC</t>
  </si>
  <si>
    <t>Australia Visa</t>
  </si>
  <si>
    <t>Lufthansa RQSQVO MUC LHR</t>
  </si>
  <si>
    <t>Lufthansa S6JEG7</t>
  </si>
  <si>
    <t>Kanzlei Langer Tratz</t>
  </si>
  <si>
    <t>Heathrow Rail Link</t>
  </si>
  <si>
    <t>JAG20230626.1</t>
  </si>
  <si>
    <t>AI Engineering</t>
  </si>
  <si>
    <t>JAG20230629.1</t>
  </si>
  <si>
    <t xml:space="preserve">JAG20230627.1 / JAG20230725.1 </t>
  </si>
  <si>
    <t>Precise Construction Instruments (June &amp; July)</t>
  </si>
  <si>
    <t>Rent: August (Huntingdon) - paid from UK</t>
  </si>
  <si>
    <t>HK-SB Gemeinde Grundsteuer</t>
  </si>
  <si>
    <t>HK-SB Gemeinde Gewerbesteuer</t>
  </si>
  <si>
    <t>EMIRATES</t>
  </si>
  <si>
    <t>EMIRATES LEIS DXB CONC</t>
  </si>
  <si>
    <t>JAG20230725.2</t>
  </si>
  <si>
    <t>Survey Supplies (July)</t>
  </si>
  <si>
    <t>Austin PC (computer repairs, Australia)</t>
  </si>
  <si>
    <t>Australian Way (Taxi)</t>
  </si>
  <si>
    <t>myholiday WA Perth</t>
  </si>
  <si>
    <t>AA membership</t>
  </si>
  <si>
    <t>EMIRATES LEIS CONCA</t>
  </si>
  <si>
    <t>JAG20230725.3 / .4</t>
  </si>
  <si>
    <t>vehicleinformation.uk</t>
  </si>
  <si>
    <t>Finanzamt</t>
  </si>
  <si>
    <t>Bayerische Rotes Kreuz</t>
  </si>
  <si>
    <t>Rent: Sep (Huntingdon) - paid from UK</t>
  </si>
  <si>
    <t>JAG20230825.2</t>
  </si>
  <si>
    <t>Survey Supplies (August)</t>
  </si>
  <si>
    <t>JAG20230825.1</t>
  </si>
  <si>
    <t>Precise Construction Instruments (August)</t>
  </si>
  <si>
    <t>JAG20230818.1</t>
  </si>
  <si>
    <t>Pilbara Iron Co</t>
  </si>
  <si>
    <t>JAG20221230.1 / .2/ .3</t>
  </si>
  <si>
    <t>AECOM x 3 2022</t>
  </si>
  <si>
    <t>Lamberts Engineering</t>
  </si>
  <si>
    <t>LUFTHAN2202521378049</t>
  </si>
  <si>
    <t>Software24: Windows 10 upgrade</t>
  </si>
  <si>
    <t>HMRC_ UK Tax</t>
  </si>
  <si>
    <t>16.19.2023</t>
  </si>
  <si>
    <t>JAG20230927.3</t>
  </si>
  <si>
    <t>Survey Supplies (Sep)</t>
  </si>
  <si>
    <t>JAG20230827.4</t>
  </si>
  <si>
    <t>Precise Construction Instruments (Sep)</t>
  </si>
  <si>
    <t>Admiral vehicle insurance</t>
  </si>
  <si>
    <t>eBay (vehicle derusting materials)</t>
  </si>
  <si>
    <t>eBay (vehicle spare part, local)</t>
  </si>
  <si>
    <t>Halfords - vehicle spares</t>
  </si>
  <si>
    <t>British Airways (LON/MUC)</t>
  </si>
  <si>
    <t>Trainline (HUN to Peterborough)</t>
  </si>
  <si>
    <t>Cross Country Trains (Peterborough to Birmingham)</t>
  </si>
  <si>
    <t>JAG20230825.3/.4</t>
  </si>
  <si>
    <t>JWG Survey &amp; Engineering</t>
  </si>
  <si>
    <t>eBay (vehicle spare part from China - aircon pump)</t>
  </si>
  <si>
    <t>JAG20230927.1/.2A</t>
  </si>
  <si>
    <t>Rent: Nov (Huntingdon) - paid from UK</t>
  </si>
  <si>
    <t>Hetzner gnageomatics.com web hosting</t>
  </si>
  <si>
    <t>Grundsteuer: Gemeinde HK_SB</t>
  </si>
  <si>
    <t>IHK München</t>
  </si>
  <si>
    <t>JAG20231027.2</t>
  </si>
  <si>
    <t xml:space="preserve">Pension </t>
  </si>
  <si>
    <t>JAG20231027.1</t>
  </si>
  <si>
    <t>JAG20230927.5a/6a/7a</t>
  </si>
  <si>
    <t>AECOM (x3)</t>
  </si>
  <si>
    <t>British Airways refund</t>
  </si>
  <si>
    <t>Autodoc vehicle service</t>
  </si>
  <si>
    <t>Halfords vehicle spares</t>
  </si>
  <si>
    <t>Trainline (HUN to LHR)</t>
  </si>
  <si>
    <t>JAG20231027.3</t>
  </si>
  <si>
    <t>Survey Supplies (Okt)</t>
  </si>
  <si>
    <t>Rent: Dec (Huntingdon) - paid from UK</t>
  </si>
  <si>
    <t>Contintale Insurance</t>
  </si>
  <si>
    <t>DVLA vehicle tax</t>
  </si>
  <si>
    <t>JAG20231124.2</t>
  </si>
  <si>
    <t>Precise Construction Instruments (Nov)</t>
  </si>
  <si>
    <t>JAG20231124.1</t>
  </si>
  <si>
    <t>Survey Supplies (Nov)</t>
  </si>
  <si>
    <t>JAG20231124.3</t>
  </si>
  <si>
    <t>2024A</t>
  </si>
  <si>
    <t>ARD ZDF Dradio</t>
  </si>
  <si>
    <t>Rent: Jan (Huntingdon) - paid from UK</t>
  </si>
  <si>
    <t>Hetzner web hosting</t>
  </si>
  <si>
    <t>Zettle Taxi</t>
  </si>
  <si>
    <t>Panther taxis</t>
  </si>
  <si>
    <t>JAG20231215.1</t>
  </si>
  <si>
    <t>JAG20240111.1</t>
  </si>
  <si>
    <t>Stephens SIMS vehicle spares</t>
  </si>
  <si>
    <t>JAG20231231.1</t>
  </si>
  <si>
    <t>Lufthansa (PFBAUR)</t>
  </si>
  <si>
    <t>JAG20231231.2</t>
  </si>
  <si>
    <t>ARD ZDF radio</t>
  </si>
  <si>
    <t>1+1 Telekom GmbH</t>
  </si>
  <si>
    <t>EEplus 2024 software license</t>
  </si>
  <si>
    <t>Lufthansa (S9VZ2)</t>
  </si>
  <si>
    <t xml:space="preserve">Lufthansa </t>
  </si>
  <si>
    <t>JAG20231231.3</t>
  </si>
  <si>
    <t>HKSB Gewebersteuer</t>
  </si>
  <si>
    <t>Mediamarkt (Acer Aspire 5)</t>
  </si>
  <si>
    <t>Mediamarkt</t>
  </si>
  <si>
    <t>Udemy training</t>
  </si>
  <si>
    <t>ASAP</t>
  </si>
  <si>
    <t>Shell</t>
  </si>
  <si>
    <t>Team Viewer</t>
  </si>
  <si>
    <t>ASAP motors</t>
  </si>
  <si>
    <t>Revolut</t>
  </si>
  <si>
    <t>Finanzamt payment</t>
  </si>
  <si>
    <t>IHK Munchen</t>
  </si>
  <si>
    <t>JAG20240129.1 JAG20240227.3</t>
  </si>
  <si>
    <t>JAG20240129.2 JAG20240227.2</t>
  </si>
  <si>
    <t>JAG20240227.1</t>
  </si>
  <si>
    <t>Lufthansa (LXW2MX)</t>
  </si>
  <si>
    <t>2024B</t>
  </si>
  <si>
    <t>GROSS CHECK 2023.01.01 to 2024.04.05</t>
  </si>
  <si>
    <t>JAG20240325.1</t>
  </si>
  <si>
    <t>JAG20240325.2</t>
  </si>
  <si>
    <t>RyanAir</t>
  </si>
  <si>
    <t>JAG20240325.3</t>
  </si>
  <si>
    <t>Transport for London</t>
  </si>
  <si>
    <t>Halifax bank charges</t>
  </si>
  <si>
    <t>JAG20240403.1</t>
  </si>
  <si>
    <t>AECOM</t>
  </si>
  <si>
    <t>Finanzamt Munchen (2021)</t>
  </si>
  <si>
    <t>Finanzamt Munchen (2023)</t>
  </si>
  <si>
    <t>Finanzamt Munchen (2024)</t>
  </si>
  <si>
    <t>Gemeinde HK_SB</t>
  </si>
  <si>
    <t>Gemeinde HK_SB (mahnung)</t>
  </si>
  <si>
    <t>HKSB Gemeinde Grundsteuer</t>
  </si>
  <si>
    <t>JAG20240426.1</t>
  </si>
  <si>
    <t>Sims car parts</t>
  </si>
  <si>
    <t>JAG20240426.2</t>
  </si>
  <si>
    <t>JAG20240426.3</t>
  </si>
  <si>
    <t>Sandy Service station</t>
  </si>
  <si>
    <t>ARD ZDF Bayerische rundfunk</t>
  </si>
  <si>
    <t>JAG20230527.6</t>
  </si>
  <si>
    <t>Auto Service and Parts</t>
  </si>
  <si>
    <t>RailNinja</t>
  </si>
  <si>
    <t>JAG20240527.4 / .5</t>
  </si>
  <si>
    <t>DB Bank charges</t>
  </si>
  <si>
    <t>JAG20240527.7 / .8</t>
  </si>
  <si>
    <t>31.06.2024</t>
  </si>
  <si>
    <t>Revolut bank charges</t>
  </si>
  <si>
    <t>Bayerische rundfunk</t>
  </si>
  <si>
    <t>StephensSims</t>
  </si>
  <si>
    <t>Shell (Fuel)</t>
  </si>
  <si>
    <t>Barkway Services (Fuel)</t>
  </si>
  <si>
    <t>Opodo (airline ticket to Luton)</t>
  </si>
  <si>
    <t>Amazon (Guidelines for slope stability monitoring)</t>
  </si>
  <si>
    <t>Lufthansa R8H77H</t>
  </si>
  <si>
    <t>JAG20240625.3/.4</t>
  </si>
  <si>
    <t>Lufthansa added baggage</t>
  </si>
  <si>
    <t>Survey Supplies ltd (June)</t>
  </si>
  <si>
    <t>Precise Construction Instruments (June)</t>
  </si>
  <si>
    <t>Eurotrade (UK plug)</t>
  </si>
  <si>
    <t>Brisson (Perth accomodation)</t>
  </si>
  <si>
    <t>HMRC steuer</t>
  </si>
  <si>
    <t>HMRC - UK Tax</t>
  </si>
  <si>
    <t>IVISA : Australian visa service</t>
  </si>
  <si>
    <t>Gemeinde HKSB Grundsteuer</t>
  </si>
  <si>
    <t>Parts Center</t>
  </si>
  <si>
    <t>Emirates Airline ticket (MUC to PER return)</t>
  </si>
  <si>
    <t>JAG20240625.3</t>
  </si>
  <si>
    <t>Panther Taxis</t>
  </si>
  <si>
    <t>31.09.2024</t>
  </si>
  <si>
    <t>JAG20240726.2</t>
  </si>
  <si>
    <t>Precise Construction Instruments (July)</t>
  </si>
  <si>
    <t>JAG20240726.1</t>
  </si>
  <si>
    <t>CabFare</t>
  </si>
  <si>
    <t>LSP Baggage (Perth Travel card)</t>
  </si>
  <si>
    <t>Vodafone Perth (data and sim card)</t>
  </si>
  <si>
    <t>TotalAV antivirus software</t>
  </si>
  <si>
    <t>Uber (PER)</t>
  </si>
  <si>
    <t>Lufthansa (MUC LHR)</t>
  </si>
  <si>
    <t>Uber</t>
  </si>
  <si>
    <t>Uber (MUC)</t>
  </si>
  <si>
    <t>HKSB Gewerbesteuer 2024/3</t>
  </si>
  <si>
    <t>SP SIms parts</t>
  </si>
  <si>
    <t>JAG20240830.3</t>
  </si>
  <si>
    <t>JW Survey</t>
  </si>
  <si>
    <t>Rent: (Huntingdon) - paid from UK</t>
  </si>
  <si>
    <t>HK_SB Gewerbesteuer</t>
  </si>
  <si>
    <t>JAG20240830.2</t>
  </si>
  <si>
    <t>Admiral Insurance (Vehicle)</t>
  </si>
  <si>
    <t>ASAP vehicle</t>
  </si>
  <si>
    <t>Lufthansa (baggage)</t>
  </si>
  <si>
    <t>Sony - airline headsets</t>
  </si>
  <si>
    <t>HMRC Tax</t>
  </si>
  <si>
    <t>JAG20240927.1</t>
  </si>
  <si>
    <t>Survey Supplies (September 2024)</t>
  </si>
  <si>
    <t>JAG20241028.4</t>
  </si>
  <si>
    <t>Tri-Tech</t>
  </si>
  <si>
    <t>JAG20240927.2 / JAG20241028.2</t>
  </si>
  <si>
    <t>Precise Construction Instruments (Sep, Oct)</t>
  </si>
  <si>
    <t>OpenAI subscription</t>
  </si>
  <si>
    <t>JAG20240927.3</t>
  </si>
  <si>
    <t>Emirates (seat)</t>
  </si>
  <si>
    <t>Gemeinde HK_SB Grundsteuer</t>
  </si>
  <si>
    <t>Lufthansa MUC-TIA</t>
  </si>
  <si>
    <t>JAG20241125.4</t>
  </si>
  <si>
    <t>DE Finanzamt</t>
  </si>
  <si>
    <t>JAG20241028.3</t>
  </si>
  <si>
    <t>Land Survey Solutions</t>
  </si>
  <si>
    <t>JAG20241028.5/6/7</t>
  </si>
  <si>
    <t>Continentale Insurance</t>
  </si>
  <si>
    <t>JAG20241125.1</t>
  </si>
  <si>
    <t>Survey Supllies (Nov)</t>
  </si>
  <si>
    <t xml:space="preserve">Opodo </t>
  </si>
  <si>
    <t>TFL train ticket</t>
  </si>
  <si>
    <t>CAD Manufacturing (ICAD software)</t>
  </si>
  <si>
    <t>JAG20241125.3</t>
  </si>
  <si>
    <t>GROSS CHECK 2024.01.01 to 2024.12.31</t>
  </si>
  <si>
    <t>JAG20241125.5</t>
  </si>
  <si>
    <t>JAG20241125.2</t>
  </si>
  <si>
    <t>JAG20241104.1</t>
  </si>
  <si>
    <t>Period</t>
  </si>
  <si>
    <t>Expenses Check</t>
  </si>
  <si>
    <t>Income Check</t>
  </si>
  <si>
    <t>Einkommensteuererklärungreferenz / Kommentar 220 3389194</t>
  </si>
  <si>
    <t>01.01.2022 to 05.04.2022</t>
  </si>
  <si>
    <t>UK Days</t>
  </si>
  <si>
    <t>Income / Expense summary</t>
  </si>
  <si>
    <t>DE Days</t>
  </si>
  <si>
    <t>UK portion</t>
  </si>
  <si>
    <t>UK%</t>
  </si>
  <si>
    <t>DE portion</t>
  </si>
  <si>
    <t>06.04.2022 to 31.12.2022</t>
  </si>
  <si>
    <t>Income / Expense totals</t>
  </si>
  <si>
    <t>DE portion (€)</t>
  </si>
  <si>
    <t>DE</t>
  </si>
  <si>
    <t>UK portion (€)</t>
  </si>
  <si>
    <t>UK portion (£)</t>
  </si>
  <si>
    <t>check for 2023</t>
  </si>
  <si>
    <t>Check for 2024 UK tax year</t>
  </si>
  <si>
    <t>check for 2024 DE Tax year</t>
  </si>
  <si>
    <t>income</t>
  </si>
  <si>
    <t>expenses</t>
  </si>
  <si>
    <t>Profit</t>
  </si>
  <si>
    <t>pm</t>
  </si>
  <si>
    <t>2024: DE</t>
  </si>
  <si>
    <t>Average exchange rate</t>
  </si>
  <si>
    <t>2022 UK Tax period</t>
  </si>
  <si>
    <t>06.04.2022 - 05.04.2023</t>
  </si>
  <si>
    <t>DE Tax</t>
  </si>
  <si>
    <t>01.01.2022 - 31.12.2022</t>
  </si>
  <si>
    <t>01.01.2023 - 31.12.2023</t>
  </si>
  <si>
    <t>Income</t>
  </si>
  <si>
    <t>Check</t>
  </si>
  <si>
    <t>Zusammenfassung</t>
  </si>
  <si>
    <t>German</t>
  </si>
  <si>
    <t>Total</t>
  </si>
  <si>
    <t>Total income</t>
  </si>
  <si>
    <t>A. BETRIEBSEINNAHMEN</t>
  </si>
  <si>
    <t>EUR</t>
  </si>
  <si>
    <t>Vorjah</t>
  </si>
  <si>
    <t>DE income (Jan - Apr05)</t>
  </si>
  <si>
    <t>1. Einnahmen</t>
  </si>
  <si>
    <t>DE Income (Apr06-Dec)</t>
  </si>
  <si>
    <t>2. Umsatzsteuer</t>
  </si>
  <si>
    <t>B. BETRIEBSAUSGABEN</t>
  </si>
  <si>
    <t>1. Raumkosten</t>
  </si>
  <si>
    <t>Sonstige Raumkosten</t>
  </si>
  <si>
    <t>2. Steuern, Versicherungen und Beiträge</t>
  </si>
  <si>
    <t>3. Fahrzeugkosten</t>
  </si>
  <si>
    <t>Sonstige Fahrzeugkosten</t>
  </si>
  <si>
    <t>4. Werbe &amp; Reisekosten</t>
  </si>
  <si>
    <t>5. Instandhaltung &amp; Werkzeuge</t>
  </si>
  <si>
    <t>6. Verscheidene Kosten</t>
  </si>
  <si>
    <t>7. Vorsteuer</t>
  </si>
  <si>
    <t>Summe Koste</t>
  </si>
  <si>
    <t>Summe Betriebsausgaben</t>
  </si>
  <si>
    <t>C:BETRIEBLICHER GEWINN</t>
  </si>
  <si>
    <t>E. STEUERLICHER GEWINN</t>
  </si>
  <si>
    <t>Konto</t>
  </si>
  <si>
    <t>Bezeichnung</t>
  </si>
  <si>
    <t>Einnahmen</t>
  </si>
  <si>
    <t>Nicht steuerbare s. Leistung</t>
  </si>
  <si>
    <t>Nicht steuerbare Umsätze Drittland</t>
  </si>
  <si>
    <t>Umstatzsteuer - Erstattungen</t>
  </si>
  <si>
    <t>Umstatzsteuer - Vorauszahlungen</t>
  </si>
  <si>
    <t>Umsatzsteuer laufendes Jahr</t>
  </si>
  <si>
    <t>Umsatzsteuer Vorjahr</t>
  </si>
  <si>
    <t>Aufwendung, Arbeitszimmer abz Anteil</t>
  </si>
  <si>
    <t>Steuern, Versicherungen und Beiträge</t>
  </si>
  <si>
    <t>Versicherung</t>
  </si>
  <si>
    <t>Beitrage</t>
  </si>
  <si>
    <t>Sonstige Abgaben</t>
  </si>
  <si>
    <t>Kfz-Kosten</t>
  </si>
  <si>
    <t>Fremdfahrzeugkosten</t>
  </si>
  <si>
    <t>Werbe- und Reisekosten</t>
  </si>
  <si>
    <t>Werbekosten</t>
  </si>
  <si>
    <t>Bewirtungskosten</t>
  </si>
  <si>
    <t>Nicht abzugsfähige Bewirtungskosten</t>
  </si>
  <si>
    <t>Reisekosten Untenemher,Fahrtkosten</t>
  </si>
  <si>
    <t>Reisekosten UN Verpfleg.mehraufwand</t>
  </si>
  <si>
    <t>Reisekosten UN Übernacht/Nebenkost</t>
  </si>
  <si>
    <t>Instandhaltung und Werkzeuge</t>
  </si>
  <si>
    <t>Wartungskosten für Hard- und Software</t>
  </si>
  <si>
    <t>Verschiedene Kosten</t>
  </si>
  <si>
    <t>Porto</t>
  </si>
  <si>
    <t>Telefon</t>
  </si>
  <si>
    <t>Telefax und Internetkosten</t>
  </si>
  <si>
    <t>Bürobedarf</t>
  </si>
  <si>
    <t>Rechts und Beratungskosten</t>
  </si>
  <si>
    <t>Abschluss- und Prüfungskosten</t>
  </si>
  <si>
    <t>Buchführungskosten</t>
  </si>
  <si>
    <t>Sonstiger Betriebsbedarf</t>
  </si>
  <si>
    <t>Arbeitskleidung</t>
  </si>
  <si>
    <t>Nebenkosten des Geldverkehrs</t>
  </si>
  <si>
    <t>Vorsteuer</t>
  </si>
  <si>
    <t>Abziehbare Vorsteuer</t>
  </si>
  <si>
    <t>BETRIEBLICHER GEWINN</t>
  </si>
  <si>
    <t>Nicht abzugsfäige Bewirtungskosten</t>
  </si>
  <si>
    <t>STEUERLICHTER GEWINN</t>
  </si>
  <si>
    <t>Total income 2023</t>
  </si>
  <si>
    <t>Office equipment &amp; hardware</t>
  </si>
  <si>
    <t>Sub total</t>
  </si>
  <si>
    <t>Turnover for Julian Gray</t>
  </si>
  <si>
    <t>Income for Julian Gray</t>
  </si>
  <si>
    <t>Car</t>
  </si>
  <si>
    <t>Data Sim</t>
  </si>
  <si>
    <t>Travel</t>
  </si>
  <si>
    <t>Costs of goods bought for re-sale or goods used</t>
  </si>
  <si>
    <t>Office equip.</t>
  </si>
  <si>
    <t>Car, van and travel expenses after private use proportion</t>
  </si>
  <si>
    <t>12,13,15</t>
  </si>
  <si>
    <t>Wages, salaries, and other staff costs</t>
  </si>
  <si>
    <t>Rent</t>
  </si>
  <si>
    <t>Rent, rates, power, and insurance costs</t>
  </si>
  <si>
    <t>Repairs and maintenance of property and equipment</t>
  </si>
  <si>
    <t>Accountancy, legal and other professional fees</t>
  </si>
  <si>
    <t>Software etc</t>
  </si>
  <si>
    <t>Interest and bank and credit card etc. financial charges</t>
  </si>
  <si>
    <t>Telephone, fax, stationery and other office costs</t>
  </si>
  <si>
    <t>10,11,16,17</t>
  </si>
  <si>
    <t>Other allowable business expenses</t>
  </si>
  <si>
    <t>UK 2022 : up to April 05 2022</t>
  </si>
  <si>
    <t>UK 2023: April 06 2022  to  April 05 2023</t>
  </si>
  <si>
    <t>German 2022</t>
  </si>
  <si>
    <t>01.01.2023 to 05.04.2023</t>
  </si>
  <si>
    <t>06.04.2023 to 31.12.2023</t>
  </si>
  <si>
    <t>European Central Bank</t>
  </si>
  <si>
    <t>https://www.ecb.europa.eu/stats/policy_and_exchange_rates/euro_reference_exchange_rates/html/eurofxref-graph-gbp.en.html</t>
  </si>
  <si>
    <t>Income UK</t>
  </si>
  <si>
    <t>Data SIM Cards</t>
  </si>
  <si>
    <t>Taxi, Train, Toll, Parking, Hotel, Apartment</t>
  </si>
  <si>
    <t>Tax</t>
  </si>
  <si>
    <t>No tax</t>
  </si>
  <si>
    <t>Jan 2022 to 05 April 2022</t>
  </si>
  <si>
    <t>Convert to pounds (European bank conversion 5 April)</t>
  </si>
  <si>
    <t>be careful</t>
  </si>
  <si>
    <t>6 April 2022 to 5 April 2023</t>
  </si>
  <si>
    <t>Transfer</t>
  </si>
  <si>
    <t>Day No.</t>
  </si>
  <si>
    <t>Day No</t>
  </si>
  <si>
    <t>UK Income</t>
  </si>
  <si>
    <t>January 1, 2021 (Fri)</t>
  </si>
  <si>
    <t>January 2, 2021 (Sat)</t>
  </si>
  <si>
    <t>January 3, 2021 (Sun)</t>
  </si>
  <si>
    <t>January 4, 2021 (Mon)</t>
  </si>
  <si>
    <t>January 5, 2021 (Tue)</t>
  </si>
  <si>
    <t>January 6, 2021 (Wed)</t>
  </si>
  <si>
    <t>January 7, 2021 (Thu)</t>
  </si>
  <si>
    <t>January 8, 2021 (Fri)</t>
  </si>
  <si>
    <t>January 9, 2021 (Sat)</t>
  </si>
  <si>
    <t>January 10, 2021 (Sun)</t>
  </si>
  <si>
    <t>January 11, 2021 (Mon)</t>
  </si>
  <si>
    <t>January 12, 2021 (Tue)</t>
  </si>
  <si>
    <t>January 13, 2021 (Wed)</t>
  </si>
  <si>
    <t>January 14, 2021 (Thu)</t>
  </si>
  <si>
    <t>January 15, 2021 (Fri)</t>
  </si>
  <si>
    <t>January 16, 2021 (Sat)</t>
  </si>
  <si>
    <t>January 17, 2021 (Sun)</t>
  </si>
  <si>
    <t>January 18, 2021 (Mon)</t>
  </si>
  <si>
    <t>January 19, 2021 (Tue)</t>
  </si>
  <si>
    <t>January 20, 2021 (Wed)</t>
  </si>
  <si>
    <t>January 21, 2021 (Thu)</t>
  </si>
  <si>
    <t>January 22, 2021 (Fri)</t>
  </si>
  <si>
    <t>January 23, 2021 (Sat)</t>
  </si>
  <si>
    <t>January 24, 2021 (Sun)</t>
  </si>
  <si>
    <t>January 25, 2021 (Mon)</t>
  </si>
  <si>
    <t>January 26, 2021 (Tue)</t>
  </si>
  <si>
    <t>January 27, 2021 (Wed)</t>
  </si>
  <si>
    <t>January 28, 2021 (Thu)</t>
  </si>
  <si>
    <t>January 29, 2021 (Fri)</t>
  </si>
  <si>
    <t>January 30, 2021 (Sat)</t>
  </si>
  <si>
    <t>January 31, 2021 (Sun)</t>
  </si>
  <si>
    <t>February 1, 2021 (Mon)</t>
  </si>
  <si>
    <t>February 2, 2021 (Tue)</t>
  </si>
  <si>
    <t>February 3, 2021 (Wed)</t>
  </si>
  <si>
    <t>February 4, 2021 (Thu)</t>
  </si>
  <si>
    <t>February 5, 2021 (Fri)</t>
  </si>
  <si>
    <t>February 6, 2021 (Sat)</t>
  </si>
  <si>
    <t>February 7, 2021 (Sun)</t>
  </si>
  <si>
    <t>February 8, 2021 (Mon)</t>
  </si>
  <si>
    <t>February 9, 2021 (Tue)</t>
  </si>
  <si>
    <t>February 10, 2021 (Wed)</t>
  </si>
  <si>
    <t>February 11, 2021 (Thu)</t>
  </si>
  <si>
    <t>February 12, 2021 (Fri)</t>
  </si>
  <si>
    <t>February 13, 2021 (Sat)</t>
  </si>
  <si>
    <t>February 14, 2021 (Sun)</t>
  </si>
  <si>
    <t>February 15, 2021 (Mon)</t>
  </si>
  <si>
    <t>February 16, 2021 (Tue)</t>
  </si>
  <si>
    <t>February 17, 2021 (Wed)</t>
  </si>
  <si>
    <t>February 18, 2021 (Thu)</t>
  </si>
  <si>
    <t>February 19, 2021 (Fri)</t>
  </si>
  <si>
    <t>February 20, 2021 (Sat)</t>
  </si>
  <si>
    <t>February 21, 2021 (Sun)</t>
  </si>
  <si>
    <t>February 22, 2021 (Mon)</t>
  </si>
  <si>
    <t>February 23, 2021 (Tue)</t>
  </si>
  <si>
    <t>February 24, 2021 (Wed)</t>
  </si>
  <si>
    <t>February 25, 2021 (Thu)</t>
  </si>
  <si>
    <t>February 26, 2021 (Fri)</t>
  </si>
  <si>
    <t>February 27, 2021 (Sat)</t>
  </si>
  <si>
    <t>February 28, 2021 (Sun)</t>
  </si>
  <si>
    <t>March 1, 2021 (Mon)</t>
  </si>
  <si>
    <t>March 2, 2021 (Tue)</t>
  </si>
  <si>
    <t>March 3, 2021 (Wed)</t>
  </si>
  <si>
    <t>March 4, 2021 (Thu)</t>
  </si>
  <si>
    <t>March 5, 2021 (Fri)</t>
  </si>
  <si>
    <t>March 6, 2021 (Sat)</t>
  </si>
  <si>
    <t>March 7, 2021 (Sun)</t>
  </si>
  <si>
    <t>March 8, 2021 (Mon)</t>
  </si>
  <si>
    <t>March 9, 2021 (Tue)</t>
  </si>
  <si>
    <t>March 10, 2021 (Wed)</t>
  </si>
  <si>
    <t>March 11, 2021 (Thu)</t>
  </si>
  <si>
    <t>March 12, 2021 (Fri)</t>
  </si>
  <si>
    <t>March 13, 2021 (Sat)</t>
  </si>
  <si>
    <t>March 14, 2021 (Sun)</t>
  </si>
  <si>
    <t>March 15, 2021 (Mon)</t>
  </si>
  <si>
    <t>March 16, 2021 (Tue)</t>
  </si>
  <si>
    <t>March 17, 2021 (Wed)</t>
  </si>
  <si>
    <t>March 18, 2021 (Thu)</t>
  </si>
  <si>
    <t>March 19, 2021 (Fri)</t>
  </si>
  <si>
    <t>March 20, 2021 (Sat)</t>
  </si>
  <si>
    <t>March 21, 2021 (Sun)</t>
  </si>
  <si>
    <t>March 22, 2021 (Mon)</t>
  </si>
  <si>
    <t>March 23, 2021 (Tue)</t>
  </si>
  <si>
    <t>March 24, 2021 (Wed)</t>
  </si>
  <si>
    <t>March 25, 2021 (Thu)</t>
  </si>
  <si>
    <t>March 26, 2021 (Fri)</t>
  </si>
  <si>
    <t>March 27, 2021 (Sat)</t>
  </si>
  <si>
    <t>March 28, 2021 (Sun)</t>
  </si>
  <si>
    <t>March 29, 2021 (Mon)</t>
  </si>
  <si>
    <t>March 30, 2021 (Tue)</t>
  </si>
  <si>
    <t>March 31, 2021 (Wed)</t>
  </si>
  <si>
    <t>April 1, 2021 (Thu)</t>
  </si>
  <si>
    <t>April 2, 2021 (Fri)</t>
  </si>
  <si>
    <t>April 3, 2021 (Sat)</t>
  </si>
  <si>
    <t>April 4, 2021 (Sun)</t>
  </si>
  <si>
    <t>April 5, 2021 (Mon)</t>
  </si>
  <si>
    <t>April 6, 2021 (Tue)</t>
  </si>
  <si>
    <t>April 7, 2021 (Wed)</t>
  </si>
  <si>
    <t>April 8, 2021 (Thu)</t>
  </si>
  <si>
    <t>April 9, 2021 (Fri)</t>
  </si>
  <si>
    <t>April 10, 2021 (Sat)</t>
  </si>
  <si>
    <t>April 11, 2021 (Sun)</t>
  </si>
  <si>
    <t>April 12, 2021 (Mon)</t>
  </si>
  <si>
    <t>April 13, 2021 (Tue)</t>
  </si>
  <si>
    <t>April 14, 2021 (Wed)</t>
  </si>
  <si>
    <t>April 15, 2021 (Thu)</t>
  </si>
  <si>
    <t>April 16, 2021 (Fri)</t>
  </si>
  <si>
    <t>April 17, 2021 (Sat)</t>
  </si>
  <si>
    <t>April 18, 2021 (Sun)</t>
  </si>
  <si>
    <t>April 19, 2021 (Mon)</t>
  </si>
  <si>
    <t>April 20, 2021 (Tue)</t>
  </si>
  <si>
    <t>April 21, 2021 (Wed)</t>
  </si>
  <si>
    <t>April 22, 2021 (Thu)</t>
  </si>
  <si>
    <t>April 23, 2021 (Fri)</t>
  </si>
  <si>
    <t>April 24, 2021 (Sat)</t>
  </si>
  <si>
    <t>April 25, 2021 (Sun)</t>
  </si>
  <si>
    <t>April 26, 2021 (Mon)</t>
  </si>
  <si>
    <t>April 27, 2021 (Tue)</t>
  </si>
  <si>
    <t>April 28, 2021 (Wed)</t>
  </si>
  <si>
    <t>April 29, 2021 (Thu)</t>
  </si>
  <si>
    <t>April 30, 2021 (Fri)</t>
  </si>
  <si>
    <t>May 1, 2021 (Sat)</t>
  </si>
  <si>
    <t>May 2, 2021 (Sun)</t>
  </si>
  <si>
    <t>May 3, 2021 (Mon)</t>
  </si>
  <si>
    <t>May 4, 2021 (Tue)</t>
  </si>
  <si>
    <t>May 5, 2021 (Wed)</t>
  </si>
  <si>
    <t>May 6, 2021 (Thu)</t>
  </si>
  <si>
    <t>May 7, 2021 (Fri)</t>
  </si>
  <si>
    <t>May 8, 2021 (Sat)</t>
  </si>
  <si>
    <t>May 9, 2021 (Sun)</t>
  </si>
  <si>
    <t>May 10, 2021 (Mon)</t>
  </si>
  <si>
    <t>May 11, 2021 (Tue)</t>
  </si>
  <si>
    <t>May 12, 2021 (Wed)</t>
  </si>
  <si>
    <t>May 13, 2021 (Thu)</t>
  </si>
  <si>
    <t>May 14, 2021 (Fri)</t>
  </si>
  <si>
    <t>May 15, 2021 (Sat)</t>
  </si>
  <si>
    <t>May 16, 2021 (Sun)</t>
  </si>
  <si>
    <t>May 17, 2021 (Mon)</t>
  </si>
  <si>
    <t>May 18, 2021 (Tue)</t>
  </si>
  <si>
    <t>May 19, 2021 (Wed)</t>
  </si>
  <si>
    <t>May 20, 2021 (Thu)</t>
  </si>
  <si>
    <t>May 21, 2021 (Fri)</t>
  </si>
  <si>
    <t>May 22, 2021 (Sat)</t>
  </si>
  <si>
    <t>May 23, 2021 (Sun)</t>
  </si>
  <si>
    <t>May 24, 2021 (Mon)</t>
  </si>
  <si>
    <t>May 25, 2021 (Tue)</t>
  </si>
  <si>
    <t>May 26, 2021 (Wed)</t>
  </si>
  <si>
    <t>May 27, 2021 (Thu)</t>
  </si>
  <si>
    <t>May 28, 2021 (Fri)</t>
  </si>
  <si>
    <t>May 29, 2021 (Sat)</t>
  </si>
  <si>
    <t>May 30, 2021 (Sun)</t>
  </si>
  <si>
    <t>May 31, 2021 (Mon)</t>
  </si>
  <si>
    <t>June 1, 2021 (Tue)</t>
  </si>
  <si>
    <t>June 2, 2021 (Wed)</t>
  </si>
  <si>
    <t>June 3, 2021 (Thu)</t>
  </si>
  <si>
    <t>June 4, 2021 (Fri)</t>
  </si>
  <si>
    <t>June 5, 2021 (Sat)</t>
  </si>
  <si>
    <t>June 6, 2021 (Sun)</t>
  </si>
  <si>
    <t>June 7, 2021 (Mon)</t>
  </si>
  <si>
    <t>June 8, 2021 (Tue)</t>
  </si>
  <si>
    <t>June 9, 2021 (Wed)</t>
  </si>
  <si>
    <t>June 10, 2021 (Thu)</t>
  </si>
  <si>
    <t>June 11, 2021 (Fri)</t>
  </si>
  <si>
    <t>June 12, 2021 (Sat)</t>
  </si>
  <si>
    <t>June 13, 2021 (Sun)</t>
  </si>
  <si>
    <t>June 14, 2021 (Mon)</t>
  </si>
  <si>
    <t>June 15, 2021 (Tue)</t>
  </si>
  <si>
    <t>June 16, 2021 (Wed)</t>
  </si>
  <si>
    <t>June 17, 2021 (Thu)</t>
  </si>
  <si>
    <t>June 18, 2021 (Fri)</t>
  </si>
  <si>
    <t>June 19, 2021 (Sat)</t>
  </si>
  <si>
    <t>June 20, 2021 (Sun)</t>
  </si>
  <si>
    <t>June 21, 2021 (Mon)</t>
  </si>
  <si>
    <t>June 22, 2021 (Tue)</t>
  </si>
  <si>
    <t>June 23, 2021 (Wed)</t>
  </si>
  <si>
    <t>June 24, 2021 (Thu)</t>
  </si>
  <si>
    <t>June 25, 2021 (Fri)</t>
  </si>
  <si>
    <t>June 26, 2021 (Sat)</t>
  </si>
  <si>
    <t>June 27, 2021 (Sun)</t>
  </si>
  <si>
    <t>June 28, 2021 (Mon)</t>
  </si>
  <si>
    <t>June 29, 2021 (Tue)</t>
  </si>
  <si>
    <t>June 30, 2021 (Wed)</t>
  </si>
  <si>
    <t>July 1, 2021 (Thu)</t>
  </si>
  <si>
    <t>July 2, 2021 (Fri)</t>
  </si>
  <si>
    <t>July 3, 2021 (Sat)</t>
  </si>
  <si>
    <t>July 4, 2021 (Sun)</t>
  </si>
  <si>
    <t>July 5, 2021 (Mon)</t>
  </si>
  <si>
    <t>July 6, 2021 (Tue)</t>
  </si>
  <si>
    <t>July 7, 2021 (Wed)</t>
  </si>
  <si>
    <t>July 8, 2021 (Thu)</t>
  </si>
  <si>
    <t>July 9, 2021 (Fri)</t>
  </si>
  <si>
    <t>July 10, 2021 (Sat)</t>
  </si>
  <si>
    <t>July 11, 2021 (Sun)</t>
  </si>
  <si>
    <t>July 12, 2021 (Mon)</t>
  </si>
  <si>
    <t>July 13, 2021 (Tue)</t>
  </si>
  <si>
    <t>July 14, 2021 (Wed)</t>
  </si>
  <si>
    <t>July 15, 2021 (Thu)</t>
  </si>
  <si>
    <t>July 16, 2021 (Fri)</t>
  </si>
  <si>
    <t>July 17, 2021 (Sat)</t>
  </si>
  <si>
    <t>July 18, 2021 (Sun)</t>
  </si>
  <si>
    <t>July 19, 2021 (Mon)</t>
  </si>
  <si>
    <t>July 20, 2021 (Tue)</t>
  </si>
  <si>
    <t>July 21, 2021 (Wed)</t>
  </si>
  <si>
    <t>July 22, 2021 (Thu)</t>
  </si>
  <si>
    <t>July 23, 2021 (Fri)</t>
  </si>
  <si>
    <t>July 24, 2021 (Sat)</t>
  </si>
  <si>
    <t>July 25, 2021 (Sun)</t>
  </si>
  <si>
    <t>July 26, 2021 (Mon)</t>
  </si>
  <si>
    <t>July 27, 2021 (Tue)</t>
  </si>
  <si>
    <t>July 28, 2021 (Wed)</t>
  </si>
  <si>
    <t>July 29, 2021 (Thu)</t>
  </si>
  <si>
    <t>July 30, 2021 (Fri)</t>
  </si>
  <si>
    <t>July 31, 2021 (Sat)</t>
  </si>
  <si>
    <t>August 1, 2021 (Sun)</t>
  </si>
  <si>
    <t>August 2, 2021 (Mon)</t>
  </si>
  <si>
    <t>August 3, 2021 (Tue)</t>
  </si>
  <si>
    <t>August 4, 2021 (Wed)</t>
  </si>
  <si>
    <t>August 5, 2021 (Thu)</t>
  </si>
  <si>
    <t>August 6, 2021 (Fri)</t>
  </si>
  <si>
    <t>August 7, 2021 (Sat)</t>
  </si>
  <si>
    <t>August 8, 2021 (Sun)</t>
  </si>
  <si>
    <t>August 9, 2021 (Mon)</t>
  </si>
  <si>
    <t>August 10, 2021 (Tue)</t>
  </si>
  <si>
    <t>August 11, 2021 (Wed)</t>
  </si>
  <si>
    <t>August 12, 2021 (Thu)</t>
  </si>
  <si>
    <t>August 13, 2021 (Fri)</t>
  </si>
  <si>
    <t>August 14, 2021 (Sat)</t>
  </si>
  <si>
    <t>August 15, 2021 (Sun)</t>
  </si>
  <si>
    <t>August 16, 2021 (Mon)</t>
  </si>
  <si>
    <t>August 17, 2021 (Tue)</t>
  </si>
  <si>
    <t>August 18, 2021 (Wed)</t>
  </si>
  <si>
    <t>August 19, 2021 (Thu)</t>
  </si>
  <si>
    <t>August 20, 2021 (Fri)</t>
  </si>
  <si>
    <t>August 21, 2021 (Sat)</t>
  </si>
  <si>
    <t>August 22, 2021 (Sun)</t>
  </si>
  <si>
    <t>August 23, 2021 (Mon)</t>
  </si>
  <si>
    <t>August 24, 2021 (Tue)</t>
  </si>
  <si>
    <t>August 25, 2021 (Wed)</t>
  </si>
  <si>
    <t>August 26, 2021 (Thu)</t>
  </si>
  <si>
    <t>August 27, 2021 (Fri)</t>
  </si>
  <si>
    <t>August 28, 2021 (Sat)</t>
  </si>
  <si>
    <t>August 29, 2021 (Sun)</t>
  </si>
  <si>
    <t>August 30, 2021 (Mon)</t>
  </si>
  <si>
    <t>August 31, 2021 (Tue)</t>
  </si>
  <si>
    <t>September 1, 2021 (Wed)</t>
  </si>
  <si>
    <t>September 2, 2021 (Thu)</t>
  </si>
  <si>
    <t>September 3, 2021 (Fri)</t>
  </si>
  <si>
    <t>September 4, 2021 (Sat)</t>
  </si>
  <si>
    <t>September 5, 2021 (Sun)</t>
  </si>
  <si>
    <t>September 6, 2021 (Mon)</t>
  </si>
  <si>
    <t>September 7, 2021 (Tue)</t>
  </si>
  <si>
    <t>September 8, 2021 (Wed)</t>
  </si>
  <si>
    <t>September 9, 2021 (Thu)</t>
  </si>
  <si>
    <t>September 10, 2021 (Fri)</t>
  </si>
  <si>
    <t>September 11, 2021 (Sat)</t>
  </si>
  <si>
    <t>September 12, 2021 (Sun)</t>
  </si>
  <si>
    <t>September 13, 2021 (Mon)</t>
  </si>
  <si>
    <t>September 14, 2021 (Tue)</t>
  </si>
  <si>
    <t>September 15, 2021 (Wed)</t>
  </si>
  <si>
    <t>September 16, 2021 (Thu)</t>
  </si>
  <si>
    <t>September 17, 2021 (Fri)</t>
  </si>
  <si>
    <t>September 18, 2021 (Sat)</t>
  </si>
  <si>
    <t>September 19, 2021 (Sun)</t>
  </si>
  <si>
    <t>September 20, 2021 (Mon)</t>
  </si>
  <si>
    <t>September 21, 2021 (Tue)</t>
  </si>
  <si>
    <t>September 22, 2021 (Wed)</t>
  </si>
  <si>
    <t>September 23, 2021 (Thu)</t>
  </si>
  <si>
    <t>September 24, 2021 (Fri)</t>
  </si>
  <si>
    <t>September 25, 2021 (Sat)</t>
  </si>
  <si>
    <t>September 26, 2021 (Sun)</t>
  </si>
  <si>
    <t>September 27, 2021 (Mon)</t>
  </si>
  <si>
    <t>September 28, 2021 (Tue)</t>
  </si>
  <si>
    <t>September 29, 2021 (Wed)</t>
  </si>
  <si>
    <t>September 30, 2021 (Thu)</t>
  </si>
  <si>
    <t>October 1, 2021 (Fri)</t>
  </si>
  <si>
    <t>October 2, 2021 (Sat)</t>
  </si>
  <si>
    <t>October 3, 2021 (Sun)</t>
  </si>
  <si>
    <t>October 4, 2021 (Mon)</t>
  </si>
  <si>
    <t>October 5, 2021 (Tue)</t>
  </si>
  <si>
    <t>October 6, 2021 (Wed)</t>
  </si>
  <si>
    <t>October 7, 2021 (Thu)</t>
  </si>
  <si>
    <t>October 8, 2021 (Fri)</t>
  </si>
  <si>
    <t>October 9, 2021 (Sat)</t>
  </si>
  <si>
    <t>October 10, 2021 (Sun)</t>
  </si>
  <si>
    <t>October 11, 2021 (Mon)</t>
  </si>
  <si>
    <t>October 12, 2021 (Tue)</t>
  </si>
  <si>
    <t>October 13, 2021 (Wed)</t>
  </si>
  <si>
    <t>October 14, 2021 (Thu)</t>
  </si>
  <si>
    <t>October 15, 2021 (Fri)</t>
  </si>
  <si>
    <t>October 16, 2021 (Sat)</t>
  </si>
  <si>
    <t>October 17, 2021 (Sun)</t>
  </si>
  <si>
    <t>October 18, 2021 (Mon)</t>
  </si>
  <si>
    <t>October 19, 2021 (Tue)</t>
  </si>
  <si>
    <t>October 20, 2021 (Wed)</t>
  </si>
  <si>
    <t>October 21, 2021 (Thu)</t>
  </si>
  <si>
    <t>October 22, 2021 (Fri)</t>
  </si>
  <si>
    <t>October 23, 2021 (Sat)</t>
  </si>
  <si>
    <t>October 24, 2021 (Sun)</t>
  </si>
  <si>
    <t>October 25, 2021 (Mon)</t>
  </si>
  <si>
    <t>October 26, 2021 (Tue)</t>
  </si>
  <si>
    <t>October 27, 2021 (Wed)</t>
  </si>
  <si>
    <t>October 28, 2021 (Thu)</t>
  </si>
  <si>
    <t>October 29, 2021 (Fri)</t>
  </si>
  <si>
    <t>October 30, 2021 (Sat)</t>
  </si>
  <si>
    <t>October 31, 2021 (Sun)</t>
  </si>
  <si>
    <t>November 1, 2021 (Mon)</t>
  </si>
  <si>
    <t>November 2, 2021 (Tue)</t>
  </si>
  <si>
    <t>November 3, 2021 (Wed)</t>
  </si>
  <si>
    <t>November 4, 2021 (Thu)</t>
  </si>
  <si>
    <t>November 5, 2021 (Fri)</t>
  </si>
  <si>
    <t>November 6, 2021 (Sat)</t>
  </si>
  <si>
    <t>November 7, 2021 (Sun)</t>
  </si>
  <si>
    <t>November 8, 2021 (Mon)</t>
  </si>
  <si>
    <t>November 9, 2021 (Tue)</t>
  </si>
  <si>
    <t>November 10, 2021 (Wed)</t>
  </si>
  <si>
    <t>November 11, 2021 (Thu)</t>
  </si>
  <si>
    <t>November 12, 2021 (Fri)</t>
  </si>
  <si>
    <t>November 13, 2021 (Sat)</t>
  </si>
  <si>
    <t>November 14, 2021 (Sun)</t>
  </si>
  <si>
    <t>November 15, 2021 (Mon)</t>
  </si>
  <si>
    <t>November 16, 2021 (Tue)</t>
  </si>
  <si>
    <t>November 17, 2021 (Wed)</t>
  </si>
  <si>
    <t>November 18, 2021 (Thu)</t>
  </si>
  <si>
    <t>November 19, 2021 (Fri)</t>
  </si>
  <si>
    <t>November 20, 2021 (Sat)</t>
  </si>
  <si>
    <t>November 21, 2021 (Sun)</t>
  </si>
  <si>
    <t>November 22, 2021 (Mon)</t>
  </si>
  <si>
    <t>November 23, 2021 (Tue)</t>
  </si>
  <si>
    <t>November 24, 2021 (Wed)</t>
  </si>
  <si>
    <t>November 25, 2021 (Thu)</t>
  </si>
  <si>
    <t>November 26, 2021 (Fri)</t>
  </si>
  <si>
    <t>November 27, 2021 (Sat)</t>
  </si>
  <si>
    <t>November 28, 2021 (Sun)</t>
  </si>
  <si>
    <t>November 29, 2021 (Mon)</t>
  </si>
  <si>
    <t>November 30, 2021 (Tue)</t>
  </si>
  <si>
    <t>December 1, 2021 (Wed)</t>
  </si>
  <si>
    <t>December 2, 2021 (Thu)</t>
  </si>
  <si>
    <t>December 3, 2021 (Fri)</t>
  </si>
  <si>
    <t>December 4, 2021 (Sat)</t>
  </si>
  <si>
    <t>December 5, 2021 (Sun)</t>
  </si>
  <si>
    <t>December 6, 2021 (Mon)</t>
  </si>
  <si>
    <t>December 7, 2021 (Tue)</t>
  </si>
  <si>
    <t>December 8, 2021 (Wed)</t>
  </si>
  <si>
    <t>December 9, 2021 (Thu)</t>
  </si>
  <si>
    <t>December 10, 2021 (Fri)</t>
  </si>
  <si>
    <t>December 11, 2021 (Sat)</t>
  </si>
  <si>
    <t>December 12, 2021 (Sun)</t>
  </si>
  <si>
    <t>December 13, 2021 (Mon)</t>
  </si>
  <si>
    <t>December 14, 2021 (Tue)</t>
  </si>
  <si>
    <t>December 15, 2021 (Wed)</t>
  </si>
  <si>
    <t>December 16, 2021 (Thu)</t>
  </si>
  <si>
    <t>December 17, 2021 (Fri)</t>
  </si>
  <si>
    <t>December 18, 2021 (Sat)</t>
  </si>
  <si>
    <t>December 19, 2021 (Sun)</t>
  </si>
  <si>
    <t>December 20, 2021 (Mon)</t>
  </si>
  <si>
    <t>December 21, 2021 (Tue)</t>
  </si>
  <si>
    <t>December 22, 2021 (Wed)</t>
  </si>
  <si>
    <t>December 23, 2021 (Thu)</t>
  </si>
  <si>
    <t>December 24, 2021 (Fri)</t>
  </si>
  <si>
    <t>December 25, 2021 (Sat)</t>
  </si>
  <si>
    <t>December 26, 2021 (Sun)</t>
  </si>
  <si>
    <t>December 27, 2021 (Mon)</t>
  </si>
  <si>
    <t>December 28, 2021 (Tue)</t>
  </si>
  <si>
    <t>December 29, 2021 (Wed)</t>
  </si>
  <si>
    <t>December 30, 2021 (Thu)</t>
  </si>
  <si>
    <t>December 31, 2021 (Fri)</t>
  </si>
  <si>
    <t>January 1, 2022 (Sat)</t>
  </si>
  <si>
    <t>January 2, 2022 (Sun)</t>
  </si>
  <si>
    <t>January 3, 2022 (Mon)</t>
  </si>
  <si>
    <t>January 4, 2022 (Tue)</t>
  </si>
  <si>
    <t>January 5, 2022 (Wed)</t>
  </si>
  <si>
    <t>January 6, 2022 (Thu)</t>
  </si>
  <si>
    <t>January 7, 2022 (Fri)</t>
  </si>
  <si>
    <t>January 8, 2022 (Sat)</t>
  </si>
  <si>
    <t>January 9, 2022 (Sun)</t>
  </si>
  <si>
    <t>January 10, 2022 (Mon)</t>
  </si>
  <si>
    <t>January 11, 2022 (Tue)</t>
  </si>
  <si>
    <t>January 12, 2022 (Wed)</t>
  </si>
  <si>
    <t>January 13, 2022 (Thu)</t>
  </si>
  <si>
    <t>January 14, 2022 (Fri)</t>
  </si>
  <si>
    <t>January 15, 2022 (Sat)</t>
  </si>
  <si>
    <t>January 16, 2022 (Sun)</t>
  </si>
  <si>
    <t>January 17, 2022 (Mon)</t>
  </si>
  <si>
    <t>January 18, 2022 (Tue)</t>
  </si>
  <si>
    <t>January 19, 2022 (Wed)</t>
  </si>
  <si>
    <t>January 20, 2022 (Thu)</t>
  </si>
  <si>
    <t>January 21, 2022 (Fri)</t>
  </si>
  <si>
    <t>January 22, 2022 (Sat)</t>
  </si>
  <si>
    <t>January 23, 2022 (Sun)</t>
  </si>
  <si>
    <t>January 24, 2022 (Mon)</t>
  </si>
  <si>
    <t>January 25, 2022 (Tue)</t>
  </si>
  <si>
    <t>January 26, 2022 (Wed)</t>
  </si>
  <si>
    <t>January 27, 2022 (Thu)</t>
  </si>
  <si>
    <t>January 28, 2022 (Fri)</t>
  </si>
  <si>
    <t>January 29, 2022 (Sat)</t>
  </si>
  <si>
    <t>January 30, 2022 (Sun)</t>
  </si>
  <si>
    <t>January 31, 2022 (Mon)</t>
  </si>
  <si>
    <t>February 1, 2022 (Tue)</t>
  </si>
  <si>
    <t>February 2, 2022 (Wed)</t>
  </si>
  <si>
    <t>February 3, 2022 (Thu)</t>
  </si>
  <si>
    <t>February 4, 2022 (Fri)</t>
  </si>
  <si>
    <t>February 5, 2022 (Sat)</t>
  </si>
  <si>
    <t>February 6, 2022 (Sun)</t>
  </si>
  <si>
    <t>February 7, 2022 (Mon)</t>
  </si>
  <si>
    <t>February 8, 2022 (Tue)</t>
  </si>
  <si>
    <t>February 9, 2022 (Wed)</t>
  </si>
  <si>
    <t>February 10, 2022 (Thu)</t>
  </si>
  <si>
    <t>February 11, 2022 (Fri)</t>
  </si>
  <si>
    <t>February 12, 2022 (Sat)</t>
  </si>
  <si>
    <t>February 13, 2022 (Sun)</t>
  </si>
  <si>
    <t>February 14, 2022 (Mon)</t>
  </si>
  <si>
    <t>February 15, 2022 (Tue)</t>
  </si>
  <si>
    <t>February 16, 2022 (Wed)</t>
  </si>
  <si>
    <t>February 17, 2022 (Thu)</t>
  </si>
  <si>
    <t>February 18, 2022 (Fri)</t>
  </si>
  <si>
    <t>February 19, 2022 (Sat)</t>
  </si>
  <si>
    <t>February 20, 2022 (Sun)</t>
  </si>
  <si>
    <t>February 21, 2022 (Mon)</t>
  </si>
  <si>
    <t>February 22, 2022 (Tue)</t>
  </si>
  <si>
    <t>February 23, 2022 (Wed)</t>
  </si>
  <si>
    <t>February 24, 2022 (Thu)</t>
  </si>
  <si>
    <t>February 25, 2022 (Fri)</t>
  </si>
  <si>
    <t>February 26, 2022 (Sat)</t>
  </si>
  <si>
    <t>February 27, 2022 (Sun)</t>
  </si>
  <si>
    <t>February 28, 2022 (Mon)</t>
  </si>
  <si>
    <t>March 1, 2022 (Tue)</t>
  </si>
  <si>
    <t>March 2, 2022 (Wed)</t>
  </si>
  <si>
    <t>March 3, 2022 (Thu)</t>
  </si>
  <si>
    <t>March 4, 2022 (Fri)</t>
  </si>
  <si>
    <t>March 5, 2022 (Sat)</t>
  </si>
  <si>
    <t>March 6, 2022 (Sun)</t>
  </si>
  <si>
    <t>March 7, 2022 (Mon)</t>
  </si>
  <si>
    <t>March 8, 2022 (Tue)</t>
  </si>
  <si>
    <t>March 9, 2022 (Wed)</t>
  </si>
  <si>
    <t>March 10, 2022 (Thu)</t>
  </si>
  <si>
    <t>March 11, 2022 (Fri)</t>
  </si>
  <si>
    <t>March 12, 2022 (Sat)</t>
  </si>
  <si>
    <t>March 13, 2022 (Sun)</t>
  </si>
  <si>
    <t>March 14, 2022 (Mon)</t>
  </si>
  <si>
    <t>March 15, 2022 (Tue)</t>
  </si>
  <si>
    <t>March 16, 2022 (Wed)</t>
  </si>
  <si>
    <t>March 17, 2022 (Thu)</t>
  </si>
  <si>
    <t>March 18, 2022 (Fri)</t>
  </si>
  <si>
    <t>March 19, 2022 (Sat)</t>
  </si>
  <si>
    <t>March 20, 2022 (Sun)</t>
  </si>
  <si>
    <t>March 21, 2022 (Mon)</t>
  </si>
  <si>
    <t>March 22, 2022 (Tue)</t>
  </si>
  <si>
    <t>March 23, 2022 (Wed)</t>
  </si>
  <si>
    <t>March 24, 2022 (Thu)</t>
  </si>
  <si>
    <t>March 25, 2022 (Fri)</t>
  </si>
  <si>
    <t>March 26, 2022 (Sat)</t>
  </si>
  <si>
    <t>March 27, 2022 (Sun)</t>
  </si>
  <si>
    <t>March 28, 2022 (Mon)</t>
  </si>
  <si>
    <t>March 29, 2022 (Tue)</t>
  </si>
  <si>
    <t>March 30, 2022 (Wed)</t>
  </si>
  <si>
    <t>March 31, 2022 (Thu)</t>
  </si>
  <si>
    <t>April 1, 2022 (Fri)</t>
  </si>
  <si>
    <t>April 2, 2022 (Sat)</t>
  </si>
  <si>
    <t>April 3, 2022 (Sun)</t>
  </si>
  <si>
    <t>April 4, 2022 (Mon)</t>
  </si>
  <si>
    <t>April 5, 2022 (Tue)</t>
  </si>
  <si>
    <t>April 6, 2022 (Wed)</t>
  </si>
  <si>
    <t>April 7, 2022 (Thu)</t>
  </si>
  <si>
    <t>April 8, 2022 (Fri)</t>
  </si>
  <si>
    <t>April 9, 2022 (Sat)</t>
  </si>
  <si>
    <t>April 10, 2022 (Sun)</t>
  </si>
  <si>
    <t>April 11, 2022 (Mon)</t>
  </si>
  <si>
    <t>April 12, 2022 (Tue)</t>
  </si>
  <si>
    <t>April 13, 2022 (Wed)</t>
  </si>
  <si>
    <t>April 14, 2022 (Thu)</t>
  </si>
  <si>
    <t>April 15, 2022 (Fri)</t>
  </si>
  <si>
    <t>April 16, 2022 (Sat)</t>
  </si>
  <si>
    <t>April 17, 2022 (Sun)</t>
  </si>
  <si>
    <t>April 18, 2022 (Mon)</t>
  </si>
  <si>
    <t>April 19, 2022 (Tue)</t>
  </si>
  <si>
    <t>April 20, 2022 (Wed)</t>
  </si>
  <si>
    <t>April 21, 2022 (Thu)</t>
  </si>
  <si>
    <t>April 22, 2022 (Fri)</t>
  </si>
  <si>
    <t>April 23, 2022 (Sat)</t>
  </si>
  <si>
    <t>April 24, 2022 (Sun)</t>
  </si>
  <si>
    <t>April 25, 2022 (Mon)</t>
  </si>
  <si>
    <t>April 26, 2022 (Tue)</t>
  </si>
  <si>
    <t>April 27, 2022 (Wed)</t>
  </si>
  <si>
    <t>April 28, 2022 (Thu)</t>
  </si>
  <si>
    <t>April 29, 2022 (Fri)</t>
  </si>
  <si>
    <t>April 30, 2022 (Sat)</t>
  </si>
  <si>
    <t>May 1, 2022 (Sun)</t>
  </si>
  <si>
    <t>May 2, 2022 (Mon)</t>
  </si>
  <si>
    <t>May 3, 2022 (Tue)</t>
  </si>
  <si>
    <t>May 4, 2022 (Wed)</t>
  </si>
  <si>
    <t>May 5, 2022 (Thu)</t>
  </si>
  <si>
    <t>May 6, 2022 (Fri)</t>
  </si>
  <si>
    <t>May 7, 2022 (Sat)</t>
  </si>
  <si>
    <t>May 8, 2022 (Sun)</t>
  </si>
  <si>
    <t>May 9, 2022 (Mon)</t>
  </si>
  <si>
    <t>May 10, 2022 (Tue)</t>
  </si>
  <si>
    <t>May 11, 2022 (Wed)</t>
  </si>
  <si>
    <t>May 12, 2022 (Thu)</t>
  </si>
  <si>
    <t>May 13, 2022 (Fri)</t>
  </si>
  <si>
    <t>May 14, 2022 (Sat)</t>
  </si>
  <si>
    <t>May 15, 2022 (Sun)</t>
  </si>
  <si>
    <t>May 16, 2022 (Mon)</t>
  </si>
  <si>
    <t>May 17, 2022 (Tue)</t>
  </si>
  <si>
    <t>May 18, 2022 (Wed)</t>
  </si>
  <si>
    <t>May 19, 2022 (Thu)</t>
  </si>
  <si>
    <t>May 20, 2022 (Fri)</t>
  </si>
  <si>
    <t>May 21, 2022 (Sat)</t>
  </si>
  <si>
    <t>May 22, 2022 (Sun)</t>
  </si>
  <si>
    <t>May 23, 2022 (Mon)</t>
  </si>
  <si>
    <t>May 24, 2022 (Tue)</t>
  </si>
  <si>
    <t>May 25, 2022 (Wed)</t>
  </si>
  <si>
    <t>May 26, 2022 (Thu)</t>
  </si>
  <si>
    <t>May 27, 2022 (Fri)</t>
  </si>
  <si>
    <t>May 28, 2022 (Sat)</t>
  </si>
  <si>
    <t>May 29, 2022 (Sun)</t>
  </si>
  <si>
    <t>May 30, 2022 (Mon)</t>
  </si>
  <si>
    <t>May 31, 2022 (Tue)</t>
  </si>
  <si>
    <t>June 1, 2022 (Wed)</t>
  </si>
  <si>
    <t>June 2, 2022 (Thu)</t>
  </si>
  <si>
    <t>June 3, 2022 (Fri)</t>
  </si>
  <si>
    <t>June 4, 2022 (Sat)</t>
  </si>
  <si>
    <t>June 5, 2022 (Sun)</t>
  </si>
  <si>
    <t>June 6, 2022 (Mon)</t>
  </si>
  <si>
    <t>June 7, 2022 (Tue)</t>
  </si>
  <si>
    <t>June 8, 2022 (Wed)</t>
  </si>
  <si>
    <t>June 9, 2022 (Thu)</t>
  </si>
  <si>
    <t>June 10, 2022 (Fri)</t>
  </si>
  <si>
    <t>June 11, 2022 (Sat)</t>
  </si>
  <si>
    <t>June 12, 2022 (Sun)</t>
  </si>
  <si>
    <t>June 13, 2022 (Mon)</t>
  </si>
  <si>
    <t>June 14, 2022 (Tue)</t>
  </si>
  <si>
    <t>June 15, 2022 (Wed)</t>
  </si>
  <si>
    <t>June 16, 2022 (Thu)</t>
  </si>
  <si>
    <t>June 17, 2022 (Fri)</t>
  </si>
  <si>
    <t>June 18, 2022 (Sat)</t>
  </si>
  <si>
    <t>June 19, 2022 (Sun)</t>
  </si>
  <si>
    <t>June 20, 2022 (Mon)</t>
  </si>
  <si>
    <t>June 21, 2022 (Tue)</t>
  </si>
  <si>
    <t>June 22, 2022 (Wed)</t>
  </si>
  <si>
    <t>June 23, 2022 (Thu)</t>
  </si>
  <si>
    <t>June 24, 2022 (Fri)</t>
  </si>
  <si>
    <t>June 25, 2022 (Sat)</t>
  </si>
  <si>
    <t>June 26, 2022 (Sun)</t>
  </si>
  <si>
    <t>June 27, 2022 (Mon)</t>
  </si>
  <si>
    <t>June 28, 2022 (Tue)</t>
  </si>
  <si>
    <t>June 29, 2022 (Wed)</t>
  </si>
  <si>
    <t>June 30, 2022 (Thu)</t>
  </si>
  <si>
    <t>July 1, 2022 (Fri)</t>
  </si>
  <si>
    <t>July 2, 2022 (Sat)</t>
  </si>
  <si>
    <t>July 3, 2022 (Sun)</t>
  </si>
  <si>
    <t>July 4, 2022 (Mon)</t>
  </si>
  <si>
    <t>July 5, 2022 (Tue)</t>
  </si>
  <si>
    <t>July 6, 2022 (Wed)</t>
  </si>
  <si>
    <t>July 7, 2022 (Thu)</t>
  </si>
  <si>
    <t>July 8, 2022 (Fri)</t>
  </si>
  <si>
    <t>July 9, 2022 (Sat)</t>
  </si>
  <si>
    <t>July 10, 2022 (Sun)</t>
  </si>
  <si>
    <t>July 11, 2022 (Mon)</t>
  </si>
  <si>
    <t>July 12, 2022 (Tue)</t>
  </si>
  <si>
    <t>July 13, 2022 (Wed)</t>
  </si>
  <si>
    <t>July 14, 2022 (Thu)</t>
  </si>
  <si>
    <t>July 15, 2022 (Fri)</t>
  </si>
  <si>
    <t>July 16, 2022 (Sat)</t>
  </si>
  <si>
    <t>July 17, 2022 (Sun)</t>
  </si>
  <si>
    <t>July 18, 2022 (Mon)</t>
  </si>
  <si>
    <t>July 19, 2022 (Tue)</t>
  </si>
  <si>
    <t>July 20, 2022 (Wed)</t>
  </si>
  <si>
    <t>July 21, 2022 (Thu)</t>
  </si>
  <si>
    <t>July 22, 2022 (Fri)</t>
  </si>
  <si>
    <t>July 23, 2022 (Sat)</t>
  </si>
  <si>
    <t>July 24, 2022 (Sun)</t>
  </si>
  <si>
    <t>July 25, 2022 (Mon)</t>
  </si>
  <si>
    <t>July 26, 2022 (Tue)</t>
  </si>
  <si>
    <t>July 27, 2022 (Wed)</t>
  </si>
  <si>
    <t>July 28, 2022 (Thu)</t>
  </si>
  <si>
    <t>July 29, 2022 (Fri)</t>
  </si>
  <si>
    <t>July 30, 2022 (Sat)</t>
  </si>
  <si>
    <t>July 31, 2022 (Sun)</t>
  </si>
  <si>
    <t>August 1, 2022 (Mon)</t>
  </si>
  <si>
    <t>August 2, 2022 (Tue)</t>
  </si>
  <si>
    <t>August 3, 2022 (Wed)</t>
  </si>
  <si>
    <t>August 4, 2022 (Thu)</t>
  </si>
  <si>
    <t>August 5, 2022 (Fri)</t>
  </si>
  <si>
    <t>August 6, 2022 (Sat)</t>
  </si>
  <si>
    <t>August 7, 2022 (Sun)</t>
  </si>
  <si>
    <t>August 8, 2022 (Mon)</t>
  </si>
  <si>
    <t>August 9, 2022 (Tue)</t>
  </si>
  <si>
    <t>August 10, 2022 (Wed)</t>
  </si>
  <si>
    <t>August 11, 2022 (Thu)</t>
  </si>
  <si>
    <t>August 12, 2022 (Fri)</t>
  </si>
  <si>
    <t>August 13, 2022 (Sat)</t>
  </si>
  <si>
    <t>August 14, 2022 (Sun)</t>
  </si>
  <si>
    <t>August 15, 2022 (Mon)</t>
  </si>
  <si>
    <t>August 16, 2022 (Tue)</t>
  </si>
  <si>
    <t>August 17, 2022 (Wed)</t>
  </si>
  <si>
    <t>August 18, 2022 (Thu)</t>
  </si>
  <si>
    <t>August 19, 2022 (Fri)</t>
  </si>
  <si>
    <t>August 20, 2022 (Sat)</t>
  </si>
  <si>
    <t>August 21, 2022 (Sun)</t>
  </si>
  <si>
    <t>August 22, 2022 (Mon)</t>
  </si>
  <si>
    <t>August 23, 2022 (Tue)</t>
  </si>
  <si>
    <t>August 24, 2022 (Wed)</t>
  </si>
  <si>
    <t>August 25, 2022 (Thu)</t>
  </si>
  <si>
    <t>August 26, 2022 (Fri)</t>
  </si>
  <si>
    <t>August 27, 2022 (Sat)</t>
  </si>
  <si>
    <t>August 28, 2022 (Sun)</t>
  </si>
  <si>
    <t>August 29, 2022 (Mon)</t>
  </si>
  <si>
    <t>August 30, 2022 (Tue)</t>
  </si>
  <si>
    <t>August 31, 2022 (Wed)</t>
  </si>
  <si>
    <t>September 1, 2022 (Thu)</t>
  </si>
  <si>
    <t>September 2, 2022 (Fri)</t>
  </si>
  <si>
    <t>September 3, 2022 (Sat)</t>
  </si>
  <si>
    <t>September 4, 2022 (Sun)</t>
  </si>
  <si>
    <t>September 5, 2022 (Mon)</t>
  </si>
  <si>
    <t>September 6, 2022 (Tue)</t>
  </si>
  <si>
    <t>September 7, 2022 (Wed)</t>
  </si>
  <si>
    <t>September 8, 2022 (Thu)</t>
  </si>
  <si>
    <t>September 9, 2022 (Fri)</t>
  </si>
  <si>
    <t>September 10, 2022 (Sat)</t>
  </si>
  <si>
    <t>September 11, 2022 (Sun)</t>
  </si>
  <si>
    <t>September 12, 2022 (Mon)</t>
  </si>
  <si>
    <t>September 13, 2022 (Tue)</t>
  </si>
  <si>
    <t>September 14, 2022 (Wed)</t>
  </si>
  <si>
    <t>September 15, 2022 (Thu)</t>
  </si>
  <si>
    <t>September 16, 2022 (Fri)</t>
  </si>
  <si>
    <t>September 17, 2022 (Sat)</t>
  </si>
  <si>
    <t>September 18, 2022 (Sun)</t>
  </si>
  <si>
    <t>September 19, 2022 (Mon)</t>
  </si>
  <si>
    <t>September 20, 2022 (Tue)</t>
  </si>
  <si>
    <t>September 21, 2022 (Wed)</t>
  </si>
  <si>
    <t>September 22, 2022 (Thu)</t>
  </si>
  <si>
    <t>September 23, 2022 (Fri)</t>
  </si>
  <si>
    <t>September 24, 2022 (Sat)</t>
  </si>
  <si>
    <t>September 25, 2022 (Sun)</t>
  </si>
  <si>
    <t>September 26, 2022 (Mon)</t>
  </si>
  <si>
    <t>September 27, 2022 (Tue)</t>
  </si>
  <si>
    <t>September 28, 2022 (Wed)</t>
  </si>
  <si>
    <t>September 29, 2022 (Thu)</t>
  </si>
  <si>
    <t>September 30, 2022 (Fri)</t>
  </si>
  <si>
    <t>October 1, 2022 (Sat)</t>
  </si>
  <si>
    <t>October 2, 2022 (Sun)</t>
  </si>
  <si>
    <t>October 3, 2022 (Mon)</t>
  </si>
  <si>
    <t>October 4, 2022 (Tue)</t>
  </si>
  <si>
    <t>October 5, 2022 (Wed)</t>
  </si>
  <si>
    <t>October 6, 2022 (Thu)</t>
  </si>
  <si>
    <t>October 7, 2022 (Fri)</t>
  </si>
  <si>
    <t>October 8, 2022 (Sat)</t>
  </si>
  <si>
    <t>October 9, 2022 (Sun)</t>
  </si>
  <si>
    <t>October 10, 2022 (Mon)</t>
  </si>
  <si>
    <t>October 11, 2022 (Tue)</t>
  </si>
  <si>
    <t>October 12, 2022 (Wed)</t>
  </si>
  <si>
    <t>October 13, 2022 (Thu)</t>
  </si>
  <si>
    <t>October 14, 2022 (Fri)</t>
  </si>
  <si>
    <t>October 15, 2022 (Sat)</t>
  </si>
  <si>
    <t>October 16, 2022 (Sun)</t>
  </si>
  <si>
    <t>October 17, 2022 (Mon)</t>
  </si>
  <si>
    <t>October 18, 2022 (Tue)</t>
  </si>
  <si>
    <t>October 19, 2022 (Wed)</t>
  </si>
  <si>
    <t>October 20, 2022 (Thu)</t>
  </si>
  <si>
    <t>October 21, 2022 (Fri)</t>
  </si>
  <si>
    <t>October 22, 2022 (Sat)</t>
  </si>
  <si>
    <t>October 23, 2022 (Sun)</t>
  </si>
  <si>
    <t>October 24, 2022 (Mon)</t>
  </si>
  <si>
    <t>October 25, 2022 (Tue)</t>
  </si>
  <si>
    <t>October 26, 2022 (Wed)</t>
  </si>
  <si>
    <t>October 27, 2022 (Thu)</t>
  </si>
  <si>
    <t>October 28, 2022 (Fri)</t>
  </si>
  <si>
    <t>October 29, 2022 (Sat)</t>
  </si>
  <si>
    <t>October 30, 2022 (Sun)</t>
  </si>
  <si>
    <t>October 31, 2022 (Mon)</t>
  </si>
  <si>
    <t>November 1, 2022 (Tue)</t>
  </si>
  <si>
    <t>November 2, 2022 (Wed)</t>
  </si>
  <si>
    <t>November 3, 2022 (Thu)</t>
  </si>
  <si>
    <t>November 4, 2022 (Fri)</t>
  </si>
  <si>
    <t>November 5, 2022 (Sat)</t>
  </si>
  <si>
    <t>November 6, 2022 (Sun)</t>
  </si>
  <si>
    <t>November 7, 2022 (Mon)</t>
  </si>
  <si>
    <t>November 8, 2022 (Tue)</t>
  </si>
  <si>
    <t>November 9, 2022 (Wed)</t>
  </si>
  <si>
    <t>November 10, 2022 (Thu)</t>
  </si>
  <si>
    <t>November 11, 2022 (Fri)</t>
  </si>
  <si>
    <t>November 12, 2022 (Sat)</t>
  </si>
  <si>
    <t>November 13, 2022 (Sun)</t>
  </si>
  <si>
    <t>November 14, 2022 (Mon)</t>
  </si>
  <si>
    <t>November 15, 2022 (Tue)</t>
  </si>
  <si>
    <t>November 16, 2022 (Wed)</t>
  </si>
  <si>
    <t>November 17, 2022 (Thu)</t>
  </si>
  <si>
    <t>November 18, 2022 (Fri)</t>
  </si>
  <si>
    <t>November 19, 2022 (Sat)</t>
  </si>
  <si>
    <t>November 20, 2022 (Sun)</t>
  </si>
  <si>
    <t>November 21, 2022 (Mon)</t>
  </si>
  <si>
    <t>November 22, 2022 (Tue)</t>
  </si>
  <si>
    <t>November 23, 2022 (Wed)</t>
  </si>
  <si>
    <t>November 24, 2022 (Thu)</t>
  </si>
  <si>
    <t>November 25, 2022 (Fri)</t>
  </si>
  <si>
    <t>November 26, 2022 (Sat)</t>
  </si>
  <si>
    <t>November 27, 2022 (Sun)</t>
  </si>
  <si>
    <t>November 28, 2022 (Mon)</t>
  </si>
  <si>
    <t>November 29, 2022 (Tue)</t>
  </si>
  <si>
    <t>November 30, 2022 (Wed)</t>
  </si>
  <si>
    <t>December 1, 2022 (Thu)</t>
  </si>
  <si>
    <t>December 2, 2022 (Fri)</t>
  </si>
  <si>
    <t>December 3, 2022 (Sat)</t>
  </si>
  <si>
    <t>December 4, 2022 (Sun)</t>
  </si>
  <si>
    <t>December 5, 2022 (Mon)</t>
  </si>
  <si>
    <t>December 6, 2022 (Tue)</t>
  </si>
  <si>
    <t>December 7, 2022 (Wed)</t>
  </si>
  <si>
    <t>December 8, 2022 (Thu)</t>
  </si>
  <si>
    <t>December 9, 2022 (Fri)</t>
  </si>
  <si>
    <t>December 10, 2022 (Sat)</t>
  </si>
  <si>
    <t>December 11, 2022 (Sun)</t>
  </si>
  <si>
    <t>December 12, 2022 (Mon)</t>
  </si>
  <si>
    <t>December 13, 2022 (Tue)</t>
  </si>
  <si>
    <t>December 14, 2022 (Wed)</t>
  </si>
  <si>
    <t>December 15, 2022 (Thu)</t>
  </si>
  <si>
    <t>December 16, 2022 (Fri)</t>
  </si>
  <si>
    <t>December 17, 2022 (Sat)</t>
  </si>
  <si>
    <t>December 18, 2022 (Sun)</t>
  </si>
  <si>
    <t>December 19, 2022 (Mon)</t>
  </si>
  <si>
    <t>December 20, 2022 (Tue)</t>
  </si>
  <si>
    <t>December 21, 2022 (Wed)</t>
  </si>
  <si>
    <t>December 22, 2022 (Thu)</t>
  </si>
  <si>
    <t>December 23, 2022 (Fri)</t>
  </si>
  <si>
    <t>December 24, 2022 (Sat)</t>
  </si>
  <si>
    <t>December 25, 2022 (Sun)</t>
  </si>
  <si>
    <t>December 26, 2022 (Mon)</t>
  </si>
  <si>
    <t>December 27, 2022 (Tue)</t>
  </si>
  <si>
    <t>December 28, 2022 (Wed)</t>
  </si>
  <si>
    <t>December 29, 2022 (Thu)</t>
  </si>
  <si>
    <t>December 30, 2022 (Fri)</t>
  </si>
  <si>
    <t>December 31, 2022 (Sat)</t>
  </si>
  <si>
    <t>January 1, 2023 (Sun)</t>
  </si>
  <si>
    <t>January 2, 2023 (Mon)</t>
  </si>
  <si>
    <t>January 3, 2023 (Tue)</t>
  </si>
  <si>
    <t>January 4, 2023 (Wed)</t>
  </si>
  <si>
    <t>January 5, 2023 (Thu)</t>
  </si>
  <si>
    <t>January 6, 2023 (Fri)</t>
  </si>
  <si>
    <t>January 7, 2023 (Sat)</t>
  </si>
  <si>
    <t>January 8, 2023 (Sun)</t>
  </si>
  <si>
    <t>January 9, 2023 (Mon)</t>
  </si>
  <si>
    <t>January 10, 2023 (Tue)</t>
  </si>
  <si>
    <t>January 11, 2023 (Wed)</t>
  </si>
  <si>
    <t>January 12, 2023 (Thu)</t>
  </si>
  <si>
    <t>January 13, 2023 (Fri)</t>
  </si>
  <si>
    <t>January 14, 2023 (Sat)</t>
  </si>
  <si>
    <t>January 15, 2023 (Sun)</t>
  </si>
  <si>
    <t>January 16, 2023 (Mon)</t>
  </si>
  <si>
    <t>January 17, 2023 (Tue)</t>
  </si>
  <si>
    <t>January 18, 2023 (Wed)</t>
  </si>
  <si>
    <t>January 19, 2023 (Thu)</t>
  </si>
  <si>
    <t>January 20, 2023 (Fri)</t>
  </si>
  <si>
    <t>January 21, 2023 (Sat)</t>
  </si>
  <si>
    <t>January 22, 2023 (Sun)</t>
  </si>
  <si>
    <t>January 23, 2023 (Mon)</t>
  </si>
  <si>
    <t>January 24, 2023 (Tue)</t>
  </si>
  <si>
    <t>January 25, 2023 (Wed)</t>
  </si>
  <si>
    <t>January 26, 2023 (Thu)</t>
  </si>
  <si>
    <t>January 27, 2023 (Fri)</t>
  </si>
  <si>
    <t>January 28, 2023 (Sat)</t>
  </si>
  <si>
    <t>January 29, 2023 (Sun)</t>
  </si>
  <si>
    <t>January 30, 2023 (Mon)</t>
  </si>
  <si>
    <t>January 31, 2023 (Tue)</t>
  </si>
  <si>
    <t>February 1, 2023 (Wed)</t>
  </si>
  <si>
    <t>February 2, 2023 (Thu)</t>
  </si>
  <si>
    <t>February 3, 2023 (Fri)</t>
  </si>
  <si>
    <t>February 4, 2023 (Sat)</t>
  </si>
  <si>
    <t>February 5, 2023 (Sun)</t>
  </si>
  <si>
    <t>February 6, 2023 (Mon)</t>
  </si>
  <si>
    <t>February 7, 2023 (Tue)</t>
  </si>
  <si>
    <t>February 8, 2023 (Wed)</t>
  </si>
  <si>
    <t>February 9, 2023 (Thu)</t>
  </si>
  <si>
    <t>February 10, 2023 (Fri)</t>
  </si>
  <si>
    <t>February 11, 2023 (Sat)</t>
  </si>
  <si>
    <t>February 12, 2023 (Sun)</t>
  </si>
  <si>
    <t>February 13, 2023 (Mon)</t>
  </si>
  <si>
    <t>February 14, 2023 (Tue)</t>
  </si>
  <si>
    <t>February 15, 2023 (Wed)</t>
  </si>
  <si>
    <t>February 16, 2023 (Thu)</t>
  </si>
  <si>
    <t>February 17, 2023 (Fri)</t>
  </si>
  <si>
    <t>February 18, 2023 (Sat)</t>
  </si>
  <si>
    <t>February 19, 2023 (Sun)</t>
  </si>
  <si>
    <t>February 20, 2023 (Mon)</t>
  </si>
  <si>
    <t>February 21, 2023 (Tue)</t>
  </si>
  <si>
    <t>February 22, 2023 (Wed)</t>
  </si>
  <si>
    <t>February 23, 2023 (Thu)</t>
  </si>
  <si>
    <t>February 24, 2023 (Fri)</t>
  </si>
  <si>
    <t>February 25, 2023 (Sat)</t>
  </si>
  <si>
    <t>February 26, 2023 (Sun)</t>
  </si>
  <si>
    <t>February 27, 2023 (Mon)</t>
  </si>
  <si>
    <t>February 28, 2023 (Tue)</t>
  </si>
  <si>
    <t>March 1, 2023 (Wed)</t>
  </si>
  <si>
    <t>March 2, 2023 (Thu)</t>
  </si>
  <si>
    <t>March 3, 2023 (Fri)</t>
  </si>
  <si>
    <t>March 4, 2023 (Sat)</t>
  </si>
  <si>
    <t>March 5, 2023 (Sun)</t>
  </si>
  <si>
    <t>March 6, 2023 (Mon)</t>
  </si>
  <si>
    <t>March 7, 2023 (Tue)</t>
  </si>
  <si>
    <t>March 8, 2023 (Wed)</t>
  </si>
  <si>
    <t>March 9, 2023 (Thu)</t>
  </si>
  <si>
    <t>March 10, 2023 (Fri)</t>
  </si>
  <si>
    <t>March 11, 2023 (Sat)</t>
  </si>
  <si>
    <t>March 12, 2023 (Sun)</t>
  </si>
  <si>
    <t>March 13, 2023 (Mon)</t>
  </si>
  <si>
    <t>March 14, 2023 (Tue)</t>
  </si>
  <si>
    <t>March 15, 2023 (Wed)</t>
  </si>
  <si>
    <t>March 16, 2023 (Thu)</t>
  </si>
  <si>
    <t>March 17, 2023 (Fri)</t>
  </si>
  <si>
    <t>March 18, 2023 (Sat)</t>
  </si>
  <si>
    <t>March 19, 2023 (Sun)</t>
  </si>
  <si>
    <t>March 20, 2023 (Mon)</t>
  </si>
  <si>
    <t>March 21, 2023 (Tue)</t>
  </si>
  <si>
    <t>March 22, 2023 (Wed)</t>
  </si>
  <si>
    <t>March 23, 2023 (Thu)</t>
  </si>
  <si>
    <t>March 24, 2023 (Fri)</t>
  </si>
  <si>
    <t>March 25, 2023 (Sat)</t>
  </si>
  <si>
    <t>March 26, 2023 (Sun)</t>
  </si>
  <si>
    <t>March 27, 2023 (Mon)</t>
  </si>
  <si>
    <t>March 28, 2023 (Tue)</t>
  </si>
  <si>
    <t>March 29, 2023 (Wed)</t>
  </si>
  <si>
    <t>March 30, 2023 (Thu)</t>
  </si>
  <si>
    <t>March 31, 2023 (Fri)</t>
  </si>
  <si>
    <t>April 1, 2023 (Sat)</t>
  </si>
  <si>
    <t>April 2, 2023 (Sun)</t>
  </si>
  <si>
    <t>April 3, 2023 (Mon)</t>
  </si>
  <si>
    <t>April 4, 2023 (Tue)</t>
  </si>
  <si>
    <t>April 5, 2023 (Wed)</t>
  </si>
  <si>
    <t>April 6, 2023 (Thu)</t>
  </si>
  <si>
    <t>April 7, 2023 (Fri)</t>
  </si>
  <si>
    <t>April 8, 2023 (Sat)</t>
  </si>
  <si>
    <t>April 9, 2023 (Sun)</t>
  </si>
  <si>
    <t>April 10, 2023 (Mon)</t>
  </si>
  <si>
    <t>April 11, 2023 (Tue)</t>
  </si>
  <si>
    <t>April 12, 2023 (Wed)</t>
  </si>
  <si>
    <t>April 13, 2023 (Thu)</t>
  </si>
  <si>
    <t>April 14, 2023 (Fri)</t>
  </si>
  <si>
    <t>April 15, 2023 (Sat)</t>
  </si>
  <si>
    <t>April 16, 2023 (Sun)</t>
  </si>
  <si>
    <t>April 17, 2023 (Mon)</t>
  </si>
  <si>
    <t>April 18, 2023 (Tue)</t>
  </si>
  <si>
    <t>April 19, 2023 (Wed)</t>
  </si>
  <si>
    <t>April 20, 2023 (Thu)</t>
  </si>
  <si>
    <t>April 21, 2023 (Fri)</t>
  </si>
  <si>
    <t>April 22, 2023 (Sat)</t>
  </si>
  <si>
    <t>April 23, 2023 (Sun)</t>
  </si>
  <si>
    <t>April 24, 2023 (Mon)</t>
  </si>
  <si>
    <t>April 25, 2023 (Tue)</t>
  </si>
  <si>
    <t>April 26, 2023 (Wed)</t>
  </si>
  <si>
    <t>April 27, 2023 (Thu)</t>
  </si>
  <si>
    <t>April 28, 2023 (Fri)</t>
  </si>
  <si>
    <t>April 29, 2023 (Sat)</t>
  </si>
  <si>
    <t>April 30, 2023 (Sun)</t>
  </si>
  <si>
    <t>May 1, 2023 (Mon)</t>
  </si>
  <si>
    <t>May 2, 2023 (Tue)</t>
  </si>
  <si>
    <t>May 3, 2023 (Wed)</t>
  </si>
  <si>
    <t>May 4, 2023 (Thu)</t>
  </si>
  <si>
    <t>May 5, 2023 (Fri)</t>
  </si>
  <si>
    <t>May 6, 2023 (Sat)</t>
  </si>
  <si>
    <t>May 7, 2023 (Sun)</t>
  </si>
  <si>
    <t>May 8, 2023 (Mon)</t>
  </si>
  <si>
    <t>May 9, 2023 (Tue)</t>
  </si>
  <si>
    <t>May 10, 2023 (Wed)</t>
  </si>
  <si>
    <t>May 11, 2023 (Thu)</t>
  </si>
  <si>
    <t>May 12, 2023 (Fri)</t>
  </si>
  <si>
    <t>May 13, 2023 (Sat)</t>
  </si>
  <si>
    <t>May 14, 2023 (Sun)</t>
  </si>
  <si>
    <t>May 15, 2023 (Mon)</t>
  </si>
  <si>
    <t>May 16, 2023 (Tue)</t>
  </si>
  <si>
    <t>May 17, 2023 (Wed)</t>
  </si>
  <si>
    <t>May 18, 2023 (Thu)</t>
  </si>
  <si>
    <t>May 19, 2023 (Fri)</t>
  </si>
  <si>
    <t>May 20, 2023 (Sat)</t>
  </si>
  <si>
    <t>May 21, 2023 (Sun)</t>
  </si>
  <si>
    <t>May 22, 2023 (Mon)</t>
  </si>
  <si>
    <t>May 23, 2023 (Tue)</t>
  </si>
  <si>
    <t>May 24, 2023 (Wed)</t>
  </si>
  <si>
    <t>May 25, 2023 (Thu)</t>
  </si>
  <si>
    <t>May 26, 2023 (Fri)</t>
  </si>
  <si>
    <t>May 27, 2023 (Sat)</t>
  </si>
  <si>
    <t>May 28, 2023 (Sun)</t>
  </si>
  <si>
    <t>May 29, 2023 (Mon)</t>
  </si>
  <si>
    <t>May 30, 2023 (Tue)</t>
  </si>
  <si>
    <t>May 31, 2023 (Wed)</t>
  </si>
  <si>
    <t>June 1, 2023 (Thu)</t>
  </si>
  <si>
    <t>June 2, 2023 (Fri)</t>
  </si>
  <si>
    <t>June 3, 2023 (Sat)</t>
  </si>
  <si>
    <t>June 4, 2023 (Sun)</t>
  </si>
  <si>
    <t>June 5, 2023 (Mon)</t>
  </si>
  <si>
    <t>June 6, 2023 (Tue)</t>
  </si>
  <si>
    <t>June 7, 2023 (Wed)</t>
  </si>
  <si>
    <t>June 8, 2023 (Thu)</t>
  </si>
  <si>
    <t>June 9, 2023 (Fri)</t>
  </si>
  <si>
    <t>June 10, 2023 (Sat)</t>
  </si>
  <si>
    <t>June 11, 2023 (Sun)</t>
  </si>
  <si>
    <t>June 12, 2023 (Mon)</t>
  </si>
  <si>
    <t>June 13, 2023 (Tue)</t>
  </si>
  <si>
    <t>June 14, 2023 (Wed)</t>
  </si>
  <si>
    <t>June 15, 2023 (Thu)</t>
  </si>
  <si>
    <t>June 16, 2023 (Fri)</t>
  </si>
  <si>
    <t>June 17, 2023 (Sat)</t>
  </si>
  <si>
    <t>June 18, 2023 (Sun)</t>
  </si>
  <si>
    <t>June 19, 2023 (Mon)</t>
  </si>
  <si>
    <t>June 20, 2023 (Tue)</t>
  </si>
  <si>
    <t>June 21, 2023 (Wed)</t>
  </si>
  <si>
    <t>June 22, 2023 (Thu)</t>
  </si>
  <si>
    <t>June 23, 2023 (Fri)</t>
  </si>
  <si>
    <t>June 24, 2023 (Sat)</t>
  </si>
  <si>
    <t>June 25, 2023 (Sun)</t>
  </si>
  <si>
    <t>June 26, 2023 (Mon)</t>
  </si>
  <si>
    <t>June 27, 2023 (Tue)</t>
  </si>
  <si>
    <t>June 28, 2023 (Wed)</t>
  </si>
  <si>
    <t>June 29, 2023 (Thu)</t>
  </si>
  <si>
    <t>June 30, 2023 (Fri)</t>
  </si>
  <si>
    <t>July 1, 2023 (Sat)</t>
  </si>
  <si>
    <t>July 2, 2023 (Sun)</t>
  </si>
  <si>
    <t>July 3, 2023 (Mon)</t>
  </si>
  <si>
    <t>July 4, 2023 (Tue)</t>
  </si>
  <si>
    <t>July 5, 2023 (Wed)</t>
  </si>
  <si>
    <t>July 6, 2023 (Thu)</t>
  </si>
  <si>
    <t>July 7, 2023 (Fri)</t>
  </si>
  <si>
    <t>July 8, 2023 (Sat)</t>
  </si>
  <si>
    <t>July 9, 2023 (Sun)</t>
  </si>
  <si>
    <t>July 10, 2023 (Mon)</t>
  </si>
  <si>
    <t>July 11, 2023 (Tue)</t>
  </si>
  <si>
    <t>July 12, 2023 (Wed)</t>
  </si>
  <si>
    <t>July 13, 2023 (Thu)</t>
  </si>
  <si>
    <t>July 14, 2023 (Fri)</t>
  </si>
  <si>
    <t>July 15, 2023 (Sat)</t>
  </si>
  <si>
    <t>July 16, 2023 (Sun)</t>
  </si>
  <si>
    <t>July 17, 2023 (Mon)</t>
  </si>
  <si>
    <t>July 18, 2023 (Tue)</t>
  </si>
  <si>
    <t>July 19, 2023 (Wed)</t>
  </si>
  <si>
    <t>July 20, 2023 (Thu)</t>
  </si>
  <si>
    <t>July 21, 2023 (Fri)</t>
  </si>
  <si>
    <t>July 22, 2023 (Sat)</t>
  </si>
  <si>
    <t>July 23, 2023 (Sun)</t>
  </si>
  <si>
    <t>July 24, 2023 (Mon)</t>
  </si>
  <si>
    <t>July 25, 2023 (Tue)</t>
  </si>
  <si>
    <t>July 26, 2023 (Wed)</t>
  </si>
  <si>
    <t>July 27, 2023 (Thu)</t>
  </si>
  <si>
    <t>July 28, 2023 (Fri)</t>
  </si>
  <si>
    <t>July 29, 2023 (Sat)</t>
  </si>
  <si>
    <t>July 30, 2023 (Sun)</t>
  </si>
  <si>
    <t>July 31, 2023 (Mon)</t>
  </si>
  <si>
    <t>August 1, 2023 (Tue)</t>
  </si>
  <si>
    <t>August 2, 2023 (Wed)</t>
  </si>
  <si>
    <t>August 3, 2023 (Thu)</t>
  </si>
  <si>
    <t>August 4, 2023 (Fri)</t>
  </si>
  <si>
    <t>August 5, 2023 (Sat)</t>
  </si>
  <si>
    <t>August 6, 2023 (Sun)</t>
  </si>
  <si>
    <t>August 7, 2023 (Mon)</t>
  </si>
  <si>
    <t>August 8, 2023 (Tue)</t>
  </si>
  <si>
    <t>August 9, 2023 (Wed)</t>
  </si>
  <si>
    <t>August 10, 2023 (Thu)</t>
  </si>
  <si>
    <t>August 11, 2023 (Fri)</t>
  </si>
  <si>
    <t>August 12, 2023 (Sat)</t>
  </si>
  <si>
    <t>August 13, 2023 (Sun)</t>
  </si>
  <si>
    <t>August 14, 2023 (Mon)</t>
  </si>
  <si>
    <t>August 15, 2023 (Tue)</t>
  </si>
  <si>
    <t>August 16, 2023 (Wed)</t>
  </si>
  <si>
    <t>August 17, 2023 (Thu)</t>
  </si>
  <si>
    <t>August 18, 2023 (Fri)</t>
  </si>
  <si>
    <t>August 19, 2023 (Sat)</t>
  </si>
  <si>
    <t>August 20, 2023 (Sun)</t>
  </si>
  <si>
    <t>August 21, 2023 (Mon)</t>
  </si>
  <si>
    <t>August 22, 2023 (Tue)</t>
  </si>
  <si>
    <t>August 23, 2023 (Wed)</t>
  </si>
  <si>
    <t>August 24, 2023 (Thu)</t>
  </si>
  <si>
    <t>August 25, 2023 (Fri)</t>
  </si>
  <si>
    <t>August 26, 2023 (Sat)</t>
  </si>
  <si>
    <t>August 27, 2023 (Sun)</t>
  </si>
  <si>
    <t>August 28, 2023 (Mon)</t>
  </si>
  <si>
    <t>August 29, 2023 (Tue)</t>
  </si>
  <si>
    <t>August 30, 2023 (Wed)</t>
  </si>
  <si>
    <t>August 31, 2023 (Thu)</t>
  </si>
  <si>
    <t>September 1, 2023 (Fri)</t>
  </si>
  <si>
    <t>September 2, 2023 (Sat)</t>
  </si>
  <si>
    <t>September 3, 2023 (Sun)</t>
  </si>
  <si>
    <t>September 4, 2023 (Mon)</t>
  </si>
  <si>
    <t>September 5, 2023 (Tue)</t>
  </si>
  <si>
    <t>September 6, 2023 (Wed)</t>
  </si>
  <si>
    <t>September 7, 2023 (Thu)</t>
  </si>
  <si>
    <t>September 8, 2023 (Fri)</t>
  </si>
  <si>
    <t>September 9, 2023 (Sat)</t>
  </si>
  <si>
    <t>September 10, 2023 (Sun)</t>
  </si>
  <si>
    <t>September 11, 2023 (Mon)</t>
  </si>
  <si>
    <t>September 12, 2023 (Tue)</t>
  </si>
  <si>
    <t>September 13, 2023 (Wed)</t>
  </si>
  <si>
    <t>September 14, 2023 (Thu)</t>
  </si>
  <si>
    <t>September 15, 2023 (Fri)</t>
  </si>
  <si>
    <t>September 16, 2023 (Sat)</t>
  </si>
  <si>
    <t>September 17, 2023 (Sun)</t>
  </si>
  <si>
    <t>September 18, 2023 (Mon)</t>
  </si>
  <si>
    <t>September 19, 2023 (Tue)</t>
  </si>
  <si>
    <t>September 20, 2023 (Wed)</t>
  </si>
  <si>
    <t>September 21, 2023 (Thu)</t>
  </si>
  <si>
    <t>September 22, 2023 (Fri)</t>
  </si>
  <si>
    <t>September 23, 2023 (Sat)</t>
  </si>
  <si>
    <t>September 24, 2023 (Sun)</t>
  </si>
  <si>
    <t>September 25, 2023 (Mon)</t>
  </si>
  <si>
    <t>September 26, 2023 (Tue)</t>
  </si>
  <si>
    <t>September 27, 2023 (Wed)</t>
  </si>
  <si>
    <t>September 28, 2023 (Thu)</t>
  </si>
  <si>
    <t>September 29, 2023 (Fri)</t>
  </si>
  <si>
    <t>September 30, 2023 (Sat)</t>
  </si>
  <si>
    <t>October 1, 2023 (Sun)</t>
  </si>
  <si>
    <t>October 2, 2023 (Mon)</t>
  </si>
  <si>
    <t>October 3, 2023 (Tue)</t>
  </si>
  <si>
    <t>October 4, 2023 (Wed)</t>
  </si>
  <si>
    <t>October 5, 2023 (Thu)</t>
  </si>
  <si>
    <t>October 6, 2023 (Fri)</t>
  </si>
  <si>
    <t>October 7, 2023 (Sat)</t>
  </si>
  <si>
    <t>October 8, 2023 (Sun)</t>
  </si>
  <si>
    <t>October 9, 2023 (Mon)</t>
  </si>
  <si>
    <t>October 10, 2023 (Tue)</t>
  </si>
  <si>
    <t>October 11, 2023 (Wed)</t>
  </si>
  <si>
    <t>October 12, 2023 (Thu)</t>
  </si>
  <si>
    <t>October 13, 2023 (Fri)</t>
  </si>
  <si>
    <t>October 14, 2023 (Sat)</t>
  </si>
  <si>
    <t>October 15, 2023 (Sun)</t>
  </si>
  <si>
    <t>October 16, 2023 (Mon)</t>
  </si>
  <si>
    <t>October 17, 2023 (Tue)</t>
  </si>
  <si>
    <t>October 18, 2023 (Wed)</t>
  </si>
  <si>
    <t>October 19, 2023 (Thu)</t>
  </si>
  <si>
    <t>October 20, 2023 (Fri)</t>
  </si>
  <si>
    <t>October 21, 2023 (Sat)</t>
  </si>
  <si>
    <t>October 22, 2023 (Sun)</t>
  </si>
  <si>
    <t>October 23, 2023 (Mon)</t>
  </si>
  <si>
    <t>October 24, 2023 (Tue)</t>
  </si>
  <si>
    <t>October 25, 2023 (Wed)</t>
  </si>
  <si>
    <t>October 26, 2023 (Thu)</t>
  </si>
  <si>
    <t>October 27, 2023 (Fri)</t>
  </si>
  <si>
    <t>October 28, 2023 (Sat)</t>
  </si>
  <si>
    <t>October 29, 2023 (Sun)</t>
  </si>
  <si>
    <t>October 30, 2023 (Mon)</t>
  </si>
  <si>
    <t>October 31, 2023 (Tue)</t>
  </si>
  <si>
    <t>November 1, 2023 (Wed)</t>
  </si>
  <si>
    <t>November 2, 2023 (Thu)</t>
  </si>
  <si>
    <t>November 3, 2023 (Fri)</t>
  </si>
  <si>
    <t>November 4, 2023 (Sat)</t>
  </si>
  <si>
    <t>November 5, 2023 (Sun)</t>
  </si>
  <si>
    <t>November 6, 2023 (Mon)</t>
  </si>
  <si>
    <t>November 7, 2023 (Tue)</t>
  </si>
  <si>
    <t>November 8, 2023 (Wed)</t>
  </si>
  <si>
    <t>November 9, 2023 (Thu)</t>
  </si>
  <si>
    <t>November 10, 2023 (Fri)</t>
  </si>
  <si>
    <t>November 11, 2023 (Sat)</t>
  </si>
  <si>
    <t>November 12, 2023 (Sun)</t>
  </si>
  <si>
    <t>November 13, 2023 (Mon)</t>
  </si>
  <si>
    <t>November 14, 2023 (Tue)</t>
  </si>
  <si>
    <t>November 15, 2023 (Wed)</t>
  </si>
  <si>
    <t>November 16, 2023 (Thu)</t>
  </si>
  <si>
    <t>November 17, 2023 (Fri)</t>
  </si>
  <si>
    <t>November 18, 2023 (Sat)</t>
  </si>
  <si>
    <t>November 19, 2023 (Sun)</t>
  </si>
  <si>
    <t>November 20, 2023 (Mon)</t>
  </si>
  <si>
    <t>November 21, 2023 (Tue)</t>
  </si>
  <si>
    <t>November 22, 2023 (Wed)</t>
  </si>
  <si>
    <t>November 23, 2023 (Thu)</t>
  </si>
  <si>
    <t>November 24, 2023 (Fri)</t>
  </si>
  <si>
    <t>November 25, 2023 (Sat)</t>
  </si>
  <si>
    <t>November 26, 2023 (Sun)</t>
  </si>
  <si>
    <t>November 27, 2023 (Mon)</t>
  </si>
  <si>
    <t>November 28, 2023 (Tue)</t>
  </si>
  <si>
    <t>November 29, 2023 (Wed)</t>
  </si>
  <si>
    <t>November 30, 2023 (Thu)</t>
  </si>
  <si>
    <t>December 1, 2023 (Fri)</t>
  </si>
  <si>
    <t>December 2, 2023 (Sat)</t>
  </si>
  <si>
    <t>December 3, 2023 (Sun)</t>
  </si>
  <si>
    <t>December 4, 2023 (Mon)</t>
  </si>
  <si>
    <t>December 5, 2023 (Tue)</t>
  </si>
  <si>
    <t>December 6, 2023 (Wed)</t>
  </si>
  <si>
    <t>December 7, 2023 (Thu)</t>
  </si>
  <si>
    <t>December 8, 2023 (Fri)</t>
  </si>
  <si>
    <t>December 9, 2023 (Sat)</t>
  </si>
  <si>
    <t>December 10, 2023 (Sun)</t>
  </si>
  <si>
    <t>December 11, 2023 (Mon)</t>
  </si>
  <si>
    <t>December 12, 2023 (Tue)</t>
  </si>
  <si>
    <t>December 13, 2023 (Wed)</t>
  </si>
  <si>
    <t>December 14, 2023 (Thu)</t>
  </si>
  <si>
    <t>December 15, 2023 (Fri)</t>
  </si>
  <si>
    <t>December 16, 2023 (Sat)</t>
  </si>
  <si>
    <t>December 17, 2023 (Sun)</t>
  </si>
  <si>
    <t>December 18, 2023 (Mon)</t>
  </si>
  <si>
    <t>December 19, 2023 (Tue)</t>
  </si>
  <si>
    <t>December 20, 2023 (Wed)</t>
  </si>
  <si>
    <t>December 21, 2023 (Thu)</t>
  </si>
  <si>
    <t>December 22, 2023 (Fri)</t>
  </si>
  <si>
    <t>December 23, 2023 (Sat)</t>
  </si>
  <si>
    <t>December 24, 2023 (Sun)</t>
  </si>
  <si>
    <t>December 25, 2023 (Mon)</t>
  </si>
  <si>
    <t>December 26, 2023 (Tue)</t>
  </si>
  <si>
    <t>December 27, 2023 (Wed)</t>
  </si>
  <si>
    <t>December 28, 2023 (Thu)</t>
  </si>
  <si>
    <t>December 29, 2023 (Fri)</t>
  </si>
  <si>
    <t>December 30, 2023 (Sat)</t>
  </si>
  <si>
    <t>December 31, 2023 (Sun)</t>
  </si>
  <si>
    <t>Company</t>
  </si>
  <si>
    <t>Paid</t>
  </si>
  <si>
    <t>Sum (Pounds)</t>
  </si>
  <si>
    <t>Sum (Euro)</t>
  </si>
  <si>
    <t>Conversion factor</t>
  </si>
  <si>
    <t>JAG20210302</t>
  </si>
  <si>
    <t>AI Eng</t>
  </si>
  <si>
    <t>UA177 &amp;U180</t>
  </si>
  <si>
    <t>Korec</t>
  </si>
  <si>
    <t>Jan+giffgaff</t>
  </si>
  <si>
    <t>A51 support</t>
  </si>
  <si>
    <t>JWG</t>
  </si>
  <si>
    <t>River Nene</t>
  </si>
  <si>
    <t>Elstree Tunnel</t>
  </si>
  <si>
    <t>JAG20220228.1</t>
  </si>
  <si>
    <t>Feb + giff gaff</t>
  </si>
  <si>
    <t>JAG20220305.1</t>
  </si>
  <si>
    <t>March + extras</t>
  </si>
  <si>
    <t>March services and support</t>
  </si>
  <si>
    <t>April</t>
  </si>
  <si>
    <t xml:space="preserve">May </t>
  </si>
  <si>
    <t>April May Giff Gaff</t>
  </si>
  <si>
    <t>JAG20220622.2</t>
  </si>
  <si>
    <t>Coordinates</t>
  </si>
  <si>
    <t>SRM</t>
  </si>
  <si>
    <t>SRM 01495/OP/225113</t>
  </si>
  <si>
    <t>Paid Halifax</t>
  </si>
  <si>
    <t>June</t>
  </si>
  <si>
    <t>JAG20220731.1</t>
  </si>
  <si>
    <t>July</t>
  </si>
  <si>
    <t>JAG20220812.1</t>
  </si>
  <si>
    <t>June July August Giff Gaff</t>
  </si>
  <si>
    <t>JAG20220812.2</t>
  </si>
  <si>
    <t>U177A deflection report</t>
  </si>
  <si>
    <t>Jake Gaskill</t>
  </si>
  <si>
    <t>Leeds: weekend support 30/31 July</t>
  </si>
  <si>
    <t>JAG20220831.1</t>
  </si>
  <si>
    <t>August</t>
  </si>
  <si>
    <t>September</t>
  </si>
  <si>
    <t>August Sept Oct Giff Gaff</t>
  </si>
  <si>
    <t>JAG20221027.1</t>
  </si>
  <si>
    <t>October 22</t>
  </si>
  <si>
    <t>JAG20221027.2</t>
  </si>
  <si>
    <t>October support</t>
  </si>
  <si>
    <t>JAG20221028.1</t>
  </si>
  <si>
    <t>System baseline</t>
  </si>
  <si>
    <t>JAG20221128.1</t>
  </si>
  <si>
    <t xml:space="preserve">Korec </t>
  </si>
  <si>
    <t>JAG20221128.2</t>
  </si>
  <si>
    <t>November support</t>
  </si>
  <si>
    <t>JAG20221128.3</t>
  </si>
  <si>
    <t>Giff gaff</t>
  </si>
  <si>
    <t>JAG20221220.1</t>
  </si>
  <si>
    <t>December 22</t>
  </si>
  <si>
    <t>Training presentation</t>
  </si>
  <si>
    <t>JAG20221230.1</t>
  </si>
  <si>
    <t>Kenilworth 2022</t>
  </si>
  <si>
    <t>JAG20221230.2</t>
  </si>
  <si>
    <t>Lawley 2022</t>
  </si>
  <si>
    <t>JAG20221230.3</t>
  </si>
  <si>
    <t>WWH1</t>
  </si>
  <si>
    <t>Asset 13 Support Oct-Dec</t>
  </si>
  <si>
    <t>Asset 13 Support Dec 25/26</t>
  </si>
  <si>
    <t>January 23</t>
  </si>
  <si>
    <t>Asset 13 Support January</t>
  </si>
  <si>
    <t>Asset 13 Support February</t>
  </si>
  <si>
    <t>February 2023</t>
  </si>
  <si>
    <t>Strain Gauge test</t>
  </si>
  <si>
    <t>March 2023</t>
  </si>
  <si>
    <t>Asset 13 Support March</t>
  </si>
  <si>
    <t>Asset 13 Support April</t>
  </si>
  <si>
    <t>Clonburris</t>
  </si>
  <si>
    <t>GHE</t>
  </si>
  <si>
    <t>Bray Head Hotel</t>
  </si>
  <si>
    <t>Calverly</t>
  </si>
  <si>
    <t>Korec (UK)</t>
  </si>
  <si>
    <t>May 2023</t>
  </si>
  <si>
    <t>Korec (IRE)</t>
  </si>
  <si>
    <t>Asset 13 Support May</t>
  </si>
  <si>
    <t>Server Configuration</t>
  </si>
  <si>
    <t>JAG20230627.1</t>
  </si>
  <si>
    <t>June 2023</t>
  </si>
  <si>
    <t>June support</t>
  </si>
  <si>
    <t xml:space="preserve">JAG20230725.1 </t>
  </si>
  <si>
    <t>Korec(IRE)</t>
  </si>
  <si>
    <t>July 2023</t>
  </si>
  <si>
    <t>Korec(UK)</t>
  </si>
  <si>
    <t>JAG20230725.3</t>
  </si>
  <si>
    <t>Calverly July</t>
  </si>
  <si>
    <t>JAG20230725.4</t>
  </si>
  <si>
    <t>Northallerton July</t>
  </si>
  <si>
    <t>Pilbara Iron</t>
  </si>
  <si>
    <t>Rio Tinto training</t>
  </si>
  <si>
    <t>JAG20230825.3</t>
  </si>
  <si>
    <t>Northallerton August</t>
  </si>
  <si>
    <t>JAG20230825.4</t>
  </si>
  <si>
    <t>Calverly August</t>
  </si>
  <si>
    <t>JAG20230927.1</t>
  </si>
  <si>
    <t>Calverly September</t>
  </si>
  <si>
    <t>JAG20230927.2a</t>
  </si>
  <si>
    <t>Northallerton September</t>
  </si>
  <si>
    <t>JAG20230927.4</t>
  </si>
  <si>
    <t>JAG20230927.5a</t>
  </si>
  <si>
    <t>WWH1 Jan-Mar 2023</t>
  </si>
  <si>
    <t>JAG20230927.6a</t>
  </si>
  <si>
    <t>Kenilworth Jan-Mar 2023</t>
  </si>
  <si>
    <t>JAG20230927.7a</t>
  </si>
  <si>
    <t>Lawley Jan-Mar 2023</t>
  </si>
  <si>
    <t>Northallerton October</t>
  </si>
  <si>
    <t>October 2023</t>
  </si>
  <si>
    <t>Northallerton Nov</t>
  </si>
  <si>
    <t>JAG20231201.1</t>
  </si>
  <si>
    <t>BBVTGR updates UK</t>
  </si>
  <si>
    <t>GeoInfo</t>
  </si>
  <si>
    <t>Allerdene Ph2 UK</t>
  </si>
  <si>
    <t>Dec23 UK</t>
  </si>
  <si>
    <t>Dec23 Ireland DE</t>
  </si>
  <si>
    <t>Northallerton Dec UK</t>
  </si>
  <si>
    <t>Pylon ZL239 UK</t>
  </si>
  <si>
    <t>JAG20240129.1</t>
  </si>
  <si>
    <t>Jan24 UK</t>
  </si>
  <si>
    <t>JAG20240129.2</t>
  </si>
  <si>
    <t>Jan24 Ireland DE</t>
  </si>
  <si>
    <t>Northallerton Feb24  UK</t>
  </si>
  <si>
    <t>JAG20240227.2</t>
  </si>
  <si>
    <t>Feb24 IRE</t>
  </si>
  <si>
    <t>JAG20240227.3</t>
  </si>
  <si>
    <t>Feb24 UK</t>
  </si>
  <si>
    <t>Mar24 UK</t>
  </si>
  <si>
    <t>Mar24 (IRE)</t>
  </si>
  <si>
    <t>Northallerton Mar24  UK</t>
  </si>
  <si>
    <t>Data summary project duration UK</t>
  </si>
  <si>
    <t>Apr23 (UK)</t>
  </si>
  <si>
    <t>Apr23 (IRE)</t>
  </si>
  <si>
    <t>Northallerton Apr24  UK</t>
  </si>
  <si>
    <t>JAG20240508.1</t>
  </si>
  <si>
    <t>Pylon XY30 UK</t>
  </si>
  <si>
    <t>JAG20240527.1</t>
  </si>
  <si>
    <t>May24 (UK)</t>
  </si>
  <si>
    <t>JAG20240527.2</t>
  </si>
  <si>
    <t>May24 (IRE)</t>
  </si>
  <si>
    <t>JAG20240527.3</t>
  </si>
  <si>
    <t>Apr24 Ireland Expenses DE</t>
  </si>
  <si>
    <t>JAG20240527.4</t>
  </si>
  <si>
    <t>Northallerton May24  UK</t>
  </si>
  <si>
    <t>JAG20240527.5</t>
  </si>
  <si>
    <t>Rotherham May24 UK</t>
  </si>
  <si>
    <t>JAG20240527.6</t>
  </si>
  <si>
    <t>Woodbrook</t>
  </si>
  <si>
    <t>JAG20240527.7</t>
  </si>
  <si>
    <t>PO1653712 2024 UK</t>
  </si>
  <si>
    <t>JAG20240527.8</t>
  </si>
  <si>
    <t>PO1653711 2024 UK</t>
  </si>
  <si>
    <t>JAG20240625.1</t>
  </si>
  <si>
    <t>June 24 UK</t>
  </si>
  <si>
    <t>JAG20240625.2</t>
  </si>
  <si>
    <t>June 24 IRE</t>
  </si>
  <si>
    <t>Northallerton June24  UK</t>
  </si>
  <si>
    <t>JAG20240625.4</t>
  </si>
  <si>
    <t>Rotherham June 24</t>
  </si>
  <si>
    <t>July 24 (UK)</t>
  </si>
  <si>
    <t>July 24 (IRE)</t>
  </si>
  <si>
    <t>JAG20240726.3</t>
  </si>
  <si>
    <t>Northallerton July24  UK</t>
  </si>
  <si>
    <t>JAG20240830.1</t>
  </si>
  <si>
    <t>August 24 (UK)</t>
  </si>
  <si>
    <t>August 24 (IRE)</t>
  </si>
  <si>
    <t>Northallerton August24  UK</t>
  </si>
  <si>
    <t>September 24 (UK)</t>
  </si>
  <si>
    <t>JAG20240927.2</t>
  </si>
  <si>
    <t>September 24 (IRE)</t>
  </si>
  <si>
    <t>Northallerton September 24  UK</t>
  </si>
  <si>
    <t>JAG20241028.1</t>
  </si>
  <si>
    <t>October 24 (UK)</t>
  </si>
  <si>
    <t>JAG20241028.2</t>
  </si>
  <si>
    <t>October 24 (IRE)</t>
  </si>
  <si>
    <t>Northallerton October 24  UK</t>
  </si>
  <si>
    <t>Tritech</t>
  </si>
  <si>
    <t>October monitoring support</t>
  </si>
  <si>
    <t>JAG20241028.5</t>
  </si>
  <si>
    <t>WWH1: project close</t>
  </si>
  <si>
    <t>JAG20241028.6</t>
  </si>
  <si>
    <t>WWH2: project close</t>
  </si>
  <si>
    <t>JAG20241028.7</t>
  </si>
  <si>
    <t>Lawley data summary</t>
  </si>
  <si>
    <t>Rio Tinto</t>
  </si>
  <si>
    <t>Northallerton November 24  UK</t>
  </si>
  <si>
    <t>November monitoring support</t>
  </si>
  <si>
    <t>Kenilworth system reset</t>
  </si>
  <si>
    <t>Fluggesellschaft</t>
  </si>
  <si>
    <t>Von</t>
  </si>
  <si>
    <t>Bis</t>
  </si>
  <si>
    <t>Tage Aus DE</t>
  </si>
  <si>
    <t>Tage in UK</t>
  </si>
  <si>
    <t>Tage in DE</t>
  </si>
  <si>
    <t>Sonstiges</t>
  </si>
  <si>
    <t>MI26DM</t>
  </si>
  <si>
    <t>MUC</t>
  </si>
  <si>
    <t>LHR</t>
  </si>
  <si>
    <t>Days</t>
  </si>
  <si>
    <t>W7NQB3</t>
  </si>
  <si>
    <t>MYEOIU</t>
  </si>
  <si>
    <t>VFH4RT</t>
  </si>
  <si>
    <t>CPT</t>
  </si>
  <si>
    <t>U3PMOE</t>
  </si>
  <si>
    <t>PGFSB6</t>
  </si>
  <si>
    <t>PGFSB7</t>
  </si>
  <si>
    <t>L2MI9E</t>
  </si>
  <si>
    <t>train</t>
  </si>
  <si>
    <t>Q4CIGV</t>
  </si>
  <si>
    <t>RBFJOP</t>
  </si>
  <si>
    <t>L2M19E</t>
  </si>
  <si>
    <t>Total days</t>
  </si>
  <si>
    <t>DE%</t>
  </si>
  <si>
    <t>2023.A</t>
  </si>
  <si>
    <t>OPPSDL</t>
  </si>
  <si>
    <t>2023A</t>
  </si>
  <si>
    <t>2023B</t>
  </si>
  <si>
    <t>STKAYO</t>
  </si>
  <si>
    <t>01.01.2024 to 05.04.2024</t>
  </si>
  <si>
    <t>06.04.2024 to 31.12.2024</t>
  </si>
  <si>
    <t>JI6DXS</t>
  </si>
  <si>
    <t>MGQL64</t>
  </si>
  <si>
    <t>Note</t>
  </si>
  <si>
    <t xml:space="preserve">The non-uk days have been excluded (2025.02.19) after talking to Roman </t>
  </si>
  <si>
    <t>U7Z8EC</t>
  </si>
  <si>
    <t>RQSQVO</t>
  </si>
  <si>
    <t>2023.B</t>
  </si>
  <si>
    <t>S6JEG7</t>
  </si>
  <si>
    <t>HRU3CW</t>
  </si>
  <si>
    <t>PER</t>
  </si>
  <si>
    <t>VKLBSE</t>
  </si>
  <si>
    <t>M2AFZ7</t>
  </si>
  <si>
    <t>KSWEXW</t>
  </si>
  <si>
    <t>MCTDHQ</t>
  </si>
  <si>
    <t>DE Tax year</t>
  </si>
  <si>
    <t>PFBAUR</t>
  </si>
  <si>
    <t>2024.A</t>
  </si>
  <si>
    <t>TS9VZ2</t>
  </si>
  <si>
    <t>Emirates</t>
  </si>
  <si>
    <t>UK tax year</t>
  </si>
  <si>
    <t>WKKPTC</t>
  </si>
  <si>
    <t>LTN</t>
  </si>
  <si>
    <t>DUB</t>
  </si>
  <si>
    <t>LXW2MX</t>
  </si>
  <si>
    <t>KUAOET</t>
  </si>
  <si>
    <t>TIA</t>
  </si>
  <si>
    <t>TPINOB</t>
  </si>
  <si>
    <t>2024.B</t>
  </si>
  <si>
    <t>QMTKPE</t>
  </si>
  <si>
    <t>R8H77H</t>
  </si>
  <si>
    <t>NAX9A5</t>
  </si>
  <si>
    <t>CQEENS</t>
  </si>
  <si>
    <t>VVFUXV</t>
  </si>
  <si>
    <t>HDH6TB</t>
  </si>
  <si>
    <t xml:space="preserve">CPT </t>
  </si>
  <si>
    <t>SYX3CR</t>
  </si>
  <si>
    <t>QTO284</t>
  </si>
  <si>
    <t>T6ZKHU</t>
  </si>
  <si>
    <t>MNJPMR</t>
  </si>
  <si>
    <t>RWRUWW</t>
  </si>
  <si>
    <t>VAO9PH</t>
  </si>
  <si>
    <t>HH5DEN</t>
  </si>
  <si>
    <t>To</t>
  </si>
  <si>
    <t>Description / Service period</t>
  </si>
  <si>
    <t>Invoiced Pounds</t>
  </si>
  <si>
    <t>Invoice Euros</t>
  </si>
  <si>
    <t>Date Paid</t>
  </si>
  <si>
    <t>Jan24 IRE</t>
  </si>
  <si>
    <t>Mar24 IRE</t>
  </si>
  <si>
    <t>Apr23 UK</t>
  </si>
  <si>
    <t>Apr23 IRE</t>
  </si>
  <si>
    <t>May24 UK</t>
  </si>
  <si>
    <t>May24 IRE</t>
  </si>
  <si>
    <t>01.01.2022 - 12.12.2022</t>
  </si>
  <si>
    <t>Rough tax UK</t>
  </si>
  <si>
    <t>Rough tax DE</t>
  </si>
  <si>
    <t>2022-2023 UK Income</t>
  </si>
  <si>
    <t>April 2022 to March 2023 (GBP)</t>
  </si>
  <si>
    <t>JAG20250127.1</t>
  </si>
  <si>
    <t>JAG20250127.2</t>
  </si>
  <si>
    <t>JAG20250127.3</t>
  </si>
  <si>
    <t>JAG20250127.4</t>
  </si>
  <si>
    <t>JAG20250127.5</t>
  </si>
  <si>
    <t>Zenith</t>
  </si>
  <si>
    <t>JAG20250225.1</t>
  </si>
  <si>
    <t>JAG20250225.2</t>
  </si>
  <si>
    <t>JAG20250225.3</t>
  </si>
  <si>
    <t>JAG20250225.4</t>
  </si>
  <si>
    <t>JAG20250225.5</t>
  </si>
  <si>
    <t>JAG20250325.1</t>
  </si>
  <si>
    <t>JAG20250325.2</t>
  </si>
  <si>
    <t>JAG20250325.3</t>
  </si>
  <si>
    <t>JAG20250325.5</t>
  </si>
  <si>
    <t>JAG20250325.6</t>
  </si>
  <si>
    <t>JAG20250325.7</t>
  </si>
  <si>
    <t>JAG20250325.8</t>
  </si>
  <si>
    <t>JAG20250407.1</t>
  </si>
  <si>
    <t>JAG20250407.2</t>
  </si>
  <si>
    <t>JAG20250428.1</t>
  </si>
  <si>
    <t>JAG20250428.2</t>
  </si>
  <si>
    <t>JAG20250428.3</t>
  </si>
  <si>
    <t>JAG20250525.4</t>
  </si>
  <si>
    <t>JAG20250526.1</t>
  </si>
  <si>
    <t>JAG20250526.2</t>
  </si>
  <si>
    <t>JAG20250526.3</t>
  </si>
  <si>
    <t>JAG20250626.1</t>
  </si>
  <si>
    <t>JAG20250626.2</t>
  </si>
  <si>
    <t>JAG20250626.4</t>
  </si>
  <si>
    <t>JAG20250725.1</t>
  </si>
  <si>
    <t>JAG20250725.2</t>
  </si>
  <si>
    <t>JAG20250725.3</t>
  </si>
  <si>
    <t>JAG20250725.4</t>
  </si>
  <si>
    <t>JAG20250828.1</t>
  </si>
  <si>
    <t>JAG20250828.2</t>
  </si>
  <si>
    <t>JAG20250828.3</t>
  </si>
  <si>
    <t>JAG20250828.4</t>
  </si>
  <si>
    <t>JAG20250925.1</t>
  </si>
  <si>
    <t>JAG20250925.2</t>
  </si>
  <si>
    <t>JAG20250925.3</t>
  </si>
  <si>
    <t>JAG20250930.1</t>
  </si>
  <si>
    <t>York Wall</t>
  </si>
  <si>
    <t>Northallerton</t>
  </si>
  <si>
    <t>ODV2</t>
  </si>
  <si>
    <t>ODV2 Feb</t>
  </si>
  <si>
    <t>ODV2 Mar</t>
  </si>
  <si>
    <t>Rathmore</t>
  </si>
  <si>
    <t>Athy</t>
  </si>
  <si>
    <t>Kenilworth to 20240930</t>
  </si>
  <si>
    <t>Kenilworth (20241001 to 20250331)</t>
  </si>
  <si>
    <t>Allerdene 3</t>
  </si>
  <si>
    <t>York Aug</t>
  </si>
  <si>
    <t>JAG20250925.4</t>
  </si>
  <si>
    <t>York Sep</t>
  </si>
  <si>
    <t>Athlone</t>
  </si>
  <si>
    <r>
      <t>Start date:</t>
    </r>
    <r>
      <rPr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2"/>
        <scheme val="minor"/>
      </rPr>
      <t>6 April 2024</t>
    </r>
  </si>
  <si>
    <r>
      <t>End date:</t>
    </r>
    <r>
      <rPr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2"/>
        <scheme val="minor"/>
      </rPr>
      <t>5 April 2025</t>
    </r>
  </si>
  <si>
    <t>UK Tax year</t>
  </si>
  <si>
    <t>2025 (01 Jan- 05 April)</t>
  </si>
  <si>
    <t>2025 (06 Apr-31 Dec)</t>
  </si>
  <si>
    <r>
      <rPr>
        <sz val="9"/>
        <color theme="1"/>
        <rFont val="Aptos"/>
        <family val="2"/>
      </rPr>
      <t xml:space="preserve">Vehicle </t>
    </r>
    <r>
      <rPr>
        <u/>
        <sz val="9"/>
        <color rgb="FF1155CC"/>
        <rFont val="Aptos"/>
        <family val="2"/>
      </rPr>
      <t>Information.uk</t>
    </r>
  </si>
  <si>
    <r>
      <rPr>
        <sz val="9"/>
        <color theme="1"/>
        <rFont val="Aptos"/>
        <family val="2"/>
      </rPr>
      <t xml:space="preserve">Hetzner </t>
    </r>
    <r>
      <rPr>
        <u/>
        <sz val="9"/>
        <color rgb="FF1155CC"/>
        <rFont val="Aptos"/>
        <family val="2"/>
      </rPr>
      <t>gnageomatics.com</t>
    </r>
    <r>
      <rPr>
        <sz val="9"/>
        <color theme="1"/>
        <rFont val="Aptos"/>
        <family val="2"/>
      </rPr>
      <t xml:space="preserve"> web hosting</t>
    </r>
  </si>
  <si>
    <r>
      <rPr>
        <u/>
        <sz val="9"/>
        <color rgb="FF1155CC"/>
        <rFont val="Aptos"/>
        <family val="2"/>
      </rPr>
      <t>Keytive.com</t>
    </r>
    <r>
      <rPr>
        <sz val="9"/>
        <color theme="1"/>
        <rFont val="Aptos"/>
        <family val="2"/>
      </rPr>
      <t xml:space="preserve"> (Microsoft Office)</t>
    </r>
  </si>
  <si>
    <r>
      <rPr>
        <sz val="9"/>
        <color rgb="FF1F1F1F"/>
        <rFont val="Aptos"/>
        <family val="2"/>
      </rPr>
      <t>JAG20240508.1</t>
    </r>
  </si>
  <si>
    <r>
      <rPr>
        <sz val="9"/>
        <color rgb="FF1F1F1F"/>
        <rFont val="Aptos"/>
        <family val="2"/>
      </rPr>
      <t>JAG20240527.1</t>
    </r>
  </si>
  <si>
    <r>
      <rPr>
        <sz val="9"/>
        <color rgb="FF1F1F1F"/>
        <rFont val="Aptos"/>
        <family val="2"/>
      </rPr>
      <t>JAG20240527.3</t>
    </r>
  </si>
  <si>
    <r>
      <rPr>
        <sz val="9"/>
        <color rgb="FF1F1F1F"/>
        <rFont val="Aptos"/>
        <family val="2"/>
      </rPr>
      <t>JAG20240527.2</t>
    </r>
  </si>
  <si>
    <r>
      <rPr>
        <sz val="9"/>
        <color rgb="FF1F1F1F"/>
        <rFont val="Aptos"/>
        <family val="2"/>
      </rPr>
      <t>JAG20240625.1</t>
    </r>
  </si>
  <si>
    <r>
      <rPr>
        <sz val="9"/>
        <color rgb="FF1F1F1F"/>
        <rFont val="Aptos"/>
        <family val="2"/>
      </rPr>
      <t>JAG20240625.2</t>
    </r>
  </si>
  <si>
    <r>
      <rPr>
        <u/>
        <sz val="9"/>
        <color rgb="FF1155CC"/>
        <rFont val="Aptos"/>
        <family val="2"/>
      </rPr>
      <t>Paddle.net</t>
    </r>
    <r>
      <rPr>
        <sz val="9"/>
        <color rgb="FF000000"/>
        <rFont val="Aptos"/>
        <family val="2"/>
      </rPr>
      <t xml:space="preserve"> (email dll license: 2024)</t>
    </r>
  </si>
  <si>
    <r>
      <rPr>
        <u/>
        <sz val="9"/>
        <color rgb="FF1155CC"/>
        <rFont val="Aptos"/>
        <family val="2"/>
      </rPr>
      <t>Paddle.net</t>
    </r>
    <r>
      <rPr>
        <sz val="9"/>
        <color rgb="FF000000"/>
        <rFont val="Aptos"/>
        <family val="2"/>
      </rPr>
      <t xml:space="preserve"> (email dll license: 2025, 2026)</t>
    </r>
  </si>
  <si>
    <r>
      <rPr>
        <u/>
        <sz val="9"/>
        <color rgb="FF1155CC"/>
        <rFont val="Aptos"/>
        <family val="2"/>
      </rPr>
      <t>Booking.com</t>
    </r>
    <r>
      <rPr>
        <sz val="9"/>
        <color rgb="FF000000"/>
        <rFont val="Aptos"/>
        <family val="2"/>
      </rPr>
      <t xml:space="preserve"> (Munich Airport hotel)</t>
    </r>
  </si>
  <si>
    <t>PAT38X</t>
  </si>
  <si>
    <t>URYAQU</t>
  </si>
  <si>
    <t>YI7VSU</t>
  </si>
  <si>
    <t>7Q4B3P</t>
  </si>
  <si>
    <t>ZJMNHG</t>
  </si>
  <si>
    <t>Z73HK6</t>
  </si>
  <si>
    <t>J4VPTF</t>
  </si>
  <si>
    <t>ZWKK6E</t>
  </si>
  <si>
    <t>TBI</t>
  </si>
  <si>
    <t>77GTL77</t>
  </si>
  <si>
    <t>7976LE</t>
  </si>
  <si>
    <t>9QFTFX</t>
  </si>
  <si>
    <t>X29PMY</t>
  </si>
  <si>
    <t>77YJWN</t>
  </si>
  <si>
    <t>UK Tax Year</t>
  </si>
  <si>
    <t>2025A</t>
  </si>
  <si>
    <t>2025B</t>
  </si>
  <si>
    <t>JAG20251025.1</t>
  </si>
  <si>
    <t>JAG20251025.3</t>
  </si>
  <si>
    <t>JAG20251125.1</t>
  </si>
  <si>
    <t>JAG20251125.2</t>
  </si>
  <si>
    <t>JAG20251125.3</t>
  </si>
  <si>
    <t>JAG20251025.2a</t>
  </si>
  <si>
    <t>JAG20251201.1</t>
  </si>
  <si>
    <t>JAG20251201.2</t>
  </si>
  <si>
    <t>Consultancy Oct UK</t>
  </si>
  <si>
    <t>Consultancy Oct IE</t>
  </si>
  <si>
    <t>Consultancy Nov UK</t>
  </si>
  <si>
    <t>Consultancy Nov IE</t>
  </si>
  <si>
    <t>Consultancy Sep UK</t>
  </si>
  <si>
    <t>Consultancy Sep IE</t>
  </si>
  <si>
    <t>Consultancy Aug UK</t>
  </si>
  <si>
    <t>Consultancy Aug IE</t>
  </si>
  <si>
    <t>Consultancy Jul UK</t>
  </si>
  <si>
    <t>Consultancy Jul IE</t>
  </si>
  <si>
    <t>Consultancy Jun UK</t>
  </si>
  <si>
    <t>Consultancy Jun IE</t>
  </si>
  <si>
    <t>Consultancy Apr UK</t>
  </si>
  <si>
    <t>Consultancy Apr IE</t>
  </si>
  <si>
    <t>Consultancy Mar UK</t>
  </si>
  <si>
    <t>Consultancy Mar IE</t>
  </si>
  <si>
    <t>Consultancy Jan UK</t>
  </si>
  <si>
    <t>Consultancy Jan IE</t>
  </si>
  <si>
    <t>Pilbara Iron Ore Group</t>
  </si>
  <si>
    <t>Perth Training</t>
  </si>
  <si>
    <t>Enguri dam site visit</t>
  </si>
  <si>
    <t>Hydrodiagnostics</t>
  </si>
  <si>
    <t>Consultancy Dec UK</t>
  </si>
  <si>
    <t>Consultancy Dec IE</t>
  </si>
  <si>
    <t>December monitoring support</t>
  </si>
  <si>
    <t>JAG20241225.1</t>
  </si>
  <si>
    <t>JAG20241225.2</t>
  </si>
  <si>
    <t>JAG20241225.4</t>
  </si>
  <si>
    <t>Consultancy Feb UK</t>
  </si>
  <si>
    <t>Consultancy Feb IE</t>
  </si>
  <si>
    <t>Consultancy May UK</t>
  </si>
  <si>
    <t>Consultancy May IE</t>
  </si>
  <si>
    <t>JAG20251025.4</t>
  </si>
  <si>
    <t>disputed and not paid</t>
  </si>
  <si>
    <t>not paid</t>
  </si>
  <si>
    <t>JAG20250425.5</t>
  </si>
  <si>
    <t>Invoices</t>
  </si>
  <si>
    <t>Column1</t>
  </si>
  <si>
    <t>Pension</t>
  </si>
  <si>
    <t>Other</t>
  </si>
  <si>
    <t>01.01.2025 to 05.04.2025</t>
  </si>
  <si>
    <t>06.04.2025 to 31.12.2025</t>
  </si>
  <si>
    <t>OPENAI *CHATGPT SUBSCR</t>
  </si>
  <si>
    <t>DB VERTRIEB GMBH</t>
  </si>
  <si>
    <t>e.on</t>
  </si>
  <si>
    <t>WEG HOEHENKIRCHEN</t>
  </si>
  <si>
    <t>AECOM LIMITED</t>
  </si>
  <si>
    <t>IncomeUK</t>
  </si>
  <si>
    <t>SURVEY SUPPLIES LI</t>
  </si>
  <si>
    <t>HUNTINGDON OSTEOPA</t>
  </si>
  <si>
    <t>PRECISE CONSTRUCTION INSTRUMNETS L</t>
  </si>
  <si>
    <t>IncomeDE</t>
  </si>
  <si>
    <t>RYANAIR224TWGI9M</t>
  </si>
  <si>
    <t>LUFTHAN2202218605229</t>
  </si>
  <si>
    <t>TRI-TECH LIMITED</t>
  </si>
  <si>
    <t>Lufthansa 220636639892</t>
  </si>
  <si>
    <t>FOUR PAW RACING</t>
  </si>
  <si>
    <t>VEEZU</t>
  </si>
  <si>
    <t>Starbucks</t>
  </si>
  <si>
    <t>Techniker Krankenkasse</t>
  </si>
  <si>
    <t>TFL TRAVEL CH</t>
  </si>
  <si>
    <t>Circle K Gas Station</t>
  </si>
  <si>
    <t>Hetzner Online GmbH</t>
  </si>
  <si>
    <t>1+1 Telecom GmbH</t>
  </si>
  <si>
    <t>PILBARA IRON COMPANY (SERVI CES) PTYO/18/CENTRAL PARK 1</t>
  </si>
  <si>
    <t>Telefonica Germany GmbH + Co. OHG</t>
  </si>
  <si>
    <t>giffgaff</t>
  </si>
  <si>
    <t>Credit card charges</t>
  </si>
  <si>
    <t>Deutsche Post AG</t>
  </si>
  <si>
    <t>ZENITH LANDMALING A/S</t>
  </si>
  <si>
    <t>JWG SURVEY &amp; ENGIN</t>
  </si>
  <si>
    <t>To Gemeinde Hohenkirchen-Siegertsbrunn</t>
  </si>
  <si>
    <t>SteuerDE</t>
  </si>
  <si>
    <t>EMIRATES1762384954099</t>
  </si>
  <si>
    <t>Gemeinde Hohenkirchen-Siegertsbrunn</t>
  </si>
  <si>
    <t>LUFTHAN2202221037335</t>
  </si>
  <si>
    <t>POWERSUPPLYSHOP.CO.UK</t>
  </si>
  <si>
    <t>Autodoc AG</t>
  </si>
  <si>
    <t>To Finanzamt Munchen</t>
  </si>
  <si>
    <t>EPPLUS SOFTWARE AB</t>
  </si>
  <si>
    <t>SP SIMS PARTS WEBSIT</t>
  </si>
  <si>
    <t>BRITISH A1252205397355</t>
  </si>
  <si>
    <t>SP GENIUS PARTS</t>
  </si>
  <si>
    <t>TeamViewer GmbH</t>
  </si>
  <si>
    <t>UBER   *TRIP</t>
  </si>
  <si>
    <t>SP KARDENA EU</t>
  </si>
  <si>
    <t>EXPEDIA 73004309082405</t>
  </si>
  <si>
    <t>BRITISH A1254244887706</t>
  </si>
  <si>
    <t>TECHSOL TECHNICAL</t>
  </si>
  <si>
    <t>BRITISH A1252207592458</t>
  </si>
  <si>
    <t>CBA*CCLEANER PIRIFORM</t>
  </si>
  <si>
    <t>JAG20250407.1 JAG20250407.2</t>
  </si>
  <si>
    <t>Opodo (Flight booking - never again)</t>
  </si>
  <si>
    <t>Finanzamt 80303 München</t>
  </si>
  <si>
    <t>HMRC - ACCOUNTS OF</t>
  </si>
  <si>
    <t>SteuerUK</t>
  </si>
  <si>
    <t>Techsol Technical Solutions Ltd (GNSS rental)</t>
  </si>
  <si>
    <t>ADAC Versicherung AG</t>
  </si>
  <si>
    <t>Allg.Deutscher Automobil-Club ADAC e.V.</t>
  </si>
  <si>
    <t>Lufthansa 220267586008</t>
  </si>
  <si>
    <t>JAG20250428.1 JAG20250526.1</t>
  </si>
  <si>
    <t>JAG20250428.2 JAG20250526.2</t>
  </si>
  <si>
    <t>DVLA VEHICLE TAX</t>
  </si>
  <si>
    <t>EUROWINGSVPGHUX_327619</t>
  </si>
  <si>
    <t>LUFTHAN2202230273432</t>
  </si>
  <si>
    <t>EUROWINGSVPGHUX_328440</t>
  </si>
  <si>
    <t>Hamburg Welcome Center</t>
  </si>
  <si>
    <t>Gemeinde Höhenkirchen-Siegertsbrunn</t>
  </si>
  <si>
    <t>JAG20250626.1 JAG20250725.1</t>
  </si>
  <si>
    <t>JAG20250626.2 JAG20250725.2</t>
  </si>
  <si>
    <t>AA MEMBERSHIP</t>
  </si>
  <si>
    <t>Booking.com Perth accomodation</t>
  </si>
  <si>
    <t>BKG*BOOKING.COM FLIGHT</t>
  </si>
  <si>
    <t>GOOGLE*GOOGLE ONE</t>
  </si>
  <si>
    <t>Gemeinde Hohenkirchen-Siegertsbrunn (refund)</t>
  </si>
  <si>
    <t>Westfield Fasteners Lt</t>
  </si>
  <si>
    <t>Wickes</t>
  </si>
  <si>
    <t>Jones the Grocer</t>
  </si>
  <si>
    <t>LUFTHAN2204091136056</t>
  </si>
  <si>
    <t>Bayerisches Rotes Kreuz Kreisverban d Munchen</t>
  </si>
  <si>
    <t>BRITISH A40771422966</t>
  </si>
  <si>
    <t>Kanzlei Langer. Tratz. Aigner - Ste uerberaterpartnerschaft mbB</t>
  </si>
  <si>
    <t>LUFTHAN2202233667436</t>
  </si>
  <si>
    <t>Elk Bakery</t>
  </si>
  <si>
    <t>ADMIRAL INSURANCE</t>
  </si>
  <si>
    <t>JAG20250725.1 JAG20250828.1</t>
  </si>
  <si>
    <t>JAG20250828.2 JAG20250925.2</t>
  </si>
  <si>
    <t>Emirates Leisure Retail</t>
  </si>
  <si>
    <t>Dubai Duty Free</t>
  </si>
  <si>
    <t>Iphone Georgia</t>
  </si>
  <si>
    <t>Ltd Bonisi (Tblisi)</t>
  </si>
  <si>
    <t>Costa Coffee</t>
  </si>
  <si>
    <t>Flights on Booking.com</t>
  </si>
  <si>
    <t>JAG20250828.4 JAG20250925.4</t>
  </si>
  <si>
    <t>LUFTHAN2202235804740</t>
  </si>
  <si>
    <t>LUFTHAN2202235815846</t>
  </si>
  <si>
    <t>LUFTHAN2202235817505</t>
  </si>
  <si>
    <t>LUFTHAN2202235817506</t>
  </si>
  <si>
    <t>Allresto Flughafen</t>
  </si>
  <si>
    <t>LUFTHAN2202236955842</t>
  </si>
  <si>
    <t>CONTINENTALE/EUROPA VERBUND</t>
  </si>
  <si>
    <t>JAG20250828.1 JAG20250925.1</t>
  </si>
  <si>
    <t>HYDRODIAGNOSTICS LTD GEORGI A. TBILISI. SABURTALOS DIST</t>
  </si>
  <si>
    <t>Lufthansa Retail inMot</t>
  </si>
  <si>
    <t>LUFTHAN2202237604048</t>
  </si>
  <si>
    <t>LUFTHAN2204094502674</t>
  </si>
  <si>
    <t>LUFTHAN2204094810860</t>
  </si>
  <si>
    <t>GROSS CHECK 2025.01.01 to 2025.12.31</t>
  </si>
  <si>
    <t>Single Column</t>
  </si>
  <si>
    <t>Roman
Code</t>
  </si>
  <si>
    <t>2025.01.01 bis 2025.04.05</t>
  </si>
  <si>
    <t>2025.04.06 bis 2025.12.31</t>
  </si>
  <si>
    <t>check for 2025 DE Tax year</t>
  </si>
  <si>
    <t>check for 2025 UK Tax year</t>
  </si>
  <si>
    <t>AECOM (GBP 51670)</t>
  </si>
  <si>
    <t>2022/3</t>
  </si>
  <si>
    <t>2023/4</t>
  </si>
  <si>
    <t>2024/5</t>
  </si>
  <si>
    <t>SARS:</t>
  </si>
  <si>
    <t>Registration no</t>
  </si>
  <si>
    <t>VAT</t>
  </si>
  <si>
    <t>aeropages4580/Aeropages1$</t>
  </si>
  <si>
    <t>UK INCOME</t>
  </si>
  <si>
    <t>GERMAN INCOME</t>
  </si>
  <si>
    <t>Taxable Income (Income - Expenses)</t>
  </si>
  <si>
    <t>No of days</t>
  </si>
  <si>
    <t>2024-2025</t>
  </si>
  <si>
    <t>2023-2024</t>
  </si>
  <si>
    <t>2022-2023</t>
  </si>
  <si>
    <t>2021-2022</t>
  </si>
  <si>
    <t>2025-2026</t>
  </si>
  <si>
    <t>UK tax</t>
  </si>
  <si>
    <t>German tax</t>
  </si>
  <si>
    <t>Apr21-Apr22</t>
  </si>
  <si>
    <t>Apr25-Dec25</t>
  </si>
  <si>
    <t>Apr24-Apr25</t>
  </si>
  <si>
    <t>Apr23-Apr24</t>
  </si>
  <si>
    <t>Apr22-Apr23</t>
  </si>
  <si>
    <t>Apr20-Apr21</t>
  </si>
  <si>
    <t>2020-2021</t>
  </si>
  <si>
    <t>GBP to EUR</t>
  </si>
  <si>
    <t>GBP to ZAR</t>
  </si>
  <si>
    <t>EUR to ZAR</t>
  </si>
  <si>
    <t>GBP-ZAR</t>
  </si>
  <si>
    <t>EUR-ZAR</t>
  </si>
  <si>
    <t>ZAR</t>
  </si>
  <si>
    <t>GBP</t>
  </si>
  <si>
    <t>Total Income</t>
  </si>
  <si>
    <t>Total Tax</t>
  </si>
  <si>
    <t>Estimated ZA tax</t>
  </si>
  <si>
    <t>R282 840</t>
  </si>
  <si>
    <t>Steuer
DE
Finanzamt 2150
Gemeinde 7610</t>
  </si>
  <si>
    <t>Unassigned</t>
  </si>
  <si>
    <t>Currency</t>
  </si>
  <si>
    <t>ALIEXPRESS.COM</t>
  </si>
  <si>
    <t>AMZN Mktp DEAS11K3DW5</t>
  </si>
  <si>
    <t>AMZN Mktp DEN724N6365</t>
  </si>
  <si>
    <t>AMZN Mktp DEZR5UF5574</t>
  </si>
  <si>
    <t>FIELMANN 0860</t>
  </si>
  <si>
    <t>LUFTHAN2202235823255</t>
  </si>
  <si>
    <t>Monthly bank charges</t>
  </si>
  <si>
    <t>OPENAI CHATGPT SUBSCR</t>
  </si>
  <si>
    <t>TESCO STORES 2694</t>
  </si>
  <si>
    <t>WWW.ALIEXPRESS.COM</t>
  </si>
  <si>
    <t>AMZN Mktp DEZX1DQ5RC4</t>
  </si>
  <si>
    <t>eBay O08-13945-89028</t>
  </si>
  <si>
    <t>MARKS&amp;SPENCER PLC SF</t>
  </si>
  <si>
    <t>OPODO PRIME ANNUAL</t>
  </si>
  <si>
    <t>TMF MOTLEY FOOL</t>
  </si>
  <si>
    <t>aliexpress</t>
  </si>
  <si>
    <t>AMZN Mktp DECS96C39E5</t>
  </si>
  <si>
    <t>AMZN Mktp DEZ74QV0XI4</t>
  </si>
  <si>
    <t>AMZN Mktp DEZC6QE9WC4</t>
  </si>
  <si>
    <t>AMZN Mktp DEZC7M21OW4</t>
  </si>
  <si>
    <t>DB Automat HOEHENKIRCH</t>
  </si>
  <si>
    <t>HETZNER ONLINE GMBH</t>
  </si>
  <si>
    <t>LUFTHAN2204096096138</t>
  </si>
  <si>
    <t>PAYPAL DBO</t>
  </si>
  <si>
    <t>totalav.com</t>
  </si>
  <si>
    <t>UBER   TRIP</t>
  </si>
  <si>
    <t>AMZN Mktp DEMW94D1505</t>
  </si>
  <si>
    <t>DB Automat MUENCHEN FL</t>
  </si>
  <si>
    <t>LUFTHAN2202240491693</t>
  </si>
  <si>
    <t>Strava</t>
  </si>
  <si>
    <t>(Private) Inter-account transfer</t>
  </si>
  <si>
    <t>(TFR) FORGN PYT251853847</t>
  </si>
  <si>
    <t>(TFR) J GRAY</t>
  </si>
  <si>
    <t>SML GEOSPATIAL LTD</t>
  </si>
  <si>
    <t>KOREC LTD</t>
  </si>
  <si>
    <t>4338-2</t>
  </si>
  <si>
    <t>6673-1</t>
  </si>
  <si>
    <t>6673-2</t>
  </si>
  <si>
    <t>4338-1</t>
  </si>
  <si>
    <t>6495-1</t>
  </si>
  <si>
    <t>6495-2</t>
  </si>
  <si>
    <t>Currency value</t>
  </si>
  <si>
    <t>JAGreference 1</t>
  </si>
  <si>
    <t>JAGreference 3</t>
  </si>
  <si>
    <t>JAGreference 2</t>
  </si>
  <si>
    <t>JAGreference 4</t>
  </si>
  <si>
    <t>JAGreference 5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</si>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</sst>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164" formatCode="dd\.mm\.yyyy"/>
    <numFmt numFmtId="165" formatCode="\€\ ###0.00_);\(\€\ ###0.00\)"/>
    <numFmt numFmtId="166" formatCode="mmmm\ yyyy"/>
    <numFmt numFmtId="167" formatCode="[$£]#,##0.00"/>
    <numFmt numFmtId="168" formatCode="\€\ ###0_);\(\€\ ###0\)"/>
    <numFmt numFmtId="169" formatCode="[$£]#,##0"/>
    <numFmt numFmtId="170" formatCode="[$€]#,##0.00"/>
    <numFmt numFmtId="171" formatCode="0.000000"/>
    <numFmt numFmtId="172" formatCode="d\.m\.yyyy"/>
    <numFmt numFmtId="173" formatCode="#,##0.000000"/>
    <numFmt numFmtId="174" formatCode="[$€]#,##0"/>
    <numFmt numFmtId="175" formatCode="0.00000"/>
    <numFmt numFmtId="176" formatCode="0.0%"/>
    <numFmt numFmtId="177" formatCode="#,##0.00000"/>
    <numFmt numFmtId="178" formatCode="#,##0.0000"/>
    <numFmt numFmtId="179" formatCode="_-* #,##0.00\ [$€-1]_-;\-* #,##0.00\ [$€-1]_-;_-* &quot;-&quot;??\ [$€-1]_-;_-@"/>
    <numFmt numFmtId="180" formatCode="yyyy\.mm\.dd"/>
    <numFmt numFmtId="181" formatCode="yyyy&quot;-&quot;mm&quot;-&quot;dd"/>
    <numFmt numFmtId="182" formatCode="yyyy\.mm:dd"/>
    <numFmt numFmtId="183" formatCode="[$€-2]\ #,##0.00"/>
    <numFmt numFmtId="184" formatCode="[$£-452]#,##0.00"/>
    <numFmt numFmtId="185" formatCode="&quot;£&quot;#,##0.00"/>
    <numFmt numFmtId="186" formatCode="yyyy\-mm\-dd;@"/>
    <numFmt numFmtId="187" formatCode="[$€-2]\ #,##0"/>
    <numFmt numFmtId="188" formatCode="[$£-452]#,##0"/>
    <numFmt numFmtId="189" formatCode="[$R-1C09]#,##0"/>
  </numFmts>
  <fonts count="76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Roboto"/>
    </font>
    <font>
      <b/>
      <sz val="11"/>
      <color rgb="FF0000FF"/>
      <name val="Arial"/>
      <family val="2"/>
    </font>
    <font>
      <sz val="9"/>
      <color rgb="FF000000"/>
      <name val="Roboto"/>
    </font>
    <font>
      <sz val="11"/>
      <color rgb="FF000000"/>
      <name val="Arial"/>
      <family val="2"/>
    </font>
    <font>
      <sz val="9"/>
      <color theme="1"/>
      <name val="Arial"/>
      <family val="2"/>
    </font>
    <font>
      <sz val="10"/>
      <color rgb="FF000000"/>
      <name val="Roboto"/>
    </font>
    <font>
      <sz val="11"/>
      <color rgb="FF000000"/>
      <name val="Inconsolata"/>
    </font>
    <font>
      <sz val="8"/>
      <color theme="1"/>
      <name val="Arial"/>
      <family val="2"/>
    </font>
    <font>
      <sz val="10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11"/>
      <color rgb="FFFFFFFF"/>
      <name val="Arial"/>
      <family val="2"/>
    </font>
    <font>
      <sz val="10"/>
      <color rgb="FF000000"/>
      <name val="Arial"/>
      <family val="2"/>
    </font>
    <font>
      <sz val="9"/>
      <color rgb="FF1F1F1F"/>
      <name val="&quot;Google Sans&quot;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b/>
      <sz val="10"/>
      <color theme="1"/>
      <name val="Arial"/>
      <family val="2"/>
      <scheme val="minor"/>
    </font>
    <font>
      <sz val="6"/>
      <color theme="1"/>
      <name val="Arial"/>
      <family val="2"/>
    </font>
    <font>
      <b/>
      <sz val="7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i/>
      <sz val="10"/>
      <color theme="1"/>
      <name val="Arial"/>
      <family val="2"/>
      <scheme val="minor"/>
    </font>
    <font>
      <u/>
      <sz val="7"/>
      <color rgb="FF000000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Arial"/>
      <family val="2"/>
    </font>
    <font>
      <sz val="12"/>
      <color rgb="FF000000"/>
      <name val="&quot;Open Sans&quot;"/>
    </font>
    <font>
      <i/>
      <sz val="11"/>
      <color theme="1"/>
      <name val="Arial"/>
      <family val="2"/>
    </font>
    <font>
      <i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000000"/>
      <name val="&quot;open sans&quot;"/>
    </font>
    <font>
      <sz val="10"/>
      <color rgb="FF000000"/>
      <name val="&quot;open sans&quot;"/>
    </font>
    <font>
      <sz val="8"/>
      <color rgb="FFFFFFFF"/>
      <name val="Arial"/>
      <family val="2"/>
    </font>
    <font>
      <u/>
      <sz val="10"/>
      <color rgb="FF0097A7"/>
      <name val="Arial"/>
      <family val="2"/>
    </font>
    <font>
      <sz val="12"/>
      <color rgb="FF2D3C4E"/>
      <name val="Nunito"/>
    </font>
    <font>
      <b/>
      <sz val="10"/>
      <color rgb="FFFFC000"/>
      <name val="Arial"/>
      <family val="2"/>
      <scheme val="minor"/>
    </font>
    <font>
      <sz val="10"/>
      <color theme="1"/>
      <name val="Aptos"/>
      <family val="2"/>
    </font>
    <font>
      <sz val="9"/>
      <color rgb="FF1F1F1F"/>
      <name val="Aptos"/>
      <family val="2"/>
    </font>
    <font>
      <sz val="10"/>
      <color rgb="FF000000"/>
      <name val="Aptos"/>
      <family val="2"/>
    </font>
    <font>
      <sz val="10"/>
      <color rgb="FF1F1F1F"/>
      <name val="Aptos"/>
      <family val="2"/>
    </font>
    <font>
      <sz val="8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color theme="1"/>
      <name val="Aptos"/>
      <family val="2"/>
    </font>
    <font>
      <sz val="11"/>
      <color theme="1"/>
      <name val="Aptos"/>
      <family val="2"/>
    </font>
    <font>
      <sz val="9"/>
      <color theme="1"/>
      <name val="Aptos"/>
      <family val="2"/>
    </font>
    <font>
      <sz val="11"/>
      <color theme="0"/>
      <name val="Aptos"/>
      <family val="2"/>
    </font>
    <font>
      <sz val="8"/>
      <color theme="1"/>
      <name val="Aptos"/>
      <family val="2"/>
    </font>
    <font>
      <sz val="11"/>
      <color rgb="FFFFFFFF"/>
      <name val="Aptos"/>
      <family val="2"/>
    </font>
    <font>
      <sz val="7"/>
      <color theme="1"/>
      <name val="Aptos"/>
      <family val="2"/>
    </font>
    <font>
      <sz val="11"/>
      <color rgb="FF000000"/>
      <name val="Aptos"/>
      <family val="2"/>
    </font>
    <font>
      <sz val="12"/>
      <color theme="1"/>
      <name val="Aptos"/>
      <family val="2"/>
    </font>
    <font>
      <sz val="9"/>
      <color rgb="FFFFFFFF"/>
      <name val="Aptos"/>
      <family val="2"/>
    </font>
    <font>
      <sz val="9"/>
      <color rgb="FFFCE5CD"/>
      <name val="Aptos"/>
      <family val="2"/>
    </font>
    <font>
      <sz val="9"/>
      <color rgb="FFFFFF00"/>
      <name val="Aptos"/>
      <family val="2"/>
    </font>
    <font>
      <sz val="9"/>
      <color rgb="FFFFE599"/>
      <name val="Aptos"/>
      <family val="2"/>
    </font>
    <font>
      <u/>
      <sz val="9"/>
      <color theme="1"/>
      <name val="Aptos"/>
      <family val="2"/>
    </font>
    <font>
      <u/>
      <sz val="9"/>
      <color rgb="FF1155CC"/>
      <name val="Aptos"/>
      <family val="2"/>
    </font>
    <font>
      <u/>
      <sz val="9"/>
      <color rgb="FF0000FF"/>
      <name val="Aptos"/>
      <family val="2"/>
    </font>
    <font>
      <u/>
      <sz val="9"/>
      <color rgb="FF000000"/>
      <name val="Aptos"/>
      <family val="2"/>
    </font>
    <font>
      <sz val="9"/>
      <color rgb="FF000000"/>
      <name val="Aptos"/>
      <family val="2"/>
    </font>
    <font>
      <sz val="9"/>
      <color rgb="FF7A7A7A"/>
      <name val="Aptos"/>
      <family val="2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</font>
    <font>
      <sz val="8"/>
      <color rgb="FFFFFFFF"/>
      <name val="Arial"/>
      <family val="2"/>
    </font>
    <font>
      <b/>
      <sz val="9"/>
      <color theme="1"/>
      <name val="Aptos"/>
      <family val="2"/>
    </font>
    <font>
      <sz val="9"/>
      <color theme="0"/>
      <name val="Aptos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scheme val="minor"/>
    </font>
  </fonts>
  <fills count="79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EFEFEF"/>
        <bgColor rgb="FFEFEFEF"/>
      </patternFill>
    </fill>
    <fill>
      <patternFill patternType="solid">
        <fgColor rgb="FF9900FF"/>
        <bgColor rgb="FF9900FF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rgb="FF741B47"/>
        <bgColor rgb="FF741B47"/>
      </patternFill>
    </fill>
    <fill>
      <patternFill patternType="solid">
        <fgColor rgb="FFC27BA0"/>
        <bgColor rgb="FFC27BA0"/>
      </patternFill>
    </fill>
    <fill>
      <patternFill patternType="solid">
        <fgColor rgb="FFE6B8AF"/>
        <bgColor rgb="FFE6B8AF"/>
      </patternFill>
    </fill>
    <fill>
      <patternFill patternType="solid">
        <fgColor rgb="FFEAD1DC"/>
        <bgColor rgb="FFEAD1DC"/>
      </patternFill>
    </fill>
    <fill>
      <patternFill patternType="solid">
        <fgColor rgb="FFC6E0B4"/>
        <bgColor rgb="FFC6E0B4"/>
      </patternFill>
    </fill>
    <fill>
      <patternFill patternType="solid">
        <fgColor rgb="FFCC0000"/>
        <bgColor rgb="FFCC0000"/>
      </patternFill>
    </fill>
    <fill>
      <patternFill patternType="solid">
        <fgColor rgb="FF9FC5E8"/>
        <bgColor rgb="FF9FC5E8"/>
      </patternFill>
    </fill>
    <fill>
      <patternFill patternType="solid">
        <fgColor rgb="FF5B0F00"/>
        <bgColor rgb="FF5B0F00"/>
      </patternFill>
    </fill>
    <fill>
      <patternFill patternType="solid">
        <fgColor rgb="FFCCCCCC"/>
        <bgColor rgb="FFCCCCCC"/>
      </patternFill>
    </fill>
    <fill>
      <patternFill patternType="solid">
        <fgColor rgb="FFB7B7B7"/>
        <bgColor rgb="FFB7B7B7"/>
      </patternFill>
    </fill>
    <fill>
      <patternFill patternType="solid">
        <fgColor rgb="FFD0E0E3"/>
        <bgColor rgb="FFD0E0E3"/>
      </patternFill>
    </fill>
    <fill>
      <patternFill patternType="solid">
        <fgColor rgb="FFF4CCCC"/>
        <bgColor rgb="FFF4CCCC"/>
      </patternFill>
    </fill>
    <fill>
      <patternFill patternType="solid">
        <fgColor rgb="FF999999"/>
        <bgColor rgb="FF999999"/>
      </patternFill>
    </fill>
    <fill>
      <patternFill patternType="solid">
        <fgColor theme="0"/>
        <bgColor theme="0"/>
      </patternFill>
    </fill>
    <fill>
      <patternFill patternType="solid">
        <fgColor rgb="FF6D9EEB"/>
        <bgColor rgb="FF6D9EEB"/>
      </patternFill>
    </fill>
    <fill>
      <patternFill patternType="solid">
        <fgColor rgb="FF674EA7"/>
        <bgColor rgb="FF674EA7"/>
      </patternFill>
    </fill>
    <fill>
      <patternFill patternType="solid">
        <fgColor rgb="FFA4C2F4"/>
        <bgColor rgb="FFA4C2F4"/>
      </patternFill>
    </fill>
    <fill>
      <patternFill patternType="solid">
        <fgColor rgb="FFF6B26B"/>
        <bgColor rgb="FFF6B26B"/>
      </patternFill>
    </fill>
    <fill>
      <patternFill patternType="solid">
        <fgColor rgb="FFFF0000"/>
        <bgColor rgb="FFFF0000"/>
      </patternFill>
    </fill>
    <fill>
      <patternFill patternType="solid">
        <fgColor rgb="FFF9CB9C"/>
        <bgColor rgb="FFF9CB9C"/>
      </patternFill>
    </fill>
    <fill>
      <patternFill patternType="solid">
        <fgColor rgb="FFFF9900"/>
        <bgColor rgb="FFFF9900"/>
      </patternFill>
    </fill>
    <fill>
      <patternFill patternType="solid">
        <fgColor rgb="FFD9D9D9"/>
        <bgColor rgb="FFD9D9D9"/>
      </patternFill>
    </fill>
    <fill>
      <patternFill patternType="solid">
        <fgColor rgb="FFC9DAF8"/>
        <bgColor rgb="FFC9DAF8"/>
      </patternFill>
    </fill>
    <fill>
      <patternFill patternType="solid">
        <fgColor rgb="FFA2C4C9"/>
        <bgColor rgb="FFA2C4C9"/>
      </patternFill>
    </fill>
    <fill>
      <patternFill patternType="solid">
        <fgColor rgb="FF00FF00"/>
        <bgColor rgb="FF00FF00"/>
      </patternFill>
    </fill>
    <fill>
      <patternFill patternType="solid">
        <fgColor rgb="FF6AA84F"/>
        <bgColor rgb="FF6AA84F"/>
      </patternFill>
    </fill>
    <fill>
      <patternFill patternType="solid">
        <fgColor rgb="FF76A5AF"/>
        <bgColor rgb="FF76A5AF"/>
      </patternFill>
    </fill>
    <fill>
      <patternFill patternType="solid">
        <fgColor rgb="FF93C47D"/>
        <bgColor rgb="FF93C47D"/>
      </patternFill>
    </fill>
    <fill>
      <patternFill patternType="solid">
        <fgColor rgb="FFFFE599"/>
        <bgColor rgb="FFFFE599"/>
      </patternFill>
    </fill>
    <fill>
      <patternFill patternType="solid">
        <fgColor rgb="FFEEEEEE"/>
        <bgColor rgb="FFEEEEEE"/>
      </patternFill>
    </fill>
    <fill>
      <patternFill patternType="solid">
        <fgColor rgb="FFE2EFDA"/>
        <bgColor rgb="FFE2EFDA"/>
      </patternFill>
    </fill>
    <fill>
      <patternFill patternType="solid">
        <fgColor rgb="FFCFE2F3"/>
        <bgColor rgb="FFCFE2F3"/>
      </patternFill>
    </fill>
    <fill>
      <patternFill patternType="solid">
        <fgColor rgb="FFF8F8F8"/>
        <bgColor rgb="FFF8F8F8"/>
      </patternFill>
    </fill>
    <fill>
      <patternFill patternType="solid">
        <fgColor rgb="FFFFD966"/>
        <bgColor rgb="FFFFD966"/>
      </patternFill>
    </fill>
    <fill>
      <patternFill patternType="solid">
        <fgColor rgb="FFEA9999"/>
        <bgColor rgb="FFEA9999"/>
      </patternFill>
    </fill>
    <fill>
      <patternFill patternType="solid">
        <fgColor rgb="FFFFF9CB"/>
        <bgColor rgb="FFFFF9CB"/>
      </patternFill>
    </fill>
    <fill>
      <patternFill patternType="solid">
        <fgColor rgb="FFE06666"/>
        <bgColor rgb="FFE06666"/>
      </patternFill>
    </fill>
    <fill>
      <patternFill patternType="solid">
        <fgColor rgb="FFE69138"/>
        <bgColor rgb="FFE69138"/>
      </patternFill>
    </fill>
    <fill>
      <patternFill patternType="solid">
        <fgColor rgb="FFC5ECF2"/>
        <bgColor rgb="FFC5ECF2"/>
      </patternFill>
    </fill>
    <fill>
      <patternFill patternType="solid">
        <fgColor rgb="FFFCE5CD"/>
        <bgColor rgb="FFFCE5CD"/>
      </patternFill>
    </fill>
    <fill>
      <patternFill patternType="solid">
        <fgColor rgb="FFF0F0F0"/>
        <bgColor rgb="FFF0F0F0"/>
      </patternFill>
    </fill>
    <fill>
      <patternFill patternType="solid">
        <fgColor rgb="FFDDE8EE"/>
        <bgColor rgb="FFDDE8EE"/>
      </patternFill>
    </fill>
    <fill>
      <patternFill patternType="solid">
        <fgColor rgb="FFBCD2DE"/>
        <bgColor rgb="FFBCD2D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rgb="FF674EA7"/>
      </patternFill>
    </fill>
    <fill>
      <patternFill patternType="solid">
        <fgColor theme="1"/>
        <bgColor rgb="FFFFFFFF"/>
      </patternFill>
    </fill>
    <fill>
      <patternFill patternType="solid">
        <fgColor theme="0" tint="-4.9989318521683403E-2"/>
        <bgColor rgb="FFFFF2CC"/>
      </patternFill>
    </fill>
    <fill>
      <patternFill patternType="solid">
        <fgColor theme="0" tint="-0.14999847407452621"/>
        <bgColor rgb="FFFFF2CC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5" tint="0.749992370372631"/>
        <bgColor indexed="64"/>
      </patternFill>
    </fill>
    <fill>
      <patternFill patternType="solid">
        <fgColor theme="5" tint="0.749992370372631"/>
        <bgColor rgb="FFFFF2CC"/>
      </patternFill>
    </fill>
    <fill>
      <patternFill patternType="solid">
        <fgColor theme="6" tint="0.39997558519241921"/>
        <bgColor rgb="FF6D9EEB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rgb="FFFFF2CC"/>
      </patternFill>
    </fill>
    <fill>
      <patternFill patternType="solid">
        <fgColor theme="9" tint="0.59999389629810485"/>
        <bgColor rgb="FFEAD1DC"/>
      </patternFill>
    </fill>
    <fill>
      <patternFill patternType="solid">
        <fgColor theme="6" tint="0.39997558519241921"/>
        <bgColor rgb="FFEAD1DC"/>
      </patternFill>
    </fill>
    <fill>
      <patternFill patternType="solid">
        <fgColor theme="6" tint="0.39997558519241921"/>
        <bgColor rgb="FFFFF2CC"/>
      </patternFill>
    </fill>
  </fills>
  <borders count="16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/>
      <diagonal/>
    </border>
    <border>
      <left/>
      <right style="thin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thin">
        <color rgb="FF000000"/>
      </right>
      <top/>
      <bottom style="thick">
        <color rgb="FF00000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ck">
        <color rgb="FF000000"/>
      </bottom>
      <diagonal/>
    </border>
    <border>
      <left style="thick">
        <color rgb="FF000000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ck">
        <color rgb="FF000000"/>
      </right>
      <top/>
      <bottom style="thin">
        <color rgb="FFC0C0C0"/>
      </bottom>
      <diagonal/>
    </border>
    <border>
      <left style="thick">
        <color rgb="FF00000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ck">
        <color rgb="FF000000"/>
      </right>
      <top style="thin">
        <color rgb="FFC0C0C0"/>
      </top>
      <bottom style="thin">
        <color rgb="FFC0C0C0"/>
      </bottom>
      <diagonal/>
    </border>
    <border>
      <left style="thick">
        <color rgb="FF00000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ck">
        <color rgb="FF000000"/>
      </right>
      <top style="thin">
        <color rgb="FFC0C0C0"/>
      </top>
      <bottom/>
      <diagonal/>
    </border>
    <border>
      <left style="thick">
        <color rgb="FF000000"/>
      </left>
      <right style="thin">
        <color rgb="FFC0C0C0"/>
      </right>
      <top style="thick">
        <color rgb="FFFF0000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thick">
        <color rgb="FFFF0000"/>
      </top>
      <bottom style="thin">
        <color rgb="FFC0C0C0"/>
      </bottom>
      <diagonal/>
    </border>
    <border>
      <left style="thin">
        <color rgb="FFC0C0C0"/>
      </left>
      <right style="thick">
        <color rgb="FF000000"/>
      </right>
      <top style="thick">
        <color rgb="FFFF0000"/>
      </top>
      <bottom style="thin">
        <color rgb="FFC0C0C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/>
      <diagonal/>
    </border>
    <border>
      <left style="thick">
        <color rgb="FF000000"/>
      </left>
      <right style="thin">
        <color rgb="FFC0C0C0"/>
      </right>
      <top style="thin">
        <color rgb="FFC0C0C0"/>
      </top>
      <bottom style="thick">
        <color rgb="FF000000"/>
      </bottom>
      <diagonal/>
    </border>
    <border>
      <left style="thin">
        <color rgb="FFC0C0C0"/>
      </left>
      <right style="thick">
        <color rgb="FF000000"/>
      </right>
      <top style="thin">
        <color rgb="FFC0C0C0"/>
      </top>
      <bottom style="thick">
        <color rgb="FF000000"/>
      </bottom>
      <diagonal/>
    </border>
    <border>
      <left style="thick">
        <color rgb="FFFF0000"/>
      </left>
      <right style="thick">
        <color rgb="FFFF0000"/>
      </right>
      <top/>
      <bottom style="thick">
        <color rgb="FF000000"/>
      </bottom>
      <diagonal/>
    </border>
    <border>
      <left style="thick">
        <color rgb="FFFF0000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ck">
        <color rgb="FFFF0000"/>
      </right>
      <top/>
      <bottom style="thin">
        <color rgb="FFC0C0C0"/>
      </bottom>
      <diagonal/>
    </border>
    <border>
      <left style="thick">
        <color rgb="FFFF000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ck">
        <color rgb="FFFF0000"/>
      </right>
      <top style="thin">
        <color rgb="FFC0C0C0"/>
      </top>
      <bottom style="thin">
        <color rgb="FFC0C0C0"/>
      </bottom>
      <diagonal/>
    </border>
    <border>
      <left style="thick">
        <color rgb="FFFF0000"/>
      </left>
      <right style="thin">
        <color rgb="FFC0C0C0"/>
      </right>
      <top style="thin">
        <color rgb="FFC0C0C0"/>
      </top>
      <bottom style="thick">
        <color rgb="FFFF000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ck">
        <color rgb="FFFF0000"/>
      </bottom>
      <diagonal/>
    </border>
    <border>
      <left style="thin">
        <color rgb="FFC0C0C0"/>
      </left>
      <right style="thick">
        <color rgb="FFFF0000"/>
      </right>
      <top style="thin">
        <color rgb="FFC0C0C0"/>
      </top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000000"/>
      </top>
      <bottom style="thick">
        <color rgb="FFFF0000"/>
      </bottom>
      <diagonal/>
    </border>
    <border>
      <left style="thin">
        <color rgb="FF284E3F"/>
      </left>
      <right style="thin">
        <color rgb="FF356854"/>
      </right>
      <top style="thin">
        <color rgb="FF284E3F"/>
      </top>
      <bottom style="thin">
        <color rgb="FF284E3F"/>
      </bottom>
      <diagonal/>
    </border>
    <border>
      <left style="thin">
        <color rgb="FF356854"/>
      </left>
      <right style="thin">
        <color rgb="FF356854"/>
      </right>
      <top style="thin">
        <color rgb="FF284E3F"/>
      </top>
      <bottom style="thin">
        <color rgb="FF284E3F"/>
      </bottom>
      <diagonal/>
    </border>
    <border>
      <left style="thin">
        <color rgb="FF356854"/>
      </left>
      <right style="thin">
        <color rgb="FF284E3F"/>
      </right>
      <top style="thin">
        <color rgb="FF284E3F"/>
      </top>
      <bottom style="thin">
        <color rgb="FF284E3F"/>
      </bottom>
      <diagonal/>
    </border>
    <border>
      <left style="thin">
        <color rgb="FF284E3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284E3F"/>
      </right>
      <top style="thin">
        <color rgb="FFFFFFFF"/>
      </top>
      <bottom style="thin">
        <color rgb="FFFFFFFF"/>
      </bottom>
      <diagonal/>
    </border>
    <border>
      <left style="thin">
        <color rgb="FF284E3F"/>
      </left>
      <right style="thin">
        <color rgb="FFF6F8F9"/>
      </right>
      <top style="thin">
        <color rgb="FFF6F8F9"/>
      </top>
      <bottom style="thin">
        <color rgb="FFF6F8F9"/>
      </bottom>
      <diagonal/>
    </border>
    <border>
      <left style="thin">
        <color rgb="FFF6F8F9"/>
      </left>
      <right style="thin">
        <color rgb="FFF6F8F9"/>
      </right>
      <top style="thin">
        <color rgb="FFF6F8F9"/>
      </top>
      <bottom style="thin">
        <color rgb="FFF6F8F9"/>
      </bottom>
      <diagonal/>
    </border>
    <border>
      <left style="thin">
        <color rgb="FFF6F8F9"/>
      </left>
      <right style="thin">
        <color rgb="FF284E3F"/>
      </right>
      <top style="thin">
        <color rgb="FFF6F8F9"/>
      </top>
      <bottom style="thin">
        <color rgb="FFF6F8F9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 style="thin">
        <color rgb="FF284E3F"/>
      </left>
      <right/>
      <top/>
      <bottom/>
      <diagonal/>
    </border>
    <border>
      <left/>
      <right style="thin">
        <color rgb="FF284E3F"/>
      </right>
      <top/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284E3F"/>
      </right>
      <top/>
      <bottom style="thin">
        <color rgb="FFFFFFFF"/>
      </bottom>
      <diagonal/>
    </border>
    <border>
      <left style="medium">
        <color indexed="64"/>
      </left>
      <right style="thin">
        <color rgb="FFFFFFFF"/>
      </right>
      <top style="medium">
        <color indexed="64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medium">
        <color indexed="64"/>
      </top>
      <bottom style="thin">
        <color rgb="FFFFFFFF"/>
      </bottom>
      <diagonal/>
    </border>
    <border>
      <left style="thin">
        <color rgb="FFFFFFFF"/>
      </left>
      <right style="medium">
        <color indexed="64"/>
      </right>
      <top style="medium">
        <color indexed="64"/>
      </top>
      <bottom style="thin">
        <color rgb="FFFFFFFF"/>
      </bottom>
      <diagonal/>
    </border>
    <border>
      <left style="medium">
        <color indexed="64"/>
      </left>
      <right style="thin">
        <color rgb="FFF6F8F9"/>
      </right>
      <top style="thin">
        <color rgb="FFF6F8F9"/>
      </top>
      <bottom style="thin">
        <color rgb="FFF6F8F9"/>
      </bottom>
      <diagonal/>
    </border>
    <border>
      <left style="thin">
        <color rgb="FFF6F8F9"/>
      </left>
      <right style="medium">
        <color indexed="64"/>
      </right>
      <top style="thin">
        <color rgb="FFF6F8F9"/>
      </top>
      <bottom style="thin">
        <color rgb="FFF6F8F9"/>
      </bottom>
      <diagonal/>
    </border>
    <border>
      <left style="medium">
        <color indexed="64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medium">
        <color indexed="64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 style="thin">
        <color rgb="FFFFFFFF"/>
      </right>
      <top style="thin">
        <color rgb="FFFFFFFF"/>
      </top>
      <bottom style="medium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indexed="64"/>
      </bottom>
      <diagonal/>
    </border>
    <border>
      <left style="thin">
        <color rgb="FFFFFFFF"/>
      </left>
      <right style="medium">
        <color indexed="64"/>
      </right>
      <top style="thin">
        <color rgb="FFFFFFFF"/>
      </top>
      <bottom style="medium">
        <color indexed="64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rgb="FFF6F8F9"/>
      </left>
      <right style="thin">
        <color rgb="FFF6F8F9"/>
      </right>
      <top style="thin">
        <color rgb="FFF6F8F9"/>
      </top>
      <bottom style="medium">
        <color indexed="64"/>
      </bottom>
      <diagonal/>
    </border>
    <border>
      <left style="thin">
        <color rgb="FFF6F8F9"/>
      </left>
      <right style="medium">
        <color indexed="64"/>
      </right>
      <top style="thin">
        <color rgb="FFF6F8F9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F6F8F9"/>
      </right>
      <top style="thin">
        <color rgb="FFF6F8F9"/>
      </top>
      <bottom style="medium">
        <color indexed="64"/>
      </bottom>
      <diagonal/>
    </border>
    <border>
      <left/>
      <right style="thin">
        <color rgb="FFFFFFFF"/>
      </right>
      <top/>
      <bottom style="medium">
        <color indexed="64"/>
      </bottom>
      <diagonal/>
    </border>
    <border>
      <left style="medium">
        <color indexed="64"/>
      </left>
      <right style="thin">
        <color rgb="FFF6F8F9"/>
      </right>
      <top/>
      <bottom style="thin">
        <color rgb="FFF6F8F9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000000"/>
      </top>
      <bottom/>
      <diagonal/>
    </border>
    <border>
      <left/>
      <right style="medium">
        <color indexed="64"/>
      </right>
      <top style="thick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</borders>
  <cellStyleXfs count="4">
    <xf numFmtId="0" fontId="0" fillId="0" borderId="0"/>
    <xf numFmtId="0" fontId="2" fillId="0" borderId="26"/>
    <xf numFmtId="0" fontId="1" fillId="0" borderId="26"/>
    <xf numFmtId="9" fontId="73" fillId="0" borderId="0" applyFont="0" applyFill="0" applyBorder="0" applyAlignment="0" applyProtection="0"/>
  </cellStyleXfs>
  <cellXfs count="1096">
    <xf numFmtId="0" fontId="0" fillId="0" borderId="0" xfId="0"/>
    <xf numFmtId="164" fontId="3" fillId="2" borderId="1" xfId="0" applyNumberFormat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vertical="center" wrapText="1"/>
    </xf>
    <xf numFmtId="165" fontId="3" fillId="2" borderId="1" xfId="0" applyNumberFormat="1" applyFont="1" applyFill="1" applyBorder="1" applyAlignment="1">
      <alignment vertical="center" wrapText="1"/>
    </xf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 wrapText="1"/>
    </xf>
    <xf numFmtId="165" fontId="4" fillId="3" borderId="1" xfId="0" applyNumberFormat="1" applyFont="1" applyFill="1" applyBorder="1" applyAlignment="1">
      <alignment vertical="center"/>
    </xf>
    <xf numFmtId="164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vertical="center" wrapText="1"/>
    </xf>
    <xf numFmtId="165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164" fontId="4" fillId="4" borderId="2" xfId="0" applyNumberFormat="1" applyFont="1" applyFill="1" applyBorder="1" applyAlignment="1">
      <alignment horizontal="left" vertical="center"/>
    </xf>
    <xf numFmtId="0" fontId="4" fillId="4" borderId="2" xfId="0" applyFont="1" applyFill="1" applyBorder="1" applyAlignment="1">
      <alignment vertical="center"/>
    </xf>
    <xf numFmtId="0" fontId="4" fillId="4" borderId="2" xfId="0" applyFont="1" applyFill="1" applyBorder="1" applyAlignment="1">
      <alignment vertical="center" wrapText="1"/>
    </xf>
    <xf numFmtId="165" fontId="4" fillId="4" borderId="2" xfId="0" applyNumberFormat="1" applyFont="1" applyFill="1" applyBorder="1" applyAlignment="1">
      <alignment vertical="center"/>
    </xf>
    <xf numFmtId="164" fontId="4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wrapText="1"/>
    </xf>
    <xf numFmtId="165" fontId="4" fillId="0" borderId="0" xfId="0" applyNumberFormat="1" applyFont="1"/>
    <xf numFmtId="164" fontId="6" fillId="2" borderId="1" xfId="0" applyNumberFormat="1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vertical="center" wrapText="1"/>
    </xf>
    <xf numFmtId="165" fontId="6" fillId="5" borderId="1" xfId="0" applyNumberFormat="1" applyFont="1" applyFill="1" applyBorder="1" applyAlignment="1">
      <alignment horizontal="center" vertical="center" wrapText="1"/>
    </xf>
    <xf numFmtId="165" fontId="6" fillId="2" borderId="1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/>
    </xf>
    <xf numFmtId="165" fontId="7" fillId="6" borderId="3" xfId="0" applyNumberFormat="1" applyFont="1" applyFill="1" applyBorder="1" applyAlignment="1">
      <alignment horizontal="right" vertical="center"/>
    </xf>
    <xf numFmtId="165" fontId="7" fillId="5" borderId="1" xfId="0" applyNumberFormat="1" applyFont="1" applyFill="1" applyBorder="1" applyAlignment="1">
      <alignment horizontal="center" vertical="center" wrapText="1"/>
    </xf>
    <xf numFmtId="165" fontId="7" fillId="2" borderId="1" xfId="0" applyNumberFormat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165" fontId="7" fillId="3" borderId="1" xfId="0" applyNumberFormat="1" applyFont="1" applyFill="1" applyBorder="1" applyAlignment="1">
      <alignment horizontal="right" vertical="center"/>
    </xf>
    <xf numFmtId="165" fontId="7" fillId="6" borderId="4" xfId="0" applyNumberFormat="1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165" fontId="7" fillId="5" borderId="2" xfId="0" applyNumberFormat="1" applyFont="1" applyFill="1" applyBorder="1" applyAlignment="1">
      <alignment horizontal="right" vertical="center"/>
    </xf>
    <xf numFmtId="165" fontId="7" fillId="0" borderId="0" xfId="0" applyNumberFormat="1" applyFont="1" applyAlignment="1">
      <alignment horizontal="right" vertical="center"/>
    </xf>
    <xf numFmtId="165" fontId="4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 wrapText="1"/>
    </xf>
    <xf numFmtId="0" fontId="8" fillId="8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164" fontId="7" fillId="7" borderId="5" xfId="0" applyNumberFormat="1" applyFont="1" applyFill="1" applyBorder="1" applyAlignment="1">
      <alignment horizontal="left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left" vertical="center" wrapText="1"/>
    </xf>
    <xf numFmtId="165" fontId="7" fillId="5" borderId="5" xfId="0" applyNumberFormat="1" applyFont="1" applyFill="1" applyBorder="1" applyAlignment="1">
      <alignment horizontal="right" vertical="center"/>
    </xf>
    <xf numFmtId="165" fontId="7" fillId="0" borderId="6" xfId="0" applyNumberFormat="1" applyFont="1" applyBorder="1" applyAlignment="1">
      <alignment horizontal="right" vertical="center"/>
    </xf>
    <xf numFmtId="165" fontId="4" fillId="0" borderId="6" xfId="0" applyNumberFormat="1" applyFont="1" applyBorder="1" applyAlignment="1">
      <alignment horizontal="right" vertical="center"/>
    </xf>
    <xf numFmtId="0" fontId="10" fillId="8" borderId="2" xfId="0" applyFont="1" applyFill="1" applyBorder="1" applyAlignment="1">
      <alignment vertical="center" wrapText="1"/>
    </xf>
    <xf numFmtId="0" fontId="11" fillId="8" borderId="2" xfId="0" applyFont="1" applyFill="1" applyBorder="1" applyAlignment="1">
      <alignment vertical="center"/>
    </xf>
    <xf numFmtId="0" fontId="12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/>
    </xf>
    <xf numFmtId="0" fontId="9" fillId="0" borderId="6" xfId="0" applyFont="1" applyBorder="1" applyAlignment="1">
      <alignment horizontal="left" vertical="center" wrapText="1"/>
    </xf>
    <xf numFmtId="0" fontId="13" fillId="8" borderId="2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165" fontId="7" fillId="5" borderId="2" xfId="0" applyNumberFormat="1" applyFont="1" applyFill="1" applyBorder="1" applyAlignment="1">
      <alignment vertical="center"/>
    </xf>
    <xf numFmtId="165" fontId="7" fillId="0" borderId="0" xfId="0" applyNumberFormat="1" applyFont="1" applyAlignment="1">
      <alignment vertical="center"/>
    </xf>
    <xf numFmtId="165" fontId="5" fillId="0" borderId="0" xfId="0" applyNumberFormat="1" applyFont="1"/>
    <xf numFmtId="0" fontId="14" fillId="8" borderId="2" xfId="0" applyFont="1" applyFill="1" applyBorder="1"/>
    <xf numFmtId="0" fontId="10" fillId="8" borderId="2" xfId="0" applyFont="1" applyFill="1" applyBorder="1" applyAlignment="1">
      <alignment horizontal="left" vertical="center" wrapText="1"/>
    </xf>
    <xf numFmtId="164" fontId="7" fillId="7" borderId="7" xfId="0" applyNumberFormat="1" applyFont="1" applyFill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left" vertical="center" wrapText="1"/>
    </xf>
    <xf numFmtId="165" fontId="7" fillId="5" borderId="7" xfId="0" applyNumberFormat="1" applyFont="1" applyFill="1" applyBorder="1" applyAlignment="1">
      <alignment horizontal="right" vertical="center"/>
    </xf>
    <xf numFmtId="165" fontId="7" fillId="0" borderId="8" xfId="0" applyNumberFormat="1" applyFont="1" applyBorder="1" applyAlignment="1">
      <alignment horizontal="right" vertical="center"/>
    </xf>
    <xf numFmtId="165" fontId="4" fillId="0" borderId="8" xfId="0" applyNumberFormat="1" applyFont="1" applyBorder="1" applyAlignment="1">
      <alignment horizontal="right" vertical="center"/>
    </xf>
    <xf numFmtId="0" fontId="15" fillId="0" borderId="0" xfId="0" applyFont="1" applyAlignment="1">
      <alignment horizontal="center" vertical="center" wrapText="1"/>
    </xf>
    <xf numFmtId="164" fontId="7" fillId="0" borderId="0" xfId="0" applyNumberFormat="1" applyFont="1" applyAlignment="1">
      <alignment horizontal="left" vertical="center"/>
    </xf>
    <xf numFmtId="164" fontId="7" fillId="0" borderId="6" xfId="0" applyNumberFormat="1" applyFont="1" applyBorder="1" applyAlignment="1">
      <alignment horizontal="left" vertical="center"/>
    </xf>
    <xf numFmtId="0" fontId="7" fillId="0" borderId="6" xfId="0" applyFont="1" applyBorder="1" applyAlignment="1">
      <alignment vertical="center" wrapText="1"/>
    </xf>
    <xf numFmtId="165" fontId="7" fillId="0" borderId="6" xfId="0" applyNumberFormat="1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4" fillId="0" borderId="6" xfId="0" applyFont="1" applyBorder="1"/>
    <xf numFmtId="167" fontId="7" fillId="9" borderId="0" xfId="0" applyNumberFormat="1" applyFont="1" applyFill="1" applyAlignment="1">
      <alignment horizontal="right" vertical="center"/>
    </xf>
    <xf numFmtId="165" fontId="7" fillId="9" borderId="0" xfId="0" applyNumberFormat="1" applyFont="1" applyFill="1" applyAlignment="1">
      <alignment horizontal="right" vertical="center"/>
    </xf>
    <xf numFmtId="168" fontId="16" fillId="0" borderId="0" xfId="0" applyNumberFormat="1" applyFont="1"/>
    <xf numFmtId="0" fontId="17" fillId="0" borderId="0" xfId="0" applyFont="1"/>
    <xf numFmtId="167" fontId="7" fillId="0" borderId="0" xfId="0" applyNumberFormat="1" applyFont="1" applyAlignment="1">
      <alignment horizontal="right" vertical="center"/>
    </xf>
    <xf numFmtId="0" fontId="1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165" fontId="7" fillId="9" borderId="20" xfId="0" applyNumberFormat="1" applyFont="1" applyFill="1" applyBorder="1" applyAlignment="1">
      <alignment horizontal="right" vertical="center"/>
    </xf>
    <xf numFmtId="167" fontId="7" fillId="9" borderId="20" xfId="0" applyNumberFormat="1" applyFont="1" applyFill="1" applyBorder="1" applyAlignment="1">
      <alignment horizontal="right" vertical="center"/>
    </xf>
    <xf numFmtId="0" fontId="16" fillId="0" borderId="8" xfId="0" applyFont="1" applyBorder="1"/>
    <xf numFmtId="0" fontId="12" fillId="2" borderId="2" xfId="0" applyFont="1" applyFill="1" applyBorder="1" applyAlignment="1">
      <alignment horizontal="center" vertical="center" wrapText="1"/>
    </xf>
    <xf numFmtId="164" fontId="7" fillId="9" borderId="0" xfId="0" applyNumberFormat="1" applyFont="1" applyFill="1" applyAlignment="1">
      <alignment horizontal="left" vertical="center"/>
    </xf>
    <xf numFmtId="175" fontId="18" fillId="9" borderId="11" xfId="0" applyNumberFormat="1" applyFont="1" applyFill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/>
    </xf>
    <xf numFmtId="0" fontId="7" fillId="2" borderId="2" xfId="0" applyFont="1" applyFill="1" applyBorder="1"/>
    <xf numFmtId="0" fontId="7" fillId="2" borderId="2" xfId="0" applyFont="1" applyFill="1" applyBorder="1" applyAlignment="1">
      <alignment horizontal="right"/>
    </xf>
    <xf numFmtId="176" fontId="16" fillId="0" borderId="31" xfId="0" applyNumberFormat="1" applyFont="1" applyBorder="1" applyAlignment="1">
      <alignment horizontal="center" vertical="center"/>
    </xf>
    <xf numFmtId="164" fontId="7" fillId="9" borderId="20" xfId="0" applyNumberFormat="1" applyFont="1" applyFill="1" applyBorder="1" applyAlignment="1">
      <alignment horizontal="left" vertical="center"/>
    </xf>
    <xf numFmtId="0" fontId="18" fillId="9" borderId="21" xfId="0" applyFont="1" applyFill="1" applyBorder="1" applyAlignment="1">
      <alignment horizontal="center" vertical="center" wrapText="1"/>
    </xf>
    <xf numFmtId="175" fontId="18" fillId="9" borderId="21" xfId="0" applyNumberFormat="1" applyFont="1" applyFill="1" applyBorder="1" applyAlignment="1">
      <alignment horizontal="center" vertical="center" wrapText="1"/>
    </xf>
    <xf numFmtId="3" fontId="16" fillId="0" borderId="31" xfId="0" applyNumberFormat="1" applyFont="1" applyBorder="1" applyAlignment="1">
      <alignment horizontal="center" vertical="center"/>
    </xf>
    <xf numFmtId="169" fontId="7" fillId="9" borderId="0" xfId="0" applyNumberFormat="1" applyFont="1" applyFill="1" applyAlignment="1">
      <alignment horizontal="right" vertical="center"/>
    </xf>
    <xf numFmtId="169" fontId="7" fillId="9" borderId="20" xfId="0" applyNumberFormat="1" applyFont="1" applyFill="1" applyBorder="1" applyAlignment="1">
      <alignment horizontal="right" vertical="center"/>
    </xf>
    <xf numFmtId="169" fontId="7" fillId="9" borderId="32" xfId="0" applyNumberFormat="1" applyFont="1" applyFill="1" applyBorder="1" applyAlignment="1">
      <alignment horizontal="right" vertical="center"/>
    </xf>
    <xf numFmtId="169" fontId="4" fillId="9" borderId="33" xfId="0" applyNumberFormat="1" applyFont="1" applyFill="1" applyBorder="1"/>
    <xf numFmtId="0" fontId="7" fillId="0" borderId="0" xfId="0" applyFont="1" applyAlignment="1">
      <alignment horizontal="right" vertical="center"/>
    </xf>
    <xf numFmtId="168" fontId="12" fillId="0" borderId="40" xfId="0" applyNumberFormat="1" applyFont="1" applyBorder="1" applyAlignment="1">
      <alignment vertical="center"/>
    </xf>
    <xf numFmtId="167" fontId="7" fillId="0" borderId="40" xfId="0" applyNumberFormat="1" applyFont="1" applyBorder="1" applyAlignment="1">
      <alignment horizontal="right" vertical="center"/>
    </xf>
    <xf numFmtId="167" fontId="7" fillId="30" borderId="4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horizontal="right" vertical="center"/>
    </xf>
    <xf numFmtId="168" fontId="12" fillId="0" borderId="0" xfId="0" applyNumberFormat="1" applyFont="1" applyAlignment="1">
      <alignment vertical="center"/>
    </xf>
    <xf numFmtId="174" fontId="12" fillId="0" borderId="0" xfId="0" applyNumberFormat="1" applyFont="1" applyAlignment="1">
      <alignment horizontal="right" vertical="center"/>
    </xf>
    <xf numFmtId="0" fontId="22" fillId="0" borderId="0" xfId="0" applyFont="1"/>
    <xf numFmtId="0" fontId="7" fillId="30" borderId="41" xfId="0" applyFont="1" applyFill="1" applyBorder="1"/>
    <xf numFmtId="0" fontId="7" fillId="30" borderId="12" xfId="0" applyFont="1" applyFill="1" applyBorder="1" applyAlignment="1">
      <alignment horizontal="right"/>
    </xf>
    <xf numFmtId="167" fontId="6" fillId="30" borderId="42" xfId="0" applyNumberFormat="1" applyFont="1" applyFill="1" applyBorder="1" applyAlignment="1">
      <alignment horizontal="right" vertical="center"/>
    </xf>
    <xf numFmtId="165" fontId="7" fillId="30" borderId="42" xfId="0" applyNumberFormat="1" applyFont="1" applyFill="1" applyBorder="1" applyAlignment="1">
      <alignment horizontal="right" vertical="center"/>
    </xf>
    <xf numFmtId="167" fontId="7" fillId="30" borderId="42" xfId="0" applyNumberFormat="1" applyFont="1" applyFill="1" applyBorder="1" applyAlignment="1">
      <alignment horizontal="right" vertical="center"/>
    </xf>
    <xf numFmtId="167" fontId="7" fillId="30" borderId="44" xfId="0" applyNumberFormat="1" applyFont="1" applyFill="1" applyBorder="1" applyAlignment="1">
      <alignment horizontal="right" vertical="center"/>
    </xf>
    <xf numFmtId="168" fontId="6" fillId="32" borderId="0" xfId="0" applyNumberFormat="1" applyFont="1" applyFill="1" applyAlignment="1">
      <alignment horizontal="left" vertical="center"/>
    </xf>
    <xf numFmtId="168" fontId="6" fillId="32" borderId="2" xfId="0" applyNumberFormat="1" applyFont="1" applyFill="1" applyBorder="1" applyAlignment="1">
      <alignment horizontal="right" vertical="center"/>
    </xf>
    <xf numFmtId="168" fontId="6" fillId="32" borderId="0" xfId="0" applyNumberFormat="1" applyFont="1" applyFill="1" applyAlignment="1">
      <alignment horizontal="right" vertical="center"/>
    </xf>
    <xf numFmtId="168" fontId="6" fillId="33" borderId="0" xfId="0" applyNumberFormat="1" applyFont="1" applyFill="1" applyAlignment="1">
      <alignment horizontal="right" vertical="center"/>
    </xf>
    <xf numFmtId="168" fontId="6" fillId="32" borderId="40" xfId="0" applyNumberFormat="1" applyFont="1" applyFill="1" applyBorder="1" applyAlignment="1">
      <alignment horizontal="right" vertical="center"/>
    </xf>
    <xf numFmtId="168" fontId="6" fillId="32" borderId="25" xfId="0" applyNumberFormat="1" applyFont="1" applyFill="1" applyBorder="1" applyAlignment="1">
      <alignment horizontal="right" vertical="center"/>
    </xf>
    <xf numFmtId="168" fontId="6" fillId="32" borderId="43" xfId="0" applyNumberFormat="1" applyFont="1" applyFill="1" applyBorder="1" applyAlignment="1">
      <alignment horizontal="right" vertical="center"/>
    </xf>
    <xf numFmtId="168" fontId="6" fillId="32" borderId="44" xfId="0" applyNumberFormat="1" applyFont="1" applyFill="1" applyBorder="1" applyAlignment="1">
      <alignment horizontal="right" vertical="center"/>
    </xf>
    <xf numFmtId="168" fontId="6" fillId="34" borderId="0" xfId="0" applyNumberFormat="1" applyFont="1" applyFill="1" applyAlignment="1">
      <alignment horizontal="right" vertical="center"/>
    </xf>
    <xf numFmtId="168" fontId="7" fillId="0" borderId="0" xfId="0" applyNumberFormat="1" applyFont="1" applyAlignment="1">
      <alignment horizontal="right" vertical="center"/>
    </xf>
    <xf numFmtId="16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172" fontId="6" fillId="2" borderId="2" xfId="0" applyNumberFormat="1" applyFont="1" applyFill="1" applyBorder="1" applyAlignment="1">
      <alignment horizontal="center" vertical="center" wrapText="1"/>
    </xf>
    <xf numFmtId="0" fontId="12" fillId="8" borderId="2" xfId="0" applyFont="1" applyFill="1" applyBorder="1" applyAlignment="1">
      <alignment horizontal="center" vertical="center" wrapText="1"/>
    </xf>
    <xf numFmtId="165" fontId="12" fillId="2" borderId="2" xfId="0" applyNumberFormat="1" applyFont="1" applyFill="1" applyBorder="1" applyAlignment="1">
      <alignment horizontal="center" vertical="center" wrapText="1"/>
    </xf>
    <xf numFmtId="0" fontId="23" fillId="25" borderId="0" xfId="0" applyFont="1" applyFill="1" applyAlignment="1">
      <alignment horizontal="center" vertical="center"/>
    </xf>
    <xf numFmtId="164" fontId="6" fillId="2" borderId="5" xfId="0" applyNumberFormat="1" applyFont="1" applyFill="1" applyBorder="1" applyAlignment="1">
      <alignment horizontal="left" vertical="center" wrapText="1"/>
    </xf>
    <xf numFmtId="0" fontId="12" fillId="8" borderId="5" xfId="0" applyFont="1" applyFill="1" applyBorder="1" applyAlignment="1">
      <alignment horizontal="center" vertical="center" wrapText="1"/>
    </xf>
    <xf numFmtId="0" fontId="24" fillId="8" borderId="5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25" fillId="25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right"/>
    </xf>
    <xf numFmtId="0" fontId="21" fillId="0" borderId="34" xfId="0" applyFont="1" applyBorder="1" applyAlignment="1">
      <alignment horizontal="right"/>
    </xf>
    <xf numFmtId="0" fontId="16" fillId="0" borderId="45" xfId="0" applyFont="1" applyBorder="1"/>
    <xf numFmtId="168" fontId="16" fillId="0" borderId="45" xfId="0" applyNumberFormat="1" applyFont="1" applyBorder="1"/>
    <xf numFmtId="168" fontId="16" fillId="5" borderId="45" xfId="0" applyNumberFormat="1" applyFont="1" applyFill="1" applyBorder="1"/>
    <xf numFmtId="168" fontId="16" fillId="5" borderId="35" xfId="0" applyNumberFormat="1" applyFont="1" applyFill="1" applyBorder="1"/>
    <xf numFmtId="167" fontId="1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right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right" vertical="center"/>
    </xf>
    <xf numFmtId="168" fontId="16" fillId="0" borderId="0" xfId="0" applyNumberFormat="1" applyFont="1" applyAlignment="1">
      <alignment horizontal="right" vertical="center"/>
    </xf>
    <xf numFmtId="168" fontId="16" fillId="0" borderId="0" xfId="0" applyNumberFormat="1" applyFont="1" applyAlignment="1">
      <alignment vertical="center"/>
    </xf>
    <xf numFmtId="168" fontId="26" fillId="0" borderId="0" xfId="0" applyNumberFormat="1" applyFont="1" applyAlignment="1">
      <alignment vertical="center"/>
    </xf>
    <xf numFmtId="168" fontId="16" fillId="0" borderId="46" xfId="0" applyNumberFormat="1" applyFont="1" applyBorder="1" applyAlignment="1">
      <alignment vertical="center"/>
    </xf>
    <xf numFmtId="168" fontId="16" fillId="0" borderId="31" xfId="0" applyNumberFormat="1" applyFont="1" applyBorder="1" applyAlignment="1">
      <alignment vertical="center"/>
    </xf>
    <xf numFmtId="165" fontId="16" fillId="0" borderId="0" xfId="0" applyNumberFormat="1" applyFont="1" applyAlignment="1">
      <alignment vertical="center"/>
    </xf>
    <xf numFmtId="168" fontId="16" fillId="0" borderId="47" xfId="0" applyNumberFormat="1" applyFont="1" applyBorder="1" applyAlignment="1">
      <alignment vertical="center"/>
    </xf>
    <xf numFmtId="168" fontId="27" fillId="0" borderId="40" xfId="0" applyNumberFormat="1" applyFont="1" applyBorder="1" applyAlignment="1">
      <alignment vertical="center"/>
    </xf>
    <xf numFmtId="168" fontId="16" fillId="0" borderId="40" xfId="0" applyNumberFormat="1" applyFont="1" applyBorder="1" applyAlignment="1">
      <alignment vertical="center"/>
    </xf>
    <xf numFmtId="9" fontId="16" fillId="0" borderId="0" xfId="0" applyNumberFormat="1" applyFont="1" applyAlignment="1">
      <alignment horizontal="left" vertical="center"/>
    </xf>
    <xf numFmtId="168" fontId="16" fillId="0" borderId="48" xfId="0" applyNumberFormat="1" applyFont="1" applyBorder="1" applyAlignment="1">
      <alignment vertical="center"/>
    </xf>
    <xf numFmtId="168" fontId="16" fillId="0" borderId="49" xfId="0" applyNumberFormat="1" applyFont="1" applyBorder="1"/>
    <xf numFmtId="165" fontId="16" fillId="0" borderId="0" xfId="0" applyNumberFormat="1" applyFont="1"/>
    <xf numFmtId="172" fontId="6" fillId="8" borderId="2" xfId="0" applyNumberFormat="1" applyFont="1" applyFill="1" applyBorder="1" applyAlignment="1">
      <alignment horizontal="center" vertical="center" wrapText="1"/>
    </xf>
    <xf numFmtId="164" fontId="6" fillId="8" borderId="5" xfId="0" applyNumberFormat="1" applyFont="1" applyFill="1" applyBorder="1" applyAlignment="1">
      <alignment horizontal="left" vertical="center" wrapText="1"/>
    </xf>
    <xf numFmtId="165" fontId="12" fillId="2" borderId="5" xfId="0" applyNumberFormat="1" applyFont="1" applyFill="1" applyBorder="1" applyAlignment="1">
      <alignment horizontal="center" vertical="center" wrapText="1"/>
    </xf>
    <xf numFmtId="165" fontId="6" fillId="0" borderId="0" xfId="0" applyNumberFormat="1" applyFont="1" applyAlignment="1">
      <alignment horizontal="center" vertical="center" wrapText="1"/>
    </xf>
    <xf numFmtId="165" fontId="6" fillId="11" borderId="2" xfId="0" applyNumberFormat="1" applyFont="1" applyFill="1" applyBorder="1" applyAlignment="1">
      <alignment horizontal="center" vertical="center" wrapText="1"/>
    </xf>
    <xf numFmtId="165" fontId="6" fillId="2" borderId="2" xfId="0" applyNumberFormat="1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wrapText="1"/>
    </xf>
    <xf numFmtId="0" fontId="21" fillId="0" borderId="0" xfId="0" applyFont="1"/>
    <xf numFmtId="164" fontId="6" fillId="2" borderId="1" xfId="0" applyNumberFormat="1" applyFont="1" applyFill="1" applyBorder="1" applyAlignment="1">
      <alignment horizontal="center" vertical="center" wrapText="1"/>
    </xf>
    <xf numFmtId="165" fontId="28" fillId="6" borderId="3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 wrapText="1"/>
    </xf>
    <xf numFmtId="165" fontId="29" fillId="13" borderId="13" xfId="0" applyNumberFormat="1" applyFont="1" applyFill="1" applyBorder="1" applyAlignment="1">
      <alignment horizontal="center" vertical="center" wrapText="1"/>
    </xf>
    <xf numFmtId="0" fontId="29" fillId="2" borderId="14" xfId="0" applyFont="1" applyFill="1" applyBorder="1" applyAlignment="1">
      <alignment horizontal="center" vertical="center" wrapText="1"/>
    </xf>
    <xf numFmtId="0" fontId="29" fillId="2" borderId="15" xfId="0" applyFont="1" applyFill="1" applyBorder="1" applyAlignment="1">
      <alignment horizontal="center" vertical="center" wrapText="1"/>
    </xf>
    <xf numFmtId="0" fontId="29" fillId="2" borderId="16" xfId="0" applyFont="1" applyFill="1" applyBorder="1" applyAlignment="1">
      <alignment horizontal="center" vertical="center" wrapText="1"/>
    </xf>
    <xf numFmtId="0" fontId="29" fillId="2" borderId="17" xfId="0" applyFont="1" applyFill="1" applyBorder="1" applyAlignment="1">
      <alignment horizontal="center" vertical="center" wrapText="1"/>
    </xf>
    <xf numFmtId="0" fontId="29" fillId="2" borderId="18" xfId="0" applyFont="1" applyFill="1" applyBorder="1" applyAlignment="1">
      <alignment horizontal="center" vertical="center" wrapText="1"/>
    </xf>
    <xf numFmtId="0" fontId="29" fillId="12" borderId="17" xfId="0" applyFont="1" applyFill="1" applyBorder="1" applyAlignment="1">
      <alignment horizontal="center" vertical="center" wrapText="1"/>
    </xf>
    <xf numFmtId="0" fontId="29" fillId="12" borderId="18" xfId="0" applyFont="1" applyFill="1" applyBorder="1" applyAlignment="1">
      <alignment horizontal="center" vertical="center" wrapText="1"/>
    </xf>
    <xf numFmtId="165" fontId="7" fillId="6" borderId="50" xfId="0" applyNumberFormat="1" applyFont="1" applyFill="1" applyBorder="1" applyAlignment="1">
      <alignment horizontal="right"/>
    </xf>
    <xf numFmtId="0" fontId="21" fillId="35" borderId="0" xfId="0" applyFont="1" applyFill="1" applyAlignment="1">
      <alignment horizontal="center"/>
    </xf>
    <xf numFmtId="0" fontId="21" fillId="35" borderId="0" xfId="0" applyFont="1" applyFill="1"/>
    <xf numFmtId="177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169" fontId="21" fillId="0" borderId="0" xfId="0" applyNumberFormat="1" applyFont="1" applyAlignment="1">
      <alignment horizontal="right"/>
    </xf>
    <xf numFmtId="169" fontId="21" fillId="0" borderId="0" xfId="0" applyNumberFormat="1" applyFont="1"/>
    <xf numFmtId="169" fontId="21" fillId="6" borderId="0" xfId="0" applyNumberFormat="1" applyFont="1" applyFill="1" applyAlignment="1">
      <alignment horizontal="right"/>
    </xf>
    <xf numFmtId="169" fontId="21" fillId="25" borderId="0" xfId="0" applyNumberFormat="1" applyFont="1" applyFill="1" applyAlignment="1">
      <alignment horizontal="right"/>
    </xf>
    <xf numFmtId="169" fontId="21" fillId="36" borderId="0" xfId="0" applyNumberFormat="1" applyFont="1" applyFill="1" applyAlignment="1">
      <alignment horizontal="right"/>
    </xf>
    <xf numFmtId="169" fontId="21" fillId="25" borderId="0" xfId="0" applyNumberFormat="1" applyFont="1" applyFill="1"/>
    <xf numFmtId="0" fontId="21" fillId="25" borderId="0" xfId="0" applyFont="1" applyFill="1"/>
    <xf numFmtId="0" fontId="30" fillId="0" borderId="0" xfId="0" applyFont="1"/>
    <xf numFmtId="169" fontId="21" fillId="0" borderId="48" xfId="0" applyNumberFormat="1" applyFont="1" applyBorder="1"/>
    <xf numFmtId="169" fontId="21" fillId="37" borderId="48" xfId="0" applyNumberFormat="1" applyFont="1" applyFill="1" applyBorder="1" applyAlignment="1">
      <alignment horizontal="right"/>
    </xf>
    <xf numFmtId="169" fontId="21" fillId="31" borderId="0" xfId="0" applyNumberFormat="1" applyFont="1" applyFill="1" applyAlignment="1">
      <alignment horizontal="right"/>
    </xf>
    <xf numFmtId="0" fontId="21" fillId="0" borderId="30" xfId="0" applyFont="1" applyBorder="1"/>
    <xf numFmtId="169" fontId="21" fillId="0" borderId="46" xfId="0" applyNumberFormat="1" applyFont="1" applyBorder="1" applyAlignment="1">
      <alignment horizontal="right"/>
    </xf>
    <xf numFmtId="169" fontId="21" fillId="31" borderId="46" xfId="0" applyNumberFormat="1" applyFont="1" applyFill="1" applyBorder="1" applyAlignment="1">
      <alignment horizontal="right"/>
    </xf>
    <xf numFmtId="169" fontId="21" fillId="0" borderId="48" xfId="0" applyNumberFormat="1" applyFont="1" applyBorder="1" applyAlignment="1">
      <alignment horizontal="right"/>
    </xf>
    <xf numFmtId="169" fontId="21" fillId="0" borderId="47" xfId="0" applyNumberFormat="1" applyFont="1" applyBorder="1" applyAlignment="1">
      <alignment horizontal="right"/>
    </xf>
    <xf numFmtId="169" fontId="21" fillId="31" borderId="31" xfId="0" applyNumberFormat="1" applyFont="1" applyFill="1" applyBorder="1" applyAlignment="1">
      <alignment horizontal="right"/>
    </xf>
    <xf numFmtId="167" fontId="21" fillId="0" borderId="30" xfId="0" applyNumberFormat="1" applyFont="1" applyBorder="1"/>
    <xf numFmtId="169" fontId="16" fillId="0" borderId="46" xfId="0" applyNumberFormat="1" applyFont="1" applyBorder="1"/>
    <xf numFmtId="169" fontId="16" fillId="0" borderId="47" xfId="0" applyNumberFormat="1" applyFont="1" applyBorder="1"/>
    <xf numFmtId="0" fontId="21" fillId="0" borderId="47" xfId="0" applyFont="1" applyBorder="1"/>
    <xf numFmtId="0" fontId="21" fillId="0" borderId="31" xfId="0" applyFont="1" applyBorder="1"/>
    <xf numFmtId="169" fontId="21" fillId="31" borderId="40" xfId="0" applyNumberFormat="1" applyFont="1" applyFill="1" applyBorder="1" applyAlignment="1">
      <alignment horizontal="right"/>
    </xf>
    <xf numFmtId="169" fontId="21" fillId="12" borderId="48" xfId="0" applyNumberFormat="1" applyFont="1" applyFill="1" applyBorder="1" applyAlignment="1">
      <alignment horizontal="right"/>
    </xf>
    <xf numFmtId="0" fontId="21" fillId="2" borderId="0" xfId="0" applyFont="1" applyFill="1"/>
    <xf numFmtId="167" fontId="21" fillId="2" borderId="30" xfId="0" applyNumberFormat="1" applyFont="1" applyFill="1" applyBorder="1"/>
    <xf numFmtId="169" fontId="21" fillId="2" borderId="0" xfId="0" applyNumberFormat="1" applyFont="1" applyFill="1" applyAlignment="1">
      <alignment horizontal="right"/>
    </xf>
    <xf numFmtId="169" fontId="21" fillId="0" borderId="30" xfId="0" applyNumberFormat="1" applyFont="1" applyBorder="1" applyAlignment="1">
      <alignment horizontal="right"/>
    </xf>
    <xf numFmtId="0" fontId="21" fillId="0" borderId="51" xfId="0" applyFont="1" applyBorder="1"/>
    <xf numFmtId="0" fontId="21" fillId="0" borderId="48" xfId="0" applyFont="1" applyBorder="1"/>
    <xf numFmtId="0" fontId="16" fillId="0" borderId="31" xfId="0" applyFont="1" applyBorder="1"/>
    <xf numFmtId="167" fontId="21" fillId="0" borderId="0" xfId="0" applyNumberFormat="1" applyFont="1"/>
    <xf numFmtId="164" fontId="6" fillId="2" borderId="1" xfId="0" applyNumberFormat="1" applyFont="1" applyFill="1" applyBorder="1" applyAlignment="1">
      <alignment horizontal="left" vertical="center" wrapText="1"/>
    </xf>
    <xf numFmtId="165" fontId="7" fillId="6" borderId="3" xfId="0" applyNumberFormat="1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165" fontId="7" fillId="6" borderId="52" xfId="0" applyNumberFormat="1" applyFont="1" applyFill="1" applyBorder="1" applyAlignment="1">
      <alignment horizontal="right" vertical="center"/>
    </xf>
    <xf numFmtId="178" fontId="31" fillId="38" borderId="0" xfId="0" applyNumberFormat="1" applyFont="1" applyFill="1" applyAlignment="1">
      <alignment horizontal="center" vertical="center"/>
    </xf>
    <xf numFmtId="165" fontId="7" fillId="23" borderId="4" xfId="0" applyNumberFormat="1" applyFont="1" applyFill="1" applyBorder="1" applyAlignment="1">
      <alignment horizontal="right" vertical="center"/>
    </xf>
    <xf numFmtId="164" fontId="7" fillId="3" borderId="0" xfId="0" applyNumberFormat="1" applyFont="1" applyFill="1" applyAlignment="1">
      <alignment horizontal="left" vertical="center"/>
    </xf>
    <xf numFmtId="0" fontId="7" fillId="3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horizontal="left" vertical="center" wrapText="1"/>
    </xf>
    <xf numFmtId="167" fontId="7" fillId="32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vertical="center"/>
    </xf>
    <xf numFmtId="0" fontId="32" fillId="36" borderId="0" xfId="0" applyFont="1" applyFill="1" applyAlignment="1">
      <alignment horizontal="center" vertical="center"/>
    </xf>
    <xf numFmtId="0" fontId="32" fillId="36" borderId="0" xfId="0" applyFont="1" applyFill="1" applyAlignment="1">
      <alignment horizontal="center" vertical="center" wrapText="1"/>
    </xf>
    <xf numFmtId="0" fontId="33" fillId="36" borderId="0" xfId="0" applyFont="1" applyFill="1" applyAlignment="1">
      <alignment horizontal="center" vertical="center"/>
    </xf>
    <xf numFmtId="0" fontId="27" fillId="36" borderId="0" xfId="0" applyFont="1" applyFill="1" applyAlignment="1">
      <alignment horizontal="center" vertical="center"/>
    </xf>
    <xf numFmtId="164" fontId="7" fillId="3" borderId="1" xfId="0" applyNumberFormat="1" applyFont="1" applyFill="1" applyBorder="1" applyAlignment="1">
      <alignment horizontal="left" vertical="center"/>
    </xf>
    <xf numFmtId="0" fontId="7" fillId="3" borderId="27" xfId="0" applyFont="1" applyFill="1" applyBorder="1" applyAlignment="1">
      <alignment horizontal="left" vertical="center" wrapText="1"/>
    </xf>
    <xf numFmtId="167" fontId="7" fillId="32" borderId="3" xfId="0" applyNumberFormat="1" applyFont="1" applyFill="1" applyBorder="1" applyAlignment="1">
      <alignment horizontal="right" vertical="center"/>
    </xf>
    <xf numFmtId="165" fontId="7" fillId="6" borderId="24" xfId="0" applyNumberFormat="1" applyFont="1" applyFill="1" applyBorder="1" applyAlignment="1">
      <alignment horizontal="center" vertical="center" wrapText="1"/>
    </xf>
    <xf numFmtId="165" fontId="7" fillId="39" borderId="13" xfId="0" applyNumberFormat="1" applyFont="1" applyFill="1" applyBorder="1" applyAlignment="1">
      <alignment horizontal="right" vertical="center"/>
    </xf>
    <xf numFmtId="0" fontId="18" fillId="9" borderId="11" xfId="0" applyFont="1" applyFill="1" applyBorder="1" applyAlignment="1">
      <alignment horizontal="center" vertical="center" wrapText="1"/>
    </xf>
    <xf numFmtId="165" fontId="4" fillId="9" borderId="0" xfId="0" applyNumberFormat="1" applyFont="1" applyFill="1" applyAlignment="1">
      <alignment horizontal="right" vertical="center"/>
    </xf>
    <xf numFmtId="170" fontId="4" fillId="0" borderId="0" xfId="0" applyNumberFormat="1" applyFont="1"/>
    <xf numFmtId="0" fontId="4" fillId="9" borderId="20" xfId="0" applyFont="1" applyFill="1" applyBorder="1"/>
    <xf numFmtId="169" fontId="7" fillId="0" borderId="0" xfId="0" applyNumberFormat="1" applyFont="1" applyAlignment="1">
      <alignment horizontal="right" vertical="center"/>
    </xf>
    <xf numFmtId="169" fontId="4" fillId="0" borderId="0" xfId="0" applyNumberFormat="1" applyFont="1"/>
    <xf numFmtId="0" fontId="7" fillId="2" borderId="25" xfId="0" applyFont="1" applyFill="1" applyBorder="1" applyAlignment="1">
      <alignment horizontal="right"/>
    </xf>
    <xf numFmtId="169" fontId="7" fillId="0" borderId="46" xfId="0" applyNumberFormat="1" applyFont="1" applyBorder="1" applyAlignment="1">
      <alignment horizontal="right" vertical="center"/>
    </xf>
    <xf numFmtId="169" fontId="7" fillId="0" borderId="31" xfId="0" applyNumberFormat="1" applyFont="1" applyBorder="1" applyAlignment="1">
      <alignment horizontal="right" vertical="center"/>
    </xf>
    <xf numFmtId="169" fontId="4" fillId="9" borderId="20" xfId="0" applyNumberFormat="1" applyFont="1" applyFill="1" applyBorder="1"/>
    <xf numFmtId="0" fontId="34" fillId="0" borderId="0" xfId="0" applyFont="1" applyAlignment="1">
      <alignment horizontal="left" vertical="center"/>
    </xf>
    <xf numFmtId="0" fontId="6" fillId="2" borderId="48" xfId="0" applyFont="1" applyFill="1" applyBorder="1"/>
    <xf numFmtId="0" fontId="6" fillId="2" borderId="8" xfId="0" applyFont="1" applyFill="1" applyBorder="1" applyAlignment="1">
      <alignment horizontal="center" wrapText="1"/>
    </xf>
    <xf numFmtId="0" fontId="6" fillId="2" borderId="48" xfId="0" applyFont="1" applyFill="1" applyBorder="1" applyAlignment="1">
      <alignment wrapText="1"/>
    </xf>
    <xf numFmtId="165" fontId="6" fillId="11" borderId="8" xfId="0" applyNumberFormat="1" applyFont="1" applyFill="1" applyBorder="1" applyAlignment="1">
      <alignment horizontal="center" wrapText="1"/>
    </xf>
    <xf numFmtId="165" fontId="6" fillId="2" borderId="8" xfId="0" applyNumberFormat="1" applyFont="1" applyFill="1" applyBorder="1" applyAlignment="1">
      <alignment horizontal="center" wrapText="1"/>
    </xf>
    <xf numFmtId="0" fontId="6" fillId="2" borderId="8" xfId="0" applyFont="1" applyFill="1" applyBorder="1" applyAlignment="1">
      <alignment horizontal="center"/>
    </xf>
    <xf numFmtId="0" fontId="6" fillId="12" borderId="8" xfId="0" applyFont="1" applyFill="1" applyBorder="1" applyAlignment="1">
      <alignment horizontal="center"/>
    </xf>
    <xf numFmtId="0" fontId="6" fillId="12" borderId="8" xfId="0" applyFont="1" applyFill="1" applyBorder="1" applyAlignment="1">
      <alignment horizontal="center" wrapText="1"/>
    </xf>
    <xf numFmtId="0" fontId="6" fillId="12" borderId="50" xfId="0" applyFont="1" applyFill="1" applyBorder="1" applyAlignment="1">
      <alignment horizontal="center" wrapText="1"/>
    </xf>
    <xf numFmtId="0" fontId="6" fillId="6" borderId="24" xfId="0" applyFont="1" applyFill="1" applyBorder="1" applyAlignment="1">
      <alignment horizontal="center" wrapText="1"/>
    </xf>
    <xf numFmtId="0" fontId="3" fillId="2" borderId="8" xfId="0" applyFont="1" applyFill="1" applyBorder="1" applyAlignment="1">
      <alignment horizontal="center"/>
    </xf>
    <xf numFmtId="0" fontId="6" fillId="2" borderId="53" xfId="0" applyFont="1" applyFill="1" applyBorder="1" applyAlignment="1">
      <alignment wrapText="1"/>
    </xf>
    <xf numFmtId="165" fontId="7" fillId="6" borderId="50" xfId="0" applyNumberFormat="1" applyFont="1" applyFill="1" applyBorder="1" applyAlignment="1">
      <alignment horizontal="center" wrapText="1"/>
    </xf>
    <xf numFmtId="0" fontId="3" fillId="2" borderId="48" xfId="0" applyFont="1" applyFill="1" applyBorder="1" applyAlignment="1">
      <alignment wrapText="1"/>
    </xf>
    <xf numFmtId="0" fontId="6" fillId="2" borderId="54" xfId="0" applyFont="1" applyFill="1" applyBorder="1" applyAlignment="1">
      <alignment horizontal="center" wrapText="1"/>
    </xf>
    <xf numFmtId="165" fontId="30" fillId="13" borderId="50" xfId="0" applyNumberFormat="1" applyFont="1" applyFill="1" applyBorder="1" applyAlignment="1">
      <alignment horizontal="center" wrapText="1"/>
    </xf>
    <xf numFmtId="0" fontId="21" fillId="2" borderId="50" xfId="0" applyFont="1" applyFill="1" applyBorder="1"/>
    <xf numFmtId="0" fontId="30" fillId="2" borderId="55" xfId="0" applyFont="1" applyFill="1" applyBorder="1" applyAlignment="1">
      <alignment horizontal="center" wrapText="1"/>
    </xf>
    <xf numFmtId="0" fontId="30" fillId="2" borderId="8" xfId="0" applyFont="1" applyFill="1" applyBorder="1" applyAlignment="1">
      <alignment horizontal="center" wrapText="1"/>
    </xf>
    <xf numFmtId="0" fontId="30" fillId="2" borderId="50" xfId="0" applyFont="1" applyFill="1" applyBorder="1" applyAlignment="1">
      <alignment horizontal="center" wrapText="1"/>
    </xf>
    <xf numFmtId="0" fontId="30" fillId="12" borderId="8" xfId="0" applyFont="1" applyFill="1" applyBorder="1" applyAlignment="1">
      <alignment horizontal="center" wrapText="1"/>
    </xf>
    <xf numFmtId="0" fontId="30" fillId="12" borderId="50" xfId="0" applyFont="1" applyFill="1" applyBorder="1" applyAlignment="1">
      <alignment horizontal="center" wrapText="1"/>
    </xf>
    <xf numFmtId="170" fontId="21" fillId="0" borderId="0" xfId="0" applyNumberFormat="1" applyFont="1"/>
    <xf numFmtId="179" fontId="21" fillId="0" borderId="0" xfId="0" applyNumberFormat="1" applyFont="1"/>
    <xf numFmtId="169" fontId="21" fillId="37" borderId="0" xfId="0" applyNumberFormat="1" applyFont="1" applyFill="1" applyAlignment="1">
      <alignment horizontal="right"/>
    </xf>
    <xf numFmtId="169" fontId="21" fillId="40" borderId="0" xfId="0" applyNumberFormat="1" applyFont="1" applyFill="1" applyAlignment="1">
      <alignment horizontal="right"/>
    </xf>
    <xf numFmtId="169" fontId="21" fillId="12" borderId="0" xfId="0" applyNumberFormat="1" applyFont="1" applyFill="1" applyAlignment="1">
      <alignment horizontal="right"/>
    </xf>
    <xf numFmtId="169" fontId="21" fillId="31" borderId="30" xfId="0" applyNumberFormat="1" applyFont="1" applyFill="1" applyBorder="1" applyAlignment="1">
      <alignment horizontal="right"/>
    </xf>
    <xf numFmtId="167" fontId="21" fillId="0" borderId="48" xfId="0" applyNumberFormat="1" applyFont="1" applyBorder="1" applyAlignment="1">
      <alignment horizontal="right"/>
    </xf>
    <xf numFmtId="167" fontId="21" fillId="0" borderId="30" xfId="0" applyNumberFormat="1" applyFont="1" applyBorder="1" applyAlignment="1">
      <alignment horizontal="right"/>
    </xf>
    <xf numFmtId="169" fontId="21" fillId="31" borderId="51" xfId="0" applyNumberFormat="1" applyFont="1" applyFill="1" applyBorder="1" applyAlignment="1">
      <alignment horizontal="right"/>
    </xf>
    <xf numFmtId="167" fontId="21" fillId="37" borderId="30" xfId="0" applyNumberFormat="1" applyFont="1" applyFill="1" applyBorder="1" applyAlignment="1">
      <alignment horizontal="right"/>
    </xf>
    <xf numFmtId="169" fontId="21" fillId="12" borderId="30" xfId="0" applyNumberFormat="1" applyFont="1" applyFill="1" applyBorder="1" applyAlignment="1">
      <alignment horizontal="right"/>
    </xf>
    <xf numFmtId="165" fontId="6" fillId="2" borderId="0" xfId="0" applyNumberFormat="1" applyFont="1" applyFill="1" applyAlignment="1">
      <alignment horizontal="center" wrapText="1"/>
    </xf>
    <xf numFmtId="0" fontId="11" fillId="8" borderId="0" xfId="0" applyFont="1" applyFill="1" applyAlignment="1">
      <alignment vertical="top"/>
    </xf>
    <xf numFmtId="0" fontId="11" fillId="8" borderId="0" xfId="0" applyFont="1" applyFill="1" applyAlignment="1">
      <alignment horizontal="center" vertical="center"/>
    </xf>
    <xf numFmtId="164" fontId="35" fillId="8" borderId="56" xfId="0" applyNumberFormat="1" applyFont="1" applyFill="1" applyBorder="1" applyAlignment="1">
      <alignment vertical="top"/>
    </xf>
    <xf numFmtId="0" fontId="35" fillId="8" borderId="56" xfId="0" applyFont="1" applyFill="1" applyBorder="1" applyAlignment="1">
      <alignment horizontal="center" vertical="center"/>
    </xf>
    <xf numFmtId="180" fontId="16" fillId="0" borderId="0" xfId="0" applyNumberFormat="1" applyFont="1" applyAlignment="1">
      <alignment vertical="center"/>
    </xf>
    <xf numFmtId="0" fontId="35" fillId="41" borderId="56" xfId="0" applyFont="1" applyFill="1" applyBorder="1" applyAlignment="1">
      <alignment vertical="top"/>
    </xf>
    <xf numFmtId="0" fontId="35" fillId="41" borderId="56" xfId="0" applyFont="1" applyFill="1" applyBorder="1" applyAlignment="1">
      <alignment horizontal="center" vertical="center"/>
    </xf>
    <xf numFmtId="0" fontId="35" fillId="8" borderId="56" xfId="0" applyFont="1" applyFill="1" applyBorder="1" applyAlignment="1">
      <alignment vertical="top"/>
    </xf>
    <xf numFmtId="0" fontId="35" fillId="42" borderId="56" xfId="0" applyFont="1" applyFill="1" applyBorder="1" applyAlignment="1">
      <alignment vertical="top"/>
    </xf>
    <xf numFmtId="0" fontId="35" fillId="42" borderId="56" xfId="0" applyFont="1" applyFill="1" applyBorder="1" applyAlignment="1">
      <alignment horizontal="center" vertical="center"/>
    </xf>
    <xf numFmtId="0" fontId="35" fillId="2" borderId="56" xfId="0" applyFont="1" applyFill="1" applyBorder="1" applyAlignment="1">
      <alignment vertical="top"/>
    </xf>
    <xf numFmtId="0" fontId="35" fillId="2" borderId="56" xfId="0" applyFont="1" applyFill="1" applyBorder="1" applyAlignment="1">
      <alignment horizontal="center" vertical="center"/>
    </xf>
    <xf numFmtId="0" fontId="16" fillId="43" borderId="0" xfId="0" applyFont="1" applyFill="1" applyAlignment="1">
      <alignment horizontal="center" vertical="center"/>
    </xf>
    <xf numFmtId="0" fontId="36" fillId="44" borderId="56" xfId="0" applyFont="1" applyFill="1" applyBorder="1" applyAlignment="1">
      <alignment vertical="top"/>
    </xf>
    <xf numFmtId="0" fontId="36" fillId="44" borderId="56" xfId="0" applyFont="1" applyFill="1" applyBorder="1" applyAlignment="1">
      <alignment horizontal="center" vertical="center"/>
    </xf>
    <xf numFmtId="0" fontId="35" fillId="45" borderId="57" xfId="0" applyFont="1" applyFill="1" applyBorder="1" applyAlignment="1">
      <alignment vertical="top"/>
    </xf>
    <xf numFmtId="0" fontId="35" fillId="45" borderId="57" xfId="0" applyFont="1" applyFill="1" applyBorder="1" applyAlignment="1">
      <alignment horizontal="center" vertical="center"/>
    </xf>
    <xf numFmtId="0" fontId="16" fillId="0" borderId="8" xfId="0" applyFont="1" applyBorder="1" applyAlignment="1">
      <alignment vertical="center"/>
    </xf>
    <xf numFmtId="0" fontId="35" fillId="8" borderId="58" xfId="0" applyFont="1" applyFill="1" applyBorder="1" applyAlignment="1">
      <alignment vertical="top"/>
    </xf>
    <xf numFmtId="0" fontId="35" fillId="8" borderId="59" xfId="0" applyFont="1" applyFill="1" applyBorder="1" applyAlignment="1">
      <alignment horizontal="center" vertical="center"/>
    </xf>
    <xf numFmtId="0" fontId="35" fillId="8" borderId="60" xfId="0" applyFont="1" applyFill="1" applyBorder="1" applyAlignment="1">
      <alignment horizontal="center" vertical="center"/>
    </xf>
    <xf numFmtId="0" fontId="35" fillId="41" borderId="61" xfId="0" applyFont="1" applyFill="1" applyBorder="1" applyAlignment="1">
      <alignment vertical="top"/>
    </xf>
    <xf numFmtId="0" fontId="35" fillId="41" borderId="62" xfId="0" applyFont="1" applyFill="1" applyBorder="1" applyAlignment="1">
      <alignment horizontal="center" vertical="center"/>
    </xf>
    <xf numFmtId="0" fontId="35" fillId="8" borderId="61" xfId="0" applyFont="1" applyFill="1" applyBorder="1" applyAlignment="1">
      <alignment vertical="top"/>
    </xf>
    <xf numFmtId="0" fontId="35" fillId="8" borderId="62" xfId="0" applyFont="1" applyFill="1" applyBorder="1" applyAlignment="1">
      <alignment horizontal="center" vertical="center"/>
    </xf>
    <xf numFmtId="0" fontId="35" fillId="42" borderId="61" xfId="0" applyFont="1" applyFill="1" applyBorder="1" applyAlignment="1">
      <alignment vertical="top"/>
    </xf>
    <xf numFmtId="0" fontId="35" fillId="42" borderId="62" xfId="0" applyFont="1" applyFill="1" applyBorder="1" applyAlignment="1">
      <alignment horizontal="center" vertical="center"/>
    </xf>
    <xf numFmtId="0" fontId="35" fillId="2" borderId="61" xfId="0" applyFont="1" applyFill="1" applyBorder="1" applyAlignment="1">
      <alignment vertical="top"/>
    </xf>
    <xf numFmtId="0" fontId="35" fillId="2" borderId="62" xfId="0" applyFont="1" applyFill="1" applyBorder="1" applyAlignment="1">
      <alignment horizontal="center" vertical="center"/>
    </xf>
    <xf numFmtId="0" fontId="35" fillId="8" borderId="63" xfId="0" applyFont="1" applyFill="1" applyBorder="1" applyAlignment="1">
      <alignment vertical="top"/>
    </xf>
    <xf numFmtId="0" fontId="35" fillId="8" borderId="64" xfId="0" applyFont="1" applyFill="1" applyBorder="1" applyAlignment="1">
      <alignment horizontal="center" vertical="center"/>
    </xf>
    <xf numFmtId="0" fontId="35" fillId="8" borderId="65" xfId="0" applyFont="1" applyFill="1" applyBorder="1" applyAlignment="1">
      <alignment horizontal="center" vertical="center"/>
    </xf>
    <xf numFmtId="0" fontId="35" fillId="41" borderId="66" xfId="0" applyFont="1" applyFill="1" applyBorder="1" applyAlignment="1">
      <alignment vertical="top"/>
    </xf>
    <xf numFmtId="0" fontId="35" fillId="41" borderId="67" xfId="0" applyFont="1" applyFill="1" applyBorder="1" applyAlignment="1">
      <alignment horizontal="center" vertical="center"/>
    </xf>
    <xf numFmtId="0" fontId="35" fillId="41" borderId="68" xfId="0" applyFont="1" applyFill="1" applyBorder="1" applyAlignment="1">
      <alignment horizontal="center" vertical="center"/>
    </xf>
    <xf numFmtId="0" fontId="16" fillId="0" borderId="69" xfId="0" applyFont="1" applyBorder="1" applyAlignment="1">
      <alignment vertical="center"/>
    </xf>
    <xf numFmtId="0" fontId="16" fillId="0" borderId="70" xfId="0" applyFont="1" applyBorder="1" applyAlignment="1">
      <alignment vertical="center"/>
    </xf>
    <xf numFmtId="0" fontId="16" fillId="20" borderId="70" xfId="0" applyFont="1" applyFill="1" applyBorder="1" applyAlignment="1">
      <alignment vertical="center"/>
    </xf>
    <xf numFmtId="0" fontId="16" fillId="20" borderId="70" xfId="0" applyFont="1" applyFill="1" applyBorder="1" applyAlignment="1">
      <alignment horizontal="center" vertical="center"/>
    </xf>
    <xf numFmtId="0" fontId="35" fillId="46" borderId="61" xfId="0" applyFont="1" applyFill="1" applyBorder="1" applyAlignment="1">
      <alignment vertical="top"/>
    </xf>
    <xf numFmtId="0" fontId="35" fillId="46" borderId="56" xfId="0" applyFont="1" applyFill="1" applyBorder="1" applyAlignment="1">
      <alignment horizontal="center" vertical="center"/>
    </xf>
    <xf numFmtId="0" fontId="35" fillId="46" borderId="62" xfId="0" applyFont="1" applyFill="1" applyBorder="1" applyAlignment="1">
      <alignment horizontal="center" vertical="center"/>
    </xf>
    <xf numFmtId="0" fontId="35" fillId="45" borderId="71" xfId="0" applyFont="1" applyFill="1" applyBorder="1" applyAlignment="1">
      <alignment vertical="top"/>
    </xf>
    <xf numFmtId="0" fontId="35" fillId="45" borderId="72" xfId="0" applyFont="1" applyFill="1" applyBorder="1" applyAlignment="1">
      <alignment horizontal="center" vertical="center"/>
    </xf>
    <xf numFmtId="0" fontId="16" fillId="0" borderId="73" xfId="0" applyFont="1" applyBorder="1" applyAlignment="1">
      <alignment vertical="center"/>
    </xf>
    <xf numFmtId="0" fontId="35" fillId="8" borderId="74" xfId="0" applyFont="1" applyFill="1" applyBorder="1" applyAlignment="1">
      <alignment vertical="top"/>
    </xf>
    <xf numFmtId="0" fontId="35" fillId="8" borderId="75" xfId="0" applyFont="1" applyFill="1" applyBorder="1" applyAlignment="1">
      <alignment horizontal="center" vertical="center"/>
    </xf>
    <xf numFmtId="0" fontId="35" fillId="41" borderId="76" xfId="0" applyFont="1" applyFill="1" applyBorder="1" applyAlignment="1">
      <alignment vertical="top"/>
    </xf>
    <xf numFmtId="0" fontId="35" fillId="41" borderId="77" xfId="0" applyFont="1" applyFill="1" applyBorder="1" applyAlignment="1">
      <alignment horizontal="center" vertical="center"/>
    </xf>
    <xf numFmtId="0" fontId="35" fillId="8" borderId="76" xfId="0" applyFont="1" applyFill="1" applyBorder="1" applyAlignment="1">
      <alignment vertical="top"/>
    </xf>
    <xf numFmtId="0" fontId="35" fillId="8" borderId="77" xfId="0" applyFont="1" applyFill="1" applyBorder="1" applyAlignment="1">
      <alignment horizontal="center" vertical="center"/>
    </xf>
    <xf numFmtId="0" fontId="35" fillId="20" borderId="77" xfId="0" applyFont="1" applyFill="1" applyBorder="1" applyAlignment="1">
      <alignment horizontal="center" vertical="center"/>
    </xf>
    <xf numFmtId="0" fontId="16" fillId="0" borderId="70" xfId="0" applyFont="1" applyBorder="1" applyAlignment="1">
      <alignment horizontal="center" vertical="center"/>
    </xf>
    <xf numFmtId="0" fontId="35" fillId="8" borderId="78" xfId="0" applyFont="1" applyFill="1" applyBorder="1" applyAlignment="1">
      <alignment vertical="top"/>
    </xf>
    <xf numFmtId="0" fontId="35" fillId="8" borderId="79" xfId="0" applyFont="1" applyFill="1" applyBorder="1" applyAlignment="1">
      <alignment horizontal="center" vertical="center"/>
    </xf>
    <xf numFmtId="0" fontId="35" fillId="8" borderId="80" xfId="0" applyFont="1" applyFill="1" applyBorder="1" applyAlignment="1">
      <alignment horizontal="center" vertical="center"/>
    </xf>
    <xf numFmtId="0" fontId="16" fillId="0" borderId="81" xfId="0" applyFont="1" applyBorder="1" applyAlignment="1">
      <alignment horizontal="center" vertical="center"/>
    </xf>
    <xf numFmtId="169" fontId="16" fillId="0" borderId="0" xfId="0" applyNumberFormat="1" applyFont="1" applyAlignment="1">
      <alignment horizontal="center" vertical="center"/>
    </xf>
    <xf numFmtId="0" fontId="35" fillId="41" borderId="59" xfId="0" applyFont="1" applyFill="1" applyBorder="1" applyAlignment="1">
      <alignment vertical="top"/>
    </xf>
    <xf numFmtId="0" fontId="35" fillId="41" borderId="59" xfId="0" applyFont="1" applyFill="1" applyBorder="1" applyAlignment="1">
      <alignment horizontal="center" vertical="center"/>
    </xf>
    <xf numFmtId="0" fontId="35" fillId="28" borderId="59" xfId="0" applyFont="1" applyFill="1" applyBorder="1" applyAlignment="1">
      <alignment horizontal="center" vertical="center"/>
    </xf>
    <xf numFmtId="0" fontId="35" fillId="28" borderId="56" xfId="0" applyFont="1" applyFill="1" applyBorder="1" applyAlignment="1">
      <alignment horizontal="center" vertical="center"/>
    </xf>
    <xf numFmtId="0" fontId="35" fillId="44" borderId="56" xfId="0" applyFont="1" applyFill="1" applyBorder="1" applyAlignment="1">
      <alignment vertical="top"/>
    </xf>
    <xf numFmtId="0" fontId="35" fillId="44" borderId="56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29" fillId="0" borderId="94" xfId="0" applyFont="1" applyBorder="1" applyAlignment="1">
      <alignment horizontal="center" vertical="center"/>
    </xf>
    <xf numFmtId="0" fontId="5" fillId="0" borderId="95" xfId="0" applyFont="1" applyBorder="1" applyAlignment="1">
      <alignment horizontal="center" vertical="center"/>
    </xf>
    <xf numFmtId="164" fontId="5" fillId="0" borderId="95" xfId="0" applyNumberFormat="1" applyFont="1" applyBorder="1" applyAlignment="1">
      <alignment vertical="center"/>
    </xf>
    <xf numFmtId="0" fontId="5" fillId="47" borderId="40" xfId="0" applyFont="1" applyFill="1" applyBorder="1" applyAlignment="1">
      <alignment horizontal="center" vertical="center"/>
    </xf>
    <xf numFmtId="0" fontId="16" fillId="20" borderId="47" xfId="0" applyFont="1" applyFill="1" applyBorder="1" applyAlignment="1">
      <alignment horizontal="center" vertical="center"/>
    </xf>
    <xf numFmtId="0" fontId="16" fillId="0" borderId="47" xfId="0" applyFont="1" applyBorder="1" applyAlignment="1">
      <alignment horizontal="center"/>
    </xf>
    <xf numFmtId="0" fontId="16" fillId="0" borderId="46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0" borderId="0" xfId="0" applyFont="1" applyAlignment="1">
      <alignment horizontal="center"/>
    </xf>
    <xf numFmtId="180" fontId="5" fillId="0" borderId="0" xfId="0" applyNumberFormat="1" applyFont="1" applyAlignment="1">
      <alignment horizontal="right"/>
    </xf>
    <xf numFmtId="164" fontId="5" fillId="0" borderId="0" xfId="0" applyNumberFormat="1" applyFont="1" applyAlignment="1">
      <alignment horizontal="right"/>
    </xf>
    <xf numFmtId="0" fontId="5" fillId="0" borderId="30" xfId="0" applyFont="1" applyBorder="1"/>
    <xf numFmtId="0" fontId="16" fillId="0" borderId="47" xfId="0" applyFont="1" applyBorder="1" applyAlignment="1">
      <alignment horizontal="center" vertical="center"/>
    </xf>
    <xf numFmtId="180" fontId="5" fillId="0" borderId="94" xfId="0" applyNumberFormat="1" applyFont="1" applyBorder="1" applyAlignment="1">
      <alignment horizontal="right"/>
    </xf>
    <xf numFmtId="164" fontId="5" fillId="0" borderId="95" xfId="0" applyNumberFormat="1" applyFont="1" applyBorder="1" applyAlignment="1">
      <alignment horizontal="right"/>
    </xf>
    <xf numFmtId="0" fontId="5" fillId="0" borderId="96" xfId="0" applyFont="1" applyBorder="1" applyAlignment="1">
      <alignment horizontal="center"/>
    </xf>
    <xf numFmtId="0" fontId="5" fillId="0" borderId="29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0" fontId="5" fillId="0" borderId="0" xfId="0" applyNumberFormat="1" applyFont="1" applyAlignment="1">
      <alignment vertical="center"/>
    </xf>
    <xf numFmtId="0" fontId="5" fillId="0" borderId="30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29" xfId="0" applyFont="1" applyBorder="1"/>
    <xf numFmtId="0" fontId="5" fillId="48" borderId="40" xfId="0" applyFont="1" applyFill="1" applyBorder="1" applyAlignment="1">
      <alignment horizontal="center" vertical="center"/>
    </xf>
    <xf numFmtId="164" fontId="5" fillId="0" borderId="0" xfId="0" applyNumberFormat="1" applyFont="1" applyAlignment="1">
      <alignment vertical="center"/>
    </xf>
    <xf numFmtId="0" fontId="5" fillId="0" borderId="30" xfId="0" applyFont="1" applyBorder="1" applyAlignment="1">
      <alignment horizontal="center" vertical="center"/>
    </xf>
    <xf numFmtId="180" fontId="5" fillId="0" borderId="29" xfId="0" applyNumberFormat="1" applyFont="1" applyBorder="1" applyAlignment="1">
      <alignment horizontal="right"/>
    </xf>
    <xf numFmtId="164" fontId="5" fillId="48" borderId="0" xfId="0" applyNumberFormat="1" applyFont="1" applyFill="1" applyAlignment="1">
      <alignment vertical="center"/>
    </xf>
    <xf numFmtId="0" fontId="16" fillId="37" borderId="46" xfId="0" applyFont="1" applyFill="1" applyBorder="1" applyAlignment="1">
      <alignment horizontal="center" vertical="center"/>
    </xf>
    <xf numFmtId="0" fontId="16" fillId="0" borderId="46" xfId="0" applyFont="1" applyBorder="1" applyAlignment="1">
      <alignment horizontal="center" vertical="center"/>
    </xf>
    <xf numFmtId="0" fontId="16" fillId="0" borderId="96" xfId="0" applyFont="1" applyBorder="1" applyAlignment="1">
      <alignment horizontal="center" vertical="center"/>
    </xf>
    <xf numFmtId="0" fontId="16" fillId="37" borderId="47" xfId="0" applyFont="1" applyFill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97" xfId="0" applyFont="1" applyBorder="1"/>
    <xf numFmtId="180" fontId="5" fillId="0" borderId="48" xfId="0" applyNumberFormat="1" applyFont="1" applyBorder="1" applyAlignment="1">
      <alignment vertical="center"/>
    </xf>
    <xf numFmtId="0" fontId="5" fillId="0" borderId="9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horizontal="center"/>
    </xf>
    <xf numFmtId="0" fontId="16" fillId="37" borderId="99" xfId="0" applyFont="1" applyFill="1" applyBorder="1" applyAlignment="1">
      <alignment horizontal="center" vertical="center"/>
    </xf>
    <xf numFmtId="0" fontId="16" fillId="0" borderId="100" xfId="0" applyFont="1" applyBorder="1" applyAlignment="1">
      <alignment horizontal="center" vertical="center"/>
    </xf>
    <xf numFmtId="0" fontId="16" fillId="0" borderId="99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16" fillId="0" borderId="97" xfId="0" applyFont="1" applyBorder="1" applyAlignment="1">
      <alignment horizontal="center" vertical="center"/>
    </xf>
    <xf numFmtId="0" fontId="16" fillId="15" borderId="47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5" fillId="0" borderId="48" xfId="0" applyFont="1" applyBorder="1" applyAlignment="1">
      <alignment horizontal="center" vertical="center"/>
    </xf>
    <xf numFmtId="0" fontId="16" fillId="0" borderId="51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38" fillId="0" borderId="0" xfId="0" applyFont="1" applyAlignment="1">
      <alignment horizontal="left" vertical="center"/>
    </xf>
    <xf numFmtId="180" fontId="39" fillId="49" borderId="94" xfId="0" applyNumberFormat="1" applyFont="1" applyFill="1" applyBorder="1" applyAlignment="1">
      <alignment horizontal="left"/>
    </xf>
    <xf numFmtId="171" fontId="39" fillId="49" borderId="96" xfId="0" applyNumberFormat="1" applyFont="1" applyFill="1" applyBorder="1" applyAlignment="1">
      <alignment horizontal="right"/>
    </xf>
    <xf numFmtId="180" fontId="39" fillId="8" borderId="29" xfId="0" applyNumberFormat="1" applyFont="1" applyFill="1" applyBorder="1" applyAlignment="1">
      <alignment horizontal="left"/>
    </xf>
    <xf numFmtId="171" fontId="39" fillId="8" borderId="30" xfId="0" applyNumberFormat="1" applyFont="1" applyFill="1" applyBorder="1" applyAlignment="1">
      <alignment horizontal="right"/>
    </xf>
    <xf numFmtId="180" fontId="39" fillId="49" borderId="29" xfId="0" applyNumberFormat="1" applyFont="1" applyFill="1" applyBorder="1" applyAlignment="1">
      <alignment horizontal="left"/>
    </xf>
    <xf numFmtId="171" fontId="39" fillId="49" borderId="30" xfId="0" applyNumberFormat="1" applyFont="1" applyFill="1" applyBorder="1" applyAlignment="1">
      <alignment horizontal="right"/>
    </xf>
    <xf numFmtId="180" fontId="39" fillId="8" borderId="97" xfId="0" applyNumberFormat="1" applyFont="1" applyFill="1" applyBorder="1" applyAlignment="1">
      <alignment horizontal="left"/>
    </xf>
    <xf numFmtId="171" fontId="39" fillId="8" borderId="51" xfId="0" applyNumberFormat="1" applyFont="1" applyFill="1" applyBorder="1" applyAlignment="1">
      <alignment horizontal="right"/>
    </xf>
    <xf numFmtId="171" fontId="16" fillId="0" borderId="0" xfId="0" applyNumberFormat="1" applyFont="1"/>
    <xf numFmtId="180" fontId="39" fillId="8" borderId="0" xfId="0" applyNumberFormat="1" applyFont="1" applyFill="1" applyAlignment="1">
      <alignment horizontal="left"/>
    </xf>
    <xf numFmtId="180" fontId="39" fillId="49" borderId="0" xfId="0" applyNumberFormat="1" applyFont="1" applyFill="1" applyAlignment="1">
      <alignment horizontal="left"/>
    </xf>
    <xf numFmtId="0" fontId="16" fillId="0" borderId="0" xfId="0" applyFont="1" applyAlignment="1">
      <alignment horizontal="left"/>
    </xf>
    <xf numFmtId="0" fontId="5" fillId="31" borderId="4" xfId="0" applyFont="1" applyFill="1" applyBorder="1" applyAlignment="1">
      <alignment horizontal="center" vertical="center"/>
    </xf>
    <xf numFmtId="0" fontId="5" fillId="22" borderId="0" xfId="0" applyFont="1" applyFill="1" applyAlignment="1">
      <alignment vertical="center"/>
    </xf>
    <xf numFmtId="166" fontId="5" fillId="0" borderId="0" xfId="0" applyNumberFormat="1" applyFont="1" applyAlignment="1">
      <alignment horizontal="left" vertical="center"/>
    </xf>
    <xf numFmtId="167" fontId="5" fillId="22" borderId="0" xfId="0" applyNumberFormat="1" applyFont="1" applyFill="1" applyAlignment="1">
      <alignment vertical="center"/>
    </xf>
    <xf numFmtId="165" fontId="5" fillId="0" borderId="0" xfId="0" applyNumberFormat="1" applyFont="1" applyAlignment="1">
      <alignment vertical="center"/>
    </xf>
    <xf numFmtId="164" fontId="5" fillId="0" borderId="0" xfId="0" applyNumberFormat="1" applyFont="1" applyAlignment="1">
      <alignment horizontal="center" vertical="center"/>
    </xf>
    <xf numFmtId="0" fontId="19" fillId="22" borderId="2" xfId="0" applyFont="1" applyFill="1" applyBorder="1"/>
    <xf numFmtId="0" fontId="20" fillId="8" borderId="0" xfId="0" applyFont="1" applyFill="1"/>
    <xf numFmtId="0" fontId="5" fillId="22" borderId="22" xfId="0" applyFont="1" applyFill="1" applyBorder="1" applyAlignment="1">
      <alignment vertical="center"/>
    </xf>
    <xf numFmtId="167" fontId="5" fillId="22" borderId="22" xfId="0" applyNumberFormat="1" applyFont="1" applyFill="1" applyBorder="1" applyAlignment="1">
      <alignment vertical="center"/>
    </xf>
    <xf numFmtId="0" fontId="5" fillId="22" borderId="2" xfId="0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0" fontId="5" fillId="50" borderId="0" xfId="0" applyFont="1" applyFill="1" applyAlignment="1">
      <alignment horizontal="left" vertical="center"/>
    </xf>
    <xf numFmtId="0" fontId="5" fillId="51" borderId="0" xfId="0" applyFont="1" applyFill="1" applyAlignment="1">
      <alignment horizontal="left" vertical="center"/>
    </xf>
    <xf numFmtId="164" fontId="16" fillId="0" borderId="0" xfId="0" applyNumberFormat="1" applyFont="1" applyAlignment="1">
      <alignment horizontal="center" vertical="center"/>
    </xf>
    <xf numFmtId="0" fontId="19" fillId="8" borderId="2" xfId="0" applyFont="1" applyFill="1" applyBorder="1"/>
    <xf numFmtId="0" fontId="19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67" fontId="6" fillId="0" borderId="0" xfId="0" applyNumberFormat="1" applyFont="1" applyAlignment="1">
      <alignment horizontal="right" vertical="center"/>
    </xf>
    <xf numFmtId="10" fontId="7" fillId="0" borderId="0" xfId="0" applyNumberFormat="1" applyFont="1" applyAlignment="1">
      <alignment horizontal="left" vertical="center"/>
    </xf>
    <xf numFmtId="0" fontId="40" fillId="0" borderId="82" xfId="0" applyFont="1" applyBorder="1" applyAlignment="1">
      <alignment horizontal="left" vertical="center"/>
    </xf>
    <xf numFmtId="0" fontId="40" fillId="0" borderId="83" xfId="0" applyFont="1" applyBorder="1" applyAlignment="1">
      <alignment horizontal="left" vertical="center"/>
    </xf>
    <xf numFmtId="0" fontId="40" fillId="0" borderId="83" xfId="0" applyFont="1" applyBorder="1" applyAlignment="1">
      <alignment horizontal="right" vertical="center"/>
    </xf>
    <xf numFmtId="0" fontId="40" fillId="0" borderId="83" xfId="0" applyFont="1" applyBorder="1" applyAlignment="1">
      <alignment horizontal="center" vertical="center" wrapText="1"/>
    </xf>
    <xf numFmtId="0" fontId="40" fillId="0" borderId="84" xfId="0" applyFont="1" applyBorder="1" applyAlignment="1">
      <alignment horizontal="left" vertical="center"/>
    </xf>
    <xf numFmtId="0" fontId="40" fillId="0" borderId="8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1" fillId="0" borderId="86" xfId="0" applyFont="1" applyBorder="1" applyAlignment="1">
      <alignment vertical="center"/>
    </xf>
    <xf numFmtId="0" fontId="41" fillId="0" borderId="87" xfId="0" applyFont="1" applyBorder="1" applyAlignment="1">
      <alignment horizontal="left" vertical="center"/>
    </xf>
    <xf numFmtId="0" fontId="41" fillId="0" borderId="89" xfId="0" applyFont="1" applyBorder="1" applyAlignment="1">
      <alignment vertical="center"/>
    </xf>
    <xf numFmtId="181" fontId="41" fillId="0" borderId="89" xfId="0" applyNumberFormat="1" applyFont="1" applyBorder="1" applyAlignment="1">
      <alignment vertical="center"/>
    </xf>
    <xf numFmtId="0" fontId="41" fillId="0" borderId="90" xfId="0" applyFont="1" applyBorder="1" applyAlignment="1">
      <alignment horizontal="left" vertical="center"/>
    </xf>
    <xf numFmtId="181" fontId="41" fillId="0" borderId="86" xfId="0" applyNumberFormat="1" applyFont="1" applyBorder="1" applyAlignment="1">
      <alignment vertical="center"/>
    </xf>
    <xf numFmtId="180" fontId="41" fillId="0" borderId="89" xfId="0" applyNumberFormat="1" applyFont="1" applyBorder="1" applyAlignment="1">
      <alignment vertical="center"/>
    </xf>
    <xf numFmtId="181" fontId="41" fillId="0" borderId="86" xfId="0" applyNumberFormat="1" applyFont="1" applyBorder="1" applyAlignment="1">
      <alignment horizontal="right" vertical="center"/>
    </xf>
    <xf numFmtId="166" fontId="41" fillId="0" borderId="86" xfId="0" applyNumberFormat="1" applyFont="1" applyBorder="1" applyAlignment="1">
      <alignment horizontal="left" vertical="center"/>
    </xf>
    <xf numFmtId="166" fontId="41" fillId="0" borderId="89" xfId="0" applyNumberFormat="1" applyFont="1" applyBorder="1" applyAlignment="1">
      <alignment horizontal="left" vertical="center"/>
    </xf>
    <xf numFmtId="166" fontId="41" fillId="0" borderId="86" xfId="0" applyNumberFormat="1" applyFont="1" applyBorder="1" applyAlignment="1">
      <alignment vertical="center"/>
    </xf>
    <xf numFmtId="166" fontId="41" fillId="0" borderId="89" xfId="0" applyNumberFormat="1" applyFont="1" applyBorder="1" applyAlignment="1">
      <alignment vertical="center"/>
    </xf>
    <xf numFmtId="0" fontId="43" fillId="0" borderId="0" xfId="0" applyFont="1"/>
    <xf numFmtId="181" fontId="44" fillId="8" borderId="86" xfId="0" applyNumberFormat="1" applyFont="1" applyFill="1" applyBorder="1" applyAlignment="1">
      <alignment vertical="center"/>
    </xf>
    <xf numFmtId="167" fontId="41" fillId="0" borderId="89" xfId="0" applyNumberFormat="1" applyFont="1" applyBorder="1" applyAlignment="1">
      <alignment horizontal="right" vertical="center"/>
    </xf>
    <xf numFmtId="170" fontId="41" fillId="0" borderId="89" xfId="0" applyNumberFormat="1" applyFont="1" applyBorder="1" applyAlignment="1">
      <alignment horizontal="right" vertical="center"/>
    </xf>
    <xf numFmtId="167" fontId="41" fillId="0" borderId="86" xfId="0" applyNumberFormat="1" applyFont="1" applyBorder="1" applyAlignment="1">
      <alignment horizontal="right" vertical="center"/>
    </xf>
    <xf numFmtId="170" fontId="41" fillId="0" borderId="86" xfId="0" applyNumberFormat="1" applyFont="1" applyBorder="1" applyAlignment="1">
      <alignment horizontal="right" vertical="center"/>
    </xf>
    <xf numFmtId="167" fontId="41" fillId="0" borderId="86" xfId="0" applyNumberFormat="1" applyFont="1" applyBorder="1" applyAlignment="1">
      <alignment vertical="center"/>
    </xf>
    <xf numFmtId="167" fontId="41" fillId="0" borderId="89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0" fontId="43" fillId="0" borderId="86" xfId="0" applyFont="1" applyBorder="1" applyAlignment="1">
      <alignment vertical="center"/>
    </xf>
    <xf numFmtId="0" fontId="43" fillId="0" borderId="89" xfId="0" applyFont="1" applyBorder="1" applyAlignment="1">
      <alignment vertical="center"/>
    </xf>
    <xf numFmtId="0" fontId="43" fillId="0" borderId="88" xfId="0" applyFont="1" applyBorder="1" applyAlignment="1">
      <alignment horizontal="left" indent="1"/>
    </xf>
    <xf numFmtId="0" fontId="41" fillId="0" borderId="85" xfId="0" applyFont="1" applyBorder="1" applyAlignment="1">
      <alignment horizontal="left" vertical="center" indent="1"/>
    </xf>
    <xf numFmtId="0" fontId="41" fillId="0" borderId="88" xfId="0" applyFont="1" applyBorder="1" applyAlignment="1">
      <alignment horizontal="left" vertical="center" indent="1"/>
    </xf>
    <xf numFmtId="0" fontId="41" fillId="0" borderId="101" xfId="0" applyFont="1" applyBorder="1" applyAlignment="1">
      <alignment horizontal="left" vertical="center" indent="1"/>
    </xf>
    <xf numFmtId="0" fontId="41" fillId="0" borderId="26" xfId="0" applyFont="1" applyBorder="1" applyAlignment="1">
      <alignment vertical="center"/>
    </xf>
    <xf numFmtId="181" fontId="41" fillId="0" borderId="26" xfId="0" applyNumberFormat="1" applyFont="1" applyBorder="1" applyAlignment="1">
      <alignment vertical="center"/>
    </xf>
    <xf numFmtId="0" fontId="41" fillId="0" borderId="102" xfId="0" applyFont="1" applyBorder="1" applyAlignment="1">
      <alignment horizontal="left" vertical="center"/>
    </xf>
    <xf numFmtId="167" fontId="41" fillId="0" borderId="26" xfId="0" applyNumberFormat="1" applyFont="1" applyBorder="1" applyAlignment="1">
      <alignment horizontal="center" vertical="center"/>
    </xf>
    <xf numFmtId="170" fontId="41" fillId="0" borderId="26" xfId="0" applyNumberFormat="1" applyFont="1" applyBorder="1" applyAlignment="1">
      <alignment horizontal="center" vertical="center"/>
    </xf>
    <xf numFmtId="0" fontId="47" fillId="0" borderId="0" xfId="0" applyFont="1"/>
    <xf numFmtId="0" fontId="43" fillId="0" borderId="105" xfId="0" applyFont="1" applyBorder="1" applyAlignment="1">
      <alignment horizontal="left" indent="1"/>
    </xf>
    <xf numFmtId="0" fontId="41" fillId="0" borderId="106" xfId="0" applyFont="1" applyBorder="1" applyAlignment="1">
      <alignment vertical="center"/>
    </xf>
    <xf numFmtId="167" fontId="41" fillId="0" borderId="106" xfId="0" applyNumberFormat="1" applyFont="1" applyBorder="1" applyAlignment="1">
      <alignment horizontal="right" vertical="center"/>
    </xf>
    <xf numFmtId="181" fontId="41" fillId="0" borderId="106" xfId="0" applyNumberFormat="1" applyFont="1" applyBorder="1" applyAlignment="1">
      <alignment vertical="center"/>
    </xf>
    <xf numFmtId="0" fontId="41" fillId="0" borderId="107" xfId="0" applyFont="1" applyBorder="1" applyAlignment="1">
      <alignment horizontal="left" vertical="center"/>
    </xf>
    <xf numFmtId="0" fontId="41" fillId="0" borderId="108" xfId="0" applyFont="1" applyBorder="1" applyAlignment="1">
      <alignment horizontal="left" vertical="center" indent="1"/>
    </xf>
    <xf numFmtId="0" fontId="41" fillId="0" borderId="109" xfId="0" applyFont="1" applyBorder="1" applyAlignment="1">
      <alignment vertical="center"/>
    </xf>
    <xf numFmtId="0" fontId="41" fillId="0" borderId="110" xfId="0" applyFont="1" applyBorder="1" applyAlignment="1">
      <alignment horizontal="left" vertical="center" indent="1"/>
    </xf>
    <xf numFmtId="0" fontId="41" fillId="0" borderId="111" xfId="0" applyFont="1" applyBorder="1" applyAlignment="1">
      <alignment vertical="center"/>
    </xf>
    <xf numFmtId="0" fontId="41" fillId="0" borderId="112" xfId="0" applyFont="1" applyBorder="1" applyAlignment="1">
      <alignment horizontal="left" vertical="center" indent="1"/>
    </xf>
    <xf numFmtId="0" fontId="41" fillId="0" borderId="113" xfId="0" applyFont="1" applyBorder="1" applyAlignment="1">
      <alignment vertical="center"/>
    </xf>
    <xf numFmtId="167" fontId="41" fillId="0" borderId="113" xfId="0" applyNumberFormat="1" applyFont="1" applyBorder="1" applyAlignment="1">
      <alignment vertical="center"/>
    </xf>
    <xf numFmtId="181" fontId="41" fillId="0" borderId="113" xfId="0" applyNumberFormat="1" applyFont="1" applyBorder="1" applyAlignment="1">
      <alignment vertical="center"/>
    </xf>
    <xf numFmtId="0" fontId="41" fillId="0" borderId="114" xfId="0" applyFont="1" applyBorder="1" applyAlignment="1">
      <alignment vertical="center"/>
    </xf>
    <xf numFmtId="0" fontId="41" fillId="0" borderId="115" xfId="0" applyFont="1" applyBorder="1" applyAlignment="1">
      <alignment horizontal="left" vertical="center" indent="1"/>
    </xf>
    <xf numFmtId="0" fontId="41" fillId="0" borderId="116" xfId="0" applyFont="1" applyBorder="1" applyAlignment="1">
      <alignment vertical="center"/>
    </xf>
    <xf numFmtId="181" fontId="41" fillId="0" borderId="116" xfId="0" applyNumberFormat="1" applyFont="1" applyBorder="1" applyAlignment="1">
      <alignment vertical="center"/>
    </xf>
    <xf numFmtId="0" fontId="41" fillId="0" borderId="117" xfId="0" applyFont="1" applyBorder="1" applyAlignment="1">
      <alignment vertical="center"/>
    </xf>
    <xf numFmtId="167" fontId="41" fillId="0" borderId="116" xfId="0" applyNumberFormat="1" applyFont="1" applyBorder="1" applyAlignment="1">
      <alignment horizontal="center" vertical="center"/>
    </xf>
    <xf numFmtId="0" fontId="43" fillId="0" borderId="26" xfId="0" applyFont="1" applyBorder="1"/>
    <xf numFmtId="167" fontId="41" fillId="0" borderId="103" xfId="0" applyNumberFormat="1" applyFont="1" applyBorder="1" applyAlignment="1">
      <alignment horizontal="right" vertical="center"/>
    </xf>
    <xf numFmtId="170" fontId="41" fillId="0" borderId="103" xfId="0" applyNumberFormat="1" applyFont="1" applyBorder="1" applyAlignment="1">
      <alignment horizontal="right" vertical="center"/>
    </xf>
    <xf numFmtId="0" fontId="41" fillId="0" borderId="104" xfId="0" applyFont="1" applyBorder="1" applyAlignment="1">
      <alignment horizontal="left" vertical="center"/>
    </xf>
    <xf numFmtId="167" fontId="41" fillId="0" borderId="106" xfId="0" applyNumberFormat="1" applyFont="1" applyBorder="1" applyAlignment="1">
      <alignment vertical="center"/>
    </xf>
    <xf numFmtId="0" fontId="41" fillId="0" borderId="107" xfId="0" applyFont="1" applyBorder="1" applyAlignment="1">
      <alignment vertical="center"/>
    </xf>
    <xf numFmtId="0" fontId="43" fillId="0" borderId="26" xfId="0" applyFont="1" applyBorder="1" applyAlignment="1">
      <alignment vertical="center"/>
    </xf>
    <xf numFmtId="0" fontId="41" fillId="0" borderId="111" xfId="0" applyFont="1" applyBorder="1" applyAlignment="1">
      <alignment horizontal="left" vertical="center"/>
    </xf>
    <xf numFmtId="0" fontId="41" fillId="0" borderId="109" xfId="0" applyFont="1" applyBorder="1" applyAlignment="1">
      <alignment horizontal="left" vertical="center"/>
    </xf>
    <xf numFmtId="0" fontId="43" fillId="0" borderId="118" xfId="0" applyFont="1" applyBorder="1"/>
    <xf numFmtId="167" fontId="41" fillId="0" borderId="119" xfId="0" applyNumberFormat="1" applyFont="1" applyBorder="1" applyAlignment="1">
      <alignment horizontal="right" vertical="center"/>
    </xf>
    <xf numFmtId="170" fontId="41" fillId="0" borderId="119" xfId="0" applyNumberFormat="1" applyFont="1" applyBorder="1" applyAlignment="1">
      <alignment horizontal="right" vertical="center"/>
    </xf>
    <xf numFmtId="0" fontId="41" fillId="0" borderId="120" xfId="0" applyFont="1" applyBorder="1" applyAlignment="1">
      <alignment horizontal="left" vertical="center"/>
    </xf>
    <xf numFmtId="0" fontId="48" fillId="52" borderId="101" xfId="0" applyFont="1" applyFill="1" applyBorder="1" applyAlignment="1">
      <alignment horizontal="left" vertical="center" indent="1"/>
    </xf>
    <xf numFmtId="0" fontId="48" fillId="52" borderId="26" xfId="0" applyFont="1" applyFill="1" applyBorder="1" applyAlignment="1">
      <alignment vertical="center"/>
    </xf>
    <xf numFmtId="167" fontId="48" fillId="52" borderId="26" xfId="0" applyNumberFormat="1" applyFont="1" applyFill="1" applyBorder="1" applyAlignment="1">
      <alignment horizontal="center" vertical="center"/>
    </xf>
    <xf numFmtId="181" fontId="48" fillId="52" borderId="26" xfId="0" applyNumberFormat="1" applyFont="1" applyFill="1" applyBorder="1" applyAlignment="1">
      <alignment vertical="center"/>
    </xf>
    <xf numFmtId="0" fontId="48" fillId="52" borderId="102" xfId="0" applyFont="1" applyFill="1" applyBorder="1" applyAlignment="1">
      <alignment horizontal="left" vertical="center"/>
    </xf>
    <xf numFmtId="165" fontId="50" fillId="0" borderId="0" xfId="0" applyNumberFormat="1" applyFont="1" applyAlignment="1">
      <alignment horizontal="right" vertical="center"/>
    </xf>
    <xf numFmtId="168" fontId="41" fillId="0" borderId="0" xfId="0" applyNumberFormat="1" applyFont="1"/>
    <xf numFmtId="0" fontId="52" fillId="0" borderId="0" xfId="0" applyFont="1"/>
    <xf numFmtId="164" fontId="49" fillId="0" borderId="0" xfId="0" applyNumberFormat="1" applyFont="1" applyAlignment="1">
      <alignment horizontal="center" vertical="center"/>
    </xf>
    <xf numFmtId="0" fontId="49" fillId="15" borderId="2" xfId="0" applyFont="1" applyFill="1" applyBorder="1" applyAlignment="1">
      <alignment horizontal="center" vertical="center" wrapText="1"/>
    </xf>
    <xf numFmtId="0" fontId="49" fillId="2" borderId="2" xfId="0" applyFont="1" applyFill="1" applyBorder="1" applyAlignment="1">
      <alignment horizontal="left" vertical="center" wrapText="1"/>
    </xf>
    <xf numFmtId="167" fontId="49" fillId="0" borderId="0" xfId="0" applyNumberFormat="1" applyFont="1" applyAlignment="1">
      <alignment horizontal="right" vertical="center"/>
    </xf>
    <xf numFmtId="165" fontId="49" fillId="0" borderId="0" xfId="0" applyNumberFormat="1" applyFont="1" applyAlignment="1">
      <alignment horizontal="right" vertical="center"/>
    </xf>
    <xf numFmtId="0" fontId="49" fillId="2" borderId="2" xfId="0" applyFont="1" applyFill="1" applyBorder="1" applyAlignment="1">
      <alignment vertical="center"/>
    </xf>
    <xf numFmtId="0" fontId="49" fillId="2" borderId="2" xfId="0" applyFont="1" applyFill="1" applyBorder="1" applyAlignment="1">
      <alignment horizontal="left" vertical="center"/>
    </xf>
    <xf numFmtId="0" fontId="41" fillId="0" borderId="0" xfId="0" applyFont="1" applyAlignment="1">
      <alignment vertical="center"/>
    </xf>
    <xf numFmtId="0" fontId="49" fillId="2" borderId="2" xfId="0" applyFont="1" applyFill="1" applyBorder="1" applyAlignment="1">
      <alignment vertical="center" wrapText="1"/>
    </xf>
    <xf numFmtId="164" fontId="49" fillId="17" borderId="0" xfId="0" applyNumberFormat="1" applyFont="1" applyFill="1" applyAlignment="1">
      <alignment horizontal="center" vertical="center"/>
    </xf>
    <xf numFmtId="0" fontId="49" fillId="17" borderId="0" xfId="0" applyFont="1" applyFill="1" applyAlignment="1">
      <alignment vertical="center"/>
    </xf>
    <xf numFmtId="0" fontId="49" fillId="17" borderId="0" xfId="0" applyFont="1" applyFill="1" applyAlignment="1">
      <alignment horizontal="left" vertical="center"/>
    </xf>
    <xf numFmtId="165" fontId="49" fillId="17" borderId="0" xfId="0" applyNumberFormat="1" applyFont="1" applyFill="1" applyAlignment="1">
      <alignment horizontal="right" vertical="center"/>
    </xf>
    <xf numFmtId="0" fontId="49" fillId="0" borderId="0" xfId="0" applyFont="1" applyAlignment="1">
      <alignment horizontal="left" vertical="center"/>
    </xf>
    <xf numFmtId="167" fontId="41" fillId="0" borderId="0" xfId="0" applyNumberFormat="1" applyFont="1" applyAlignment="1">
      <alignment vertical="center"/>
    </xf>
    <xf numFmtId="0" fontId="49" fillId="0" borderId="0" xfId="0" applyFont="1" applyAlignment="1">
      <alignment vertical="center"/>
    </xf>
    <xf numFmtId="0" fontId="49" fillId="0" borderId="0" xfId="0" applyFont="1" applyAlignment="1">
      <alignment vertical="center" wrapText="1"/>
    </xf>
    <xf numFmtId="164" fontId="49" fillId="0" borderId="8" xfId="0" applyNumberFormat="1" applyFont="1" applyBorder="1" applyAlignment="1">
      <alignment horizontal="center" vertical="center"/>
    </xf>
    <xf numFmtId="0" fontId="49" fillId="0" borderId="8" xfId="0" applyFont="1" applyBorder="1" applyAlignment="1">
      <alignment vertical="center"/>
    </xf>
    <xf numFmtId="0" fontId="49" fillId="0" borderId="8" xfId="0" applyFont="1" applyBorder="1" applyAlignment="1">
      <alignment horizontal="left" vertical="center"/>
    </xf>
    <xf numFmtId="167" fontId="49" fillId="0" borderId="8" xfId="0" applyNumberFormat="1" applyFont="1" applyBorder="1" applyAlignment="1">
      <alignment horizontal="right" vertical="center"/>
    </xf>
    <xf numFmtId="165" fontId="49" fillId="0" borderId="8" xfId="0" applyNumberFormat="1" applyFont="1" applyBorder="1" applyAlignment="1">
      <alignment horizontal="right" vertical="center"/>
    </xf>
    <xf numFmtId="164" fontId="49" fillId="9" borderId="20" xfId="0" applyNumberFormat="1" applyFont="1" applyFill="1" applyBorder="1" applyAlignment="1">
      <alignment horizontal="center" vertical="center"/>
    </xf>
    <xf numFmtId="166" fontId="51" fillId="9" borderId="21" xfId="0" applyNumberFormat="1" applyFont="1" applyFill="1" applyBorder="1" applyAlignment="1">
      <alignment horizontal="center" vertical="center" wrapText="1"/>
    </xf>
    <xf numFmtId="165" fontId="49" fillId="9" borderId="20" xfId="0" applyNumberFormat="1" applyFont="1" applyFill="1" applyBorder="1" applyAlignment="1">
      <alignment horizontal="right" vertical="center"/>
    </xf>
    <xf numFmtId="0" fontId="49" fillId="2" borderId="2" xfId="0" applyFont="1" applyFill="1" applyBorder="1" applyAlignment="1">
      <alignment horizontal="center" vertical="center" wrapText="1"/>
    </xf>
    <xf numFmtId="164" fontId="49" fillId="18" borderId="0" xfId="0" applyNumberFormat="1" applyFont="1" applyFill="1" applyAlignment="1">
      <alignment horizontal="center" vertical="center"/>
    </xf>
    <xf numFmtId="0" fontId="49" fillId="18" borderId="2" xfId="0" applyFont="1" applyFill="1" applyBorder="1" applyAlignment="1">
      <alignment vertical="center"/>
    </xf>
    <xf numFmtId="0" fontId="49" fillId="18" borderId="2" xfId="0" applyFont="1" applyFill="1" applyBorder="1" applyAlignment="1">
      <alignment horizontal="left" vertical="center"/>
    </xf>
    <xf numFmtId="165" fontId="49" fillId="18" borderId="0" xfId="0" applyNumberFormat="1" applyFont="1" applyFill="1" applyAlignment="1">
      <alignment horizontal="right" vertical="center"/>
    </xf>
    <xf numFmtId="0" fontId="41" fillId="0" borderId="0" xfId="0" applyFont="1" applyAlignment="1">
      <alignment vertical="center" wrapText="1"/>
    </xf>
    <xf numFmtId="0" fontId="49" fillId="0" borderId="0" xfId="0" applyFont="1" applyAlignment="1">
      <alignment horizontal="left" vertical="center" wrapText="1"/>
    </xf>
    <xf numFmtId="165" fontId="49" fillId="19" borderId="0" xfId="0" applyNumberFormat="1" applyFont="1" applyFill="1" applyAlignment="1">
      <alignment horizontal="right" vertical="center"/>
    </xf>
    <xf numFmtId="166" fontId="53" fillId="9" borderId="21" xfId="0" applyNumberFormat="1" applyFont="1" applyFill="1" applyBorder="1" applyAlignment="1">
      <alignment horizontal="center" vertical="center" wrapText="1"/>
    </xf>
    <xf numFmtId="164" fontId="49" fillId="2" borderId="22" xfId="0" applyNumberFormat="1" applyFont="1" applyFill="1" applyBorder="1" applyAlignment="1">
      <alignment horizontal="center" vertical="center" wrapText="1"/>
    </xf>
    <xf numFmtId="0" fontId="49" fillId="2" borderId="22" xfId="0" applyFont="1" applyFill="1" applyBorder="1" applyAlignment="1">
      <alignment horizontal="left" vertical="center" wrapText="1"/>
    </xf>
    <xf numFmtId="0" fontId="49" fillId="18" borderId="0" xfId="0" applyFont="1" applyFill="1" applyAlignment="1">
      <alignment vertical="center" wrapText="1"/>
    </xf>
    <xf numFmtId="0" fontId="49" fillId="18" borderId="0" xfId="0" applyFont="1" applyFill="1" applyAlignment="1">
      <alignment horizontal="left" vertical="center" wrapText="1"/>
    </xf>
    <xf numFmtId="170" fontId="49" fillId="18" borderId="0" xfId="0" applyNumberFormat="1" applyFont="1" applyFill="1" applyAlignment="1">
      <alignment horizontal="right" vertical="center"/>
    </xf>
    <xf numFmtId="0" fontId="49" fillId="0" borderId="0" xfId="0" applyFont="1" applyAlignment="1">
      <alignment horizontal="center" vertical="center" wrapText="1"/>
    </xf>
    <xf numFmtId="170" fontId="49" fillId="0" borderId="0" xfId="0" applyNumberFormat="1" applyFont="1" applyAlignment="1">
      <alignment horizontal="right" vertical="center"/>
    </xf>
    <xf numFmtId="0" fontId="54" fillId="0" borderId="0" xfId="0" applyFont="1" applyAlignment="1">
      <alignment vertical="center"/>
    </xf>
    <xf numFmtId="0" fontId="55" fillId="8" borderId="0" xfId="0" applyFont="1" applyFill="1" applyAlignment="1">
      <alignment vertical="center"/>
    </xf>
    <xf numFmtId="0" fontId="49" fillId="0" borderId="8" xfId="0" applyFont="1" applyBorder="1" applyAlignment="1">
      <alignment horizontal="center" vertical="center" wrapText="1"/>
    </xf>
    <xf numFmtId="0" fontId="49" fillId="0" borderId="8" xfId="0" applyFont="1" applyBorder="1" applyAlignment="1">
      <alignment horizontal="left" vertical="center" wrapText="1"/>
    </xf>
    <xf numFmtId="170" fontId="49" fillId="0" borderId="8" xfId="0" applyNumberFormat="1" applyFont="1" applyBorder="1" applyAlignment="1">
      <alignment horizontal="right" vertical="center"/>
    </xf>
    <xf numFmtId="164" fontId="49" fillId="2" borderId="2" xfId="0" applyNumberFormat="1" applyFont="1" applyFill="1" applyBorder="1" applyAlignment="1">
      <alignment horizontal="center" vertical="center" wrapText="1"/>
    </xf>
    <xf numFmtId="0" fontId="49" fillId="2" borderId="7" xfId="0" applyFont="1" applyFill="1" applyBorder="1" applyAlignment="1">
      <alignment horizontal="center" vertical="center" wrapText="1"/>
    </xf>
    <xf numFmtId="0" fontId="49" fillId="2" borderId="7" xfId="0" applyFont="1" applyFill="1" applyBorder="1" applyAlignment="1">
      <alignment horizontal="left" vertical="center" wrapText="1"/>
    </xf>
    <xf numFmtId="164" fontId="49" fillId="20" borderId="0" xfId="0" applyNumberFormat="1" applyFont="1" applyFill="1" applyAlignment="1">
      <alignment horizontal="center" vertical="center"/>
    </xf>
    <xf numFmtId="0" fontId="49" fillId="2" borderId="22" xfId="0" applyFont="1" applyFill="1" applyBorder="1" applyAlignment="1">
      <alignment horizontal="center" vertical="center" wrapText="1"/>
    </xf>
    <xf numFmtId="0" fontId="49" fillId="2" borderId="22" xfId="0" applyFont="1" applyFill="1" applyBorder="1" applyAlignment="1">
      <alignment horizontal="left" vertical="center"/>
    </xf>
    <xf numFmtId="0" fontId="41" fillId="18" borderId="0" xfId="0" applyFont="1" applyFill="1" applyAlignment="1">
      <alignment vertical="center" wrapText="1"/>
    </xf>
    <xf numFmtId="164" fontId="49" fillId="20" borderId="8" xfId="0" applyNumberFormat="1" applyFont="1" applyFill="1" applyBorder="1" applyAlignment="1">
      <alignment horizontal="center" vertical="center"/>
    </xf>
    <xf numFmtId="0" fontId="49" fillId="9" borderId="20" xfId="0" applyFont="1" applyFill="1" applyBorder="1" applyAlignment="1">
      <alignment horizontal="left" vertical="center" wrapText="1"/>
    </xf>
    <xf numFmtId="167" fontId="49" fillId="9" borderId="20" xfId="0" applyNumberFormat="1" applyFont="1" applyFill="1" applyBorder="1" applyAlignment="1">
      <alignment horizontal="right" vertical="center"/>
    </xf>
    <xf numFmtId="0" fontId="56" fillId="0" borderId="0" xfId="0" applyFont="1"/>
    <xf numFmtId="0" fontId="49" fillId="18" borderId="0" xfId="0" applyFont="1" applyFill="1" applyAlignment="1">
      <alignment horizontal="center" vertical="center" wrapText="1"/>
    </xf>
    <xf numFmtId="167" fontId="49" fillId="18" borderId="0" xfId="0" applyNumberFormat="1" applyFont="1" applyFill="1" applyAlignment="1">
      <alignment horizontal="right" vertical="center"/>
    </xf>
    <xf numFmtId="164" fontId="49" fillId="20" borderId="6" xfId="0" applyNumberFormat="1" applyFont="1" applyFill="1" applyBorder="1" applyAlignment="1">
      <alignment horizontal="center" vertical="center"/>
    </xf>
    <xf numFmtId="0" fontId="49" fillId="0" borderId="6" xfId="0" applyFont="1" applyBorder="1" applyAlignment="1">
      <alignment horizontal="center" vertical="center" wrapText="1"/>
    </xf>
    <xf numFmtId="0" fontId="49" fillId="0" borderId="6" xfId="0" applyFont="1" applyBorder="1" applyAlignment="1">
      <alignment horizontal="left" vertical="center" wrapText="1"/>
    </xf>
    <xf numFmtId="167" fontId="49" fillId="0" borderId="6" xfId="0" applyNumberFormat="1" applyFont="1" applyBorder="1" applyAlignment="1">
      <alignment horizontal="right" vertical="center"/>
    </xf>
    <xf numFmtId="165" fontId="49" fillId="0" borderId="6" xfId="0" applyNumberFormat="1" applyFont="1" applyBorder="1" applyAlignment="1">
      <alignment horizontal="right" vertical="center"/>
    </xf>
    <xf numFmtId="0" fontId="43" fillId="0" borderId="6" xfId="0" applyFont="1" applyBorder="1"/>
    <xf numFmtId="168" fontId="43" fillId="0" borderId="6" xfId="0" applyNumberFormat="1" applyFont="1" applyBorder="1"/>
    <xf numFmtId="0" fontId="49" fillId="21" borderId="0" xfId="0" applyFont="1" applyFill="1" applyAlignment="1">
      <alignment horizontal="center" vertical="center" wrapText="1"/>
    </xf>
    <xf numFmtId="0" fontId="49" fillId="21" borderId="0" xfId="0" applyFont="1" applyFill="1" applyAlignment="1">
      <alignment horizontal="left" vertical="center" wrapText="1"/>
    </xf>
    <xf numFmtId="167" fontId="49" fillId="21" borderId="0" xfId="0" applyNumberFormat="1" applyFont="1" applyFill="1" applyAlignment="1">
      <alignment horizontal="right" vertical="center"/>
    </xf>
    <xf numFmtId="165" fontId="49" fillId="21" borderId="0" xfId="0" applyNumberFormat="1" applyFont="1" applyFill="1" applyAlignment="1">
      <alignment horizontal="right" vertical="center"/>
    </xf>
    <xf numFmtId="164" fontId="55" fillId="0" borderId="0" xfId="0" applyNumberFormat="1" applyFont="1" applyAlignment="1">
      <alignment vertical="center"/>
    </xf>
    <xf numFmtId="165" fontId="49" fillId="22" borderId="0" xfId="0" applyNumberFormat="1" applyFont="1" applyFill="1" applyAlignment="1">
      <alignment horizontal="right" vertical="center"/>
    </xf>
    <xf numFmtId="165" fontId="49" fillId="8" borderId="0" xfId="0" applyNumberFormat="1" applyFont="1" applyFill="1" applyAlignment="1">
      <alignment horizontal="right" vertical="center"/>
    </xf>
    <xf numFmtId="0" fontId="41" fillId="0" borderId="8" xfId="0" applyFont="1" applyBorder="1"/>
    <xf numFmtId="168" fontId="41" fillId="0" borderId="8" xfId="0" applyNumberFormat="1" applyFont="1" applyBorder="1"/>
    <xf numFmtId="0" fontId="50" fillId="0" borderId="0" xfId="0" applyFont="1" applyAlignment="1">
      <alignment horizontal="center" vertical="center" wrapText="1"/>
    </xf>
    <xf numFmtId="0" fontId="49" fillId="23" borderId="0" xfId="0" applyFont="1" applyFill="1" applyAlignment="1">
      <alignment horizontal="left" vertical="center" wrapText="1"/>
    </xf>
    <xf numFmtId="164" fontId="50" fillId="24" borderId="20" xfId="0" applyNumberFormat="1" applyFont="1" applyFill="1" applyBorder="1" applyAlignment="1">
      <alignment horizontal="center" vertical="center"/>
    </xf>
    <xf numFmtId="0" fontId="57" fillId="24" borderId="21" xfId="0" applyFont="1" applyFill="1" applyBorder="1" applyAlignment="1">
      <alignment horizontal="center" vertical="center" wrapText="1"/>
    </xf>
    <xf numFmtId="0" fontId="58" fillId="24" borderId="20" xfId="0" applyFont="1" applyFill="1" applyBorder="1" applyAlignment="1">
      <alignment horizontal="left" vertical="center" wrapText="1"/>
    </xf>
    <xf numFmtId="167" fontId="50" fillId="24" borderId="20" xfId="0" applyNumberFormat="1" applyFont="1" applyFill="1" applyBorder="1" applyAlignment="1">
      <alignment horizontal="right" vertical="center"/>
    </xf>
    <xf numFmtId="165" fontId="50" fillId="24" borderId="20" xfId="0" applyNumberFormat="1" applyFont="1" applyFill="1" applyBorder="1" applyAlignment="1">
      <alignment horizontal="right" vertical="center"/>
    </xf>
    <xf numFmtId="9" fontId="59" fillId="24" borderId="20" xfId="0" applyNumberFormat="1" applyFont="1" applyFill="1" applyBorder="1" applyAlignment="1">
      <alignment horizontal="right" vertical="center"/>
    </xf>
    <xf numFmtId="0" fontId="50" fillId="0" borderId="0" xfId="0" applyFont="1"/>
    <xf numFmtId="164" fontId="50" fillId="25" borderId="0" xfId="0" applyNumberFormat="1" applyFont="1" applyFill="1" applyAlignment="1">
      <alignment horizontal="center" vertical="center"/>
    </xf>
    <xf numFmtId="164" fontId="50" fillId="2" borderId="22" xfId="0" applyNumberFormat="1" applyFont="1" applyFill="1" applyBorder="1" applyAlignment="1">
      <alignment horizontal="center" vertical="center" wrapText="1"/>
    </xf>
    <xf numFmtId="0" fontId="50" fillId="2" borderId="22" xfId="0" applyFont="1" applyFill="1" applyBorder="1" applyAlignment="1">
      <alignment horizontal="left" vertical="center" wrapText="1"/>
    </xf>
    <xf numFmtId="167" fontId="50" fillId="0" borderId="0" xfId="0" applyNumberFormat="1" applyFont="1" applyAlignment="1">
      <alignment horizontal="right" vertical="center"/>
    </xf>
    <xf numFmtId="168" fontId="50" fillId="0" borderId="0" xfId="0" applyNumberFormat="1" applyFont="1" applyAlignment="1">
      <alignment horizontal="right" vertical="center"/>
    </xf>
    <xf numFmtId="171" fontId="50" fillId="15" borderId="2" xfId="0" applyNumberFormat="1" applyFont="1" applyFill="1" applyBorder="1" applyAlignment="1">
      <alignment horizontal="center" vertical="center" wrapText="1"/>
    </xf>
    <xf numFmtId="0" fontId="50" fillId="2" borderId="2" xfId="0" applyFont="1" applyFill="1" applyBorder="1" applyAlignment="1">
      <alignment horizontal="left" vertical="center" wrapText="1"/>
    </xf>
    <xf numFmtId="0" fontId="50" fillId="2" borderId="2" xfId="0" applyFont="1" applyFill="1" applyBorder="1" applyAlignment="1">
      <alignment horizontal="center" vertical="center" wrapText="1"/>
    </xf>
    <xf numFmtId="0" fontId="50" fillId="2" borderId="2" xfId="0" applyFont="1" applyFill="1" applyBorder="1" applyAlignment="1">
      <alignment vertical="center"/>
    </xf>
    <xf numFmtId="0" fontId="50" fillId="2" borderId="2" xfId="0" applyFont="1" applyFill="1" applyBorder="1" applyAlignment="1">
      <alignment horizontal="left" vertical="center"/>
    </xf>
    <xf numFmtId="0" fontId="50" fillId="2" borderId="2" xfId="0" applyFont="1" applyFill="1" applyBorder="1" applyAlignment="1">
      <alignment vertical="center" wrapText="1"/>
    </xf>
    <xf numFmtId="0" fontId="50" fillId="0" borderId="0" xfId="0" applyFont="1" applyAlignment="1">
      <alignment vertical="center"/>
    </xf>
    <xf numFmtId="0" fontId="50" fillId="25" borderId="0" xfId="0" applyFont="1" applyFill="1" applyAlignment="1">
      <alignment horizontal="center" vertical="center"/>
    </xf>
    <xf numFmtId="0" fontId="50" fillId="2" borderId="0" xfId="0" applyFont="1" applyFill="1" applyAlignment="1">
      <alignment vertical="center" wrapText="1"/>
    </xf>
    <xf numFmtId="0" fontId="50" fillId="25" borderId="0" xfId="0" applyFont="1" applyFill="1" applyAlignment="1">
      <alignment horizontal="center" vertical="center" wrapText="1"/>
    </xf>
    <xf numFmtId="0" fontId="50" fillId="18" borderId="0" xfId="0" applyFont="1" applyFill="1" applyAlignment="1">
      <alignment horizontal="center" vertical="center" wrapText="1"/>
    </xf>
    <xf numFmtId="0" fontId="50" fillId="18" borderId="0" xfId="0" applyFont="1" applyFill="1" applyAlignment="1">
      <alignment horizontal="left" vertical="center" wrapText="1"/>
    </xf>
    <xf numFmtId="167" fontId="50" fillId="18" borderId="0" xfId="0" applyNumberFormat="1" applyFont="1" applyFill="1" applyAlignment="1">
      <alignment horizontal="right" vertical="center"/>
    </xf>
    <xf numFmtId="165" fontId="50" fillId="18" borderId="0" xfId="0" applyNumberFormat="1" applyFont="1" applyFill="1" applyAlignment="1">
      <alignment horizontal="right" vertical="center"/>
    </xf>
    <xf numFmtId="0" fontId="50" fillId="0" borderId="0" xfId="0" applyFont="1" applyAlignment="1">
      <alignment horizontal="left" vertical="center" wrapText="1"/>
    </xf>
    <xf numFmtId="164" fontId="50" fillId="25" borderId="20" xfId="0" applyNumberFormat="1" applyFont="1" applyFill="1" applyBorder="1" applyAlignment="1">
      <alignment horizontal="center" vertical="center"/>
    </xf>
    <xf numFmtId="166" fontId="57" fillId="24" borderId="21" xfId="0" applyNumberFormat="1" applyFont="1" applyFill="1" applyBorder="1" applyAlignment="1">
      <alignment horizontal="center" vertical="center" wrapText="1"/>
    </xf>
    <xf numFmtId="0" fontId="50" fillId="24" borderId="20" xfId="0" applyFont="1" applyFill="1" applyBorder="1" applyAlignment="1">
      <alignment horizontal="left" vertical="center" wrapText="1"/>
    </xf>
    <xf numFmtId="164" fontId="50" fillId="2" borderId="0" xfId="0" applyNumberFormat="1" applyFont="1" applyFill="1" applyAlignment="1">
      <alignment horizontal="center" vertical="center" wrapText="1"/>
    </xf>
    <xf numFmtId="0" fontId="50" fillId="2" borderId="0" xfId="0" applyFont="1" applyFill="1" applyAlignment="1">
      <alignment horizontal="left" vertical="center" wrapText="1"/>
    </xf>
    <xf numFmtId="0" fontId="50" fillId="2" borderId="22" xfId="0" applyFont="1" applyFill="1" applyBorder="1" applyAlignment="1">
      <alignment horizontal="center" vertical="center" wrapText="1"/>
    </xf>
    <xf numFmtId="0" fontId="50" fillId="2" borderId="22" xfId="0" applyFont="1" applyFill="1" applyBorder="1" applyAlignment="1">
      <alignment vertical="center"/>
    </xf>
    <xf numFmtId="0" fontId="50" fillId="0" borderId="2" xfId="0" applyFont="1" applyBorder="1" applyAlignment="1">
      <alignment horizontal="center" vertical="center" wrapText="1"/>
    </xf>
    <xf numFmtId="0" fontId="50" fillId="0" borderId="2" xfId="0" applyFont="1" applyBorder="1" applyAlignment="1">
      <alignment horizontal="left" vertical="center" wrapText="1"/>
    </xf>
    <xf numFmtId="0" fontId="42" fillId="8" borderId="0" xfId="0" applyFont="1" applyFill="1" applyAlignment="1">
      <alignment horizontal="center" vertical="center"/>
    </xf>
    <xf numFmtId="0" fontId="50" fillId="2" borderId="11" xfId="0" applyFont="1" applyFill="1" applyBorder="1" applyAlignment="1">
      <alignment horizontal="center" vertical="center" wrapText="1"/>
    </xf>
    <xf numFmtId="0" fontId="50" fillId="2" borderId="11" xfId="0" applyFont="1" applyFill="1" applyBorder="1" applyAlignment="1">
      <alignment horizontal="left" vertical="center" wrapText="1"/>
    </xf>
    <xf numFmtId="0" fontId="50" fillId="2" borderId="22" xfId="0" applyFont="1" applyFill="1" applyBorder="1" applyAlignment="1">
      <alignment horizontal="left" vertical="center"/>
    </xf>
    <xf numFmtId="0" fontId="50" fillId="2" borderId="11" xfId="0" applyFont="1" applyFill="1" applyBorder="1" applyAlignment="1">
      <alignment horizontal="left" vertical="center"/>
    </xf>
    <xf numFmtId="0" fontId="50" fillId="26" borderId="0" xfId="0" applyFont="1" applyFill="1" applyAlignment="1">
      <alignment horizontal="left" vertical="center" wrapText="1"/>
    </xf>
    <xf numFmtId="167" fontId="50" fillId="26" borderId="0" xfId="0" applyNumberFormat="1" applyFont="1" applyFill="1" applyAlignment="1">
      <alignment horizontal="right" vertical="center"/>
    </xf>
    <xf numFmtId="165" fontId="50" fillId="26" borderId="0" xfId="0" applyNumberFormat="1" applyFont="1" applyFill="1" applyAlignment="1">
      <alignment horizontal="right" vertical="center"/>
    </xf>
    <xf numFmtId="0" fontId="50" fillId="26" borderId="0" xfId="0" applyFont="1" applyFill="1" applyAlignment="1">
      <alignment horizontal="center" vertical="center" wrapText="1"/>
    </xf>
    <xf numFmtId="164" fontId="50" fillId="27" borderId="14" xfId="0" applyNumberFormat="1" applyFont="1" applyFill="1" applyBorder="1" applyAlignment="1">
      <alignment horizontal="center" vertical="center"/>
    </xf>
    <xf numFmtId="0" fontId="50" fillId="27" borderId="23" xfId="0" applyFont="1" applyFill="1" applyBorder="1" applyAlignment="1">
      <alignment horizontal="center" vertical="center" wrapText="1"/>
    </xf>
    <xf numFmtId="0" fontId="50" fillId="27" borderId="23" xfId="0" applyFont="1" applyFill="1" applyBorder="1" applyAlignment="1">
      <alignment horizontal="left" vertical="center" wrapText="1"/>
    </xf>
    <xf numFmtId="167" fontId="50" fillId="27" borderId="23" xfId="0" applyNumberFormat="1" applyFont="1" applyFill="1" applyBorder="1" applyAlignment="1">
      <alignment horizontal="right" vertical="center"/>
    </xf>
    <xf numFmtId="165" fontId="50" fillId="27" borderId="23" xfId="0" applyNumberFormat="1" applyFont="1" applyFill="1" applyBorder="1" applyAlignment="1">
      <alignment horizontal="right" vertical="center"/>
    </xf>
    <xf numFmtId="9" fontId="60" fillId="27" borderId="23" xfId="0" applyNumberFormat="1" applyFont="1" applyFill="1" applyBorder="1" applyAlignment="1">
      <alignment horizontal="center" vertical="center"/>
    </xf>
    <xf numFmtId="165" fontId="50" fillId="27" borderId="24" xfId="0" applyNumberFormat="1" applyFont="1" applyFill="1" applyBorder="1" applyAlignment="1">
      <alignment horizontal="right" vertical="center"/>
    </xf>
    <xf numFmtId="164" fontId="50" fillId="28" borderId="0" xfId="0" applyNumberFormat="1" applyFont="1" applyFill="1" applyAlignment="1">
      <alignment horizontal="center" vertical="center"/>
    </xf>
    <xf numFmtId="0" fontId="50" fillId="28" borderId="0" xfId="0" applyFont="1" applyFill="1" applyAlignment="1">
      <alignment horizontal="center" vertical="center"/>
    </xf>
    <xf numFmtId="164" fontId="50" fillId="28" borderId="20" xfId="0" applyNumberFormat="1" applyFont="1" applyFill="1" applyBorder="1" applyAlignment="1">
      <alignment horizontal="center" vertical="center"/>
    </xf>
    <xf numFmtId="0" fontId="50" fillId="0" borderId="0" xfId="0" applyFont="1" applyAlignment="1">
      <alignment horizontal="left" vertical="center"/>
    </xf>
    <xf numFmtId="164" fontId="50" fillId="0" borderId="0" xfId="0" applyNumberFormat="1" applyFont="1" applyAlignment="1">
      <alignment horizontal="left" vertical="center"/>
    </xf>
    <xf numFmtId="166" fontId="57" fillId="9" borderId="21" xfId="0" applyNumberFormat="1" applyFont="1" applyFill="1" applyBorder="1" applyAlignment="1">
      <alignment horizontal="center" vertical="center" wrapText="1"/>
    </xf>
    <xf numFmtId="0" fontId="61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50" fillId="29" borderId="0" xfId="0" applyFont="1" applyFill="1" applyAlignment="1">
      <alignment horizontal="left" vertical="center" wrapText="1"/>
    </xf>
    <xf numFmtId="172" fontId="50" fillId="28" borderId="0" xfId="0" applyNumberFormat="1" applyFont="1" applyFill="1" applyAlignment="1">
      <alignment horizontal="center" vertical="center" wrapText="1"/>
    </xf>
    <xf numFmtId="172" fontId="50" fillId="28" borderId="0" xfId="0" applyNumberFormat="1" applyFont="1" applyFill="1" applyAlignment="1">
      <alignment horizontal="center" vertical="center"/>
    </xf>
    <xf numFmtId="0" fontId="61" fillId="2" borderId="2" xfId="0" applyFont="1" applyFill="1" applyBorder="1" applyAlignment="1">
      <alignment horizontal="left" vertical="center" wrapText="1"/>
    </xf>
    <xf numFmtId="0" fontId="64" fillId="2" borderId="0" xfId="0" applyFont="1" applyFill="1" applyAlignment="1">
      <alignment horizontal="left" vertical="center"/>
    </xf>
    <xf numFmtId="164" fontId="50" fillId="2" borderId="2" xfId="0" applyNumberFormat="1" applyFont="1" applyFill="1" applyBorder="1" applyAlignment="1">
      <alignment horizontal="center" vertical="center" wrapText="1"/>
    </xf>
    <xf numFmtId="0" fontId="64" fillId="2" borderId="2" xfId="0" applyFont="1" applyFill="1" applyBorder="1" applyAlignment="1">
      <alignment horizontal="left" vertical="center"/>
    </xf>
    <xf numFmtId="0" fontId="57" fillId="27" borderId="23" xfId="0" applyFont="1" applyFill="1" applyBorder="1" applyAlignment="1">
      <alignment horizontal="center" vertical="center" wrapText="1"/>
    </xf>
    <xf numFmtId="0" fontId="57" fillId="27" borderId="23" xfId="0" applyFont="1" applyFill="1" applyBorder="1" applyAlignment="1">
      <alignment horizontal="left" vertical="center" wrapText="1"/>
    </xf>
    <xf numFmtId="9" fontId="50" fillId="20" borderId="23" xfId="0" applyNumberFormat="1" applyFont="1" applyFill="1" applyBorder="1" applyAlignment="1">
      <alignment horizontal="right" vertical="center"/>
    </xf>
    <xf numFmtId="0" fontId="50" fillId="27" borderId="23" xfId="0" applyFont="1" applyFill="1" applyBorder="1"/>
    <xf numFmtId="164" fontId="50" fillId="0" borderId="0" xfId="0" applyNumberFormat="1" applyFont="1" applyAlignment="1">
      <alignment horizontal="center" vertical="center"/>
    </xf>
    <xf numFmtId="164" fontId="50" fillId="18" borderId="0" xfId="0" applyNumberFormat="1" applyFont="1" applyFill="1" applyAlignment="1">
      <alignment horizontal="center" vertical="center"/>
    </xf>
    <xf numFmtId="0" fontId="50" fillId="0" borderId="0" xfId="0" applyFont="1" applyAlignment="1">
      <alignment horizontal="center" vertical="center"/>
    </xf>
    <xf numFmtId="173" fontId="50" fillId="15" borderId="2" xfId="0" applyNumberFormat="1" applyFont="1" applyFill="1" applyBorder="1" applyAlignment="1">
      <alignment horizontal="center" vertical="center" wrapText="1"/>
    </xf>
    <xf numFmtId="0" fontId="42" fillId="8" borderId="0" xfId="0" applyFont="1" applyFill="1" applyAlignment="1">
      <alignment vertical="center"/>
    </xf>
    <xf numFmtId="0" fontId="50" fillId="20" borderId="0" xfId="0" applyFont="1" applyFill="1" applyAlignment="1">
      <alignment horizontal="center" vertical="center"/>
    </xf>
    <xf numFmtId="164" fontId="50" fillId="20" borderId="0" xfId="0" applyNumberFormat="1" applyFont="1" applyFill="1" applyAlignment="1">
      <alignment horizontal="center" vertical="center"/>
    </xf>
    <xf numFmtId="0" fontId="57" fillId="27" borderId="14" xfId="0" applyFont="1" applyFill="1" applyBorder="1" applyAlignment="1">
      <alignment horizontal="center" vertical="center"/>
    </xf>
    <xf numFmtId="168" fontId="50" fillId="27" borderId="0" xfId="0" applyNumberFormat="1" applyFont="1" applyFill="1" applyAlignment="1">
      <alignment vertical="center"/>
    </xf>
    <xf numFmtId="168" fontId="50" fillId="20" borderId="0" xfId="0" applyNumberFormat="1" applyFont="1" applyFill="1" applyAlignment="1">
      <alignment horizontal="right" vertical="center"/>
    </xf>
    <xf numFmtId="0" fontId="58" fillId="27" borderId="23" xfId="0" applyFont="1" applyFill="1" applyBorder="1" applyAlignment="1">
      <alignment horizontal="right" vertical="center" wrapText="1"/>
    </xf>
    <xf numFmtId="169" fontId="50" fillId="29" borderId="23" xfId="0" applyNumberFormat="1" applyFont="1" applyFill="1" applyBorder="1" applyAlignment="1">
      <alignment horizontal="center" vertical="center"/>
    </xf>
    <xf numFmtId="174" fontId="50" fillId="29" borderId="23" xfId="0" applyNumberFormat="1" applyFont="1" applyFill="1" applyBorder="1" applyAlignment="1">
      <alignment horizontal="center" vertical="center"/>
    </xf>
    <xf numFmtId="0" fontId="50" fillId="29" borderId="0" xfId="0" applyFont="1" applyFill="1"/>
    <xf numFmtId="164" fontId="65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left" vertical="center" wrapText="1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 wrapText="1"/>
    </xf>
    <xf numFmtId="0" fontId="42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64" fillId="0" borderId="0" xfId="0" applyFont="1" applyAlignment="1">
      <alignment horizontal="left" vertical="center"/>
    </xf>
    <xf numFmtId="164" fontId="50" fillId="2" borderId="9" xfId="0" applyNumberFormat="1" applyFont="1" applyFill="1" applyBorder="1" applyAlignment="1">
      <alignment horizontal="center" vertical="center" wrapText="1"/>
    </xf>
    <xf numFmtId="164" fontId="42" fillId="8" borderId="0" xfId="0" applyNumberFormat="1" applyFont="1" applyFill="1" applyAlignment="1">
      <alignment horizontal="center" vertical="center"/>
    </xf>
    <xf numFmtId="0" fontId="50" fillId="2" borderId="0" xfId="0" applyFont="1" applyFill="1" applyAlignment="1">
      <alignment horizontal="center" vertical="center" wrapText="1"/>
    </xf>
    <xf numFmtId="0" fontId="42" fillId="8" borderId="0" xfId="0" applyFont="1" applyFill="1" applyAlignment="1">
      <alignment horizontal="left" vertical="center"/>
    </xf>
    <xf numFmtId="165" fontId="41" fillId="0" borderId="0" xfId="0" applyNumberFormat="1" applyFont="1" applyAlignment="1">
      <alignment vertical="center"/>
    </xf>
    <xf numFmtId="172" fontId="65" fillId="0" borderId="0" xfId="0" applyNumberFormat="1" applyFont="1" applyAlignment="1">
      <alignment horizontal="center" vertical="center"/>
    </xf>
    <xf numFmtId="0" fontId="58" fillId="14" borderId="23" xfId="0" applyFont="1" applyFill="1" applyBorder="1" applyAlignment="1">
      <alignment horizontal="right" vertical="center" wrapText="1"/>
    </xf>
    <xf numFmtId="168" fontId="50" fillId="29" borderId="0" xfId="0" applyNumberFormat="1" applyFont="1" applyFill="1" applyAlignment="1">
      <alignment vertical="center"/>
    </xf>
    <xf numFmtId="182" fontId="5" fillId="0" borderId="0" xfId="0" applyNumberFormat="1" applyFont="1" applyAlignment="1">
      <alignment vertical="center"/>
    </xf>
    <xf numFmtId="182" fontId="67" fillId="0" borderId="0" xfId="0" applyNumberFormat="1" applyFont="1" applyAlignment="1">
      <alignment vertical="center"/>
    </xf>
    <xf numFmtId="0" fontId="67" fillId="0" borderId="0" xfId="0" applyFont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5" fillId="0" borderId="118" xfId="0" applyFont="1" applyBorder="1" applyAlignment="1">
      <alignment horizontal="center" vertical="center"/>
    </xf>
    <xf numFmtId="182" fontId="5" fillId="0" borderId="118" xfId="0" applyNumberFormat="1" applyFont="1" applyBorder="1" applyAlignment="1">
      <alignment vertical="center"/>
    </xf>
    <xf numFmtId="0" fontId="16" fillId="0" borderId="121" xfId="0" applyFont="1" applyBorder="1" applyAlignment="1">
      <alignment horizontal="center" vertical="center"/>
    </xf>
    <xf numFmtId="0" fontId="16" fillId="0" borderId="118" xfId="0" applyFont="1" applyBorder="1" applyAlignment="1">
      <alignment horizontal="center" vertical="center"/>
    </xf>
    <xf numFmtId="0" fontId="5" fillId="0" borderId="122" xfId="0" applyFont="1" applyBorder="1" applyAlignment="1">
      <alignment horizontal="center" vertical="center"/>
    </xf>
    <xf numFmtId="182" fontId="5" fillId="0" borderId="122" xfId="0" applyNumberFormat="1" applyFont="1" applyBorder="1" applyAlignment="1">
      <alignment vertical="center"/>
    </xf>
    <xf numFmtId="0" fontId="16" fillId="0" borderId="123" xfId="0" applyFont="1" applyBorder="1" applyAlignment="1">
      <alignment horizontal="center" vertical="center"/>
    </xf>
    <xf numFmtId="0" fontId="16" fillId="0" borderId="124" xfId="0" applyFont="1" applyBorder="1" applyAlignment="1">
      <alignment horizontal="center" vertical="center"/>
    </xf>
    <xf numFmtId="0" fontId="16" fillId="0" borderId="122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182" fontId="5" fillId="0" borderId="26" xfId="0" applyNumberFormat="1" applyFont="1" applyBorder="1" applyAlignment="1">
      <alignment vertical="center"/>
    </xf>
    <xf numFmtId="0" fontId="16" fillId="0" borderId="26" xfId="0" applyFont="1" applyBorder="1" applyAlignment="1">
      <alignment horizontal="center" vertical="center"/>
    </xf>
    <xf numFmtId="0" fontId="16" fillId="0" borderId="125" xfId="0" applyFont="1" applyBorder="1" applyAlignment="1">
      <alignment horizontal="center" vertical="center"/>
    </xf>
    <xf numFmtId="164" fontId="5" fillId="0" borderId="122" xfId="0" applyNumberFormat="1" applyFont="1" applyBorder="1" applyAlignment="1">
      <alignment vertical="center"/>
    </xf>
    <xf numFmtId="0" fontId="5" fillId="0" borderId="124" xfId="0" applyFont="1" applyBorder="1" applyAlignment="1">
      <alignment horizontal="center" vertical="center"/>
    </xf>
    <xf numFmtId="182" fontId="5" fillId="53" borderId="122" xfId="0" applyNumberFormat="1" applyFont="1" applyFill="1" applyBorder="1" applyAlignment="1">
      <alignment vertical="center"/>
    </xf>
    <xf numFmtId="182" fontId="5" fillId="53" borderId="0" xfId="0" applyNumberFormat="1" applyFont="1" applyFill="1" applyAlignment="1">
      <alignment vertical="center"/>
    </xf>
    <xf numFmtId="0" fontId="16" fillId="0" borderId="126" xfId="0" applyFont="1" applyBorder="1" applyAlignment="1">
      <alignment horizontal="center" vertical="center"/>
    </xf>
    <xf numFmtId="0" fontId="16" fillId="0" borderId="122" xfId="0" applyFont="1" applyBorder="1" applyAlignment="1">
      <alignment vertical="center"/>
    </xf>
    <xf numFmtId="0" fontId="68" fillId="0" borderId="118" xfId="0" applyFont="1" applyBorder="1" applyAlignment="1">
      <alignment vertical="center"/>
    </xf>
    <xf numFmtId="0" fontId="46" fillId="0" borderId="122" xfId="0" applyFont="1" applyBorder="1"/>
    <xf numFmtId="167" fontId="41" fillId="0" borderId="118" xfId="0" applyNumberFormat="1" applyFont="1" applyBorder="1" applyAlignment="1">
      <alignment horizontal="center" vertical="center"/>
    </xf>
    <xf numFmtId="170" fontId="41" fillId="0" borderId="113" xfId="0" applyNumberFormat="1" applyFont="1" applyBorder="1" applyAlignment="1">
      <alignment horizontal="right" vertical="center"/>
    </xf>
    <xf numFmtId="183" fontId="48" fillId="52" borderId="26" xfId="0" applyNumberFormat="1" applyFont="1" applyFill="1" applyBorder="1" applyAlignment="1">
      <alignment horizontal="center" vertical="center"/>
    </xf>
    <xf numFmtId="167" fontId="48" fillId="52" borderId="26" xfId="0" applyNumberFormat="1" applyFont="1" applyFill="1" applyBorder="1" applyAlignment="1">
      <alignment horizontal="right" vertical="center"/>
    </xf>
    <xf numFmtId="183" fontId="48" fillId="52" borderId="26" xfId="0" applyNumberFormat="1" applyFont="1" applyFill="1" applyBorder="1" applyAlignment="1">
      <alignment horizontal="right" vertical="center"/>
    </xf>
    <xf numFmtId="184" fontId="0" fillId="0" borderId="0" xfId="0" applyNumberFormat="1" applyAlignment="1">
      <alignment vertical="center"/>
    </xf>
    <xf numFmtId="183" fontId="0" fillId="0" borderId="0" xfId="0" applyNumberFormat="1" applyAlignment="1">
      <alignment vertical="center"/>
    </xf>
    <xf numFmtId="0" fontId="48" fillId="52" borderId="128" xfId="0" applyFont="1" applyFill="1" applyBorder="1" applyAlignment="1">
      <alignment horizontal="left" vertical="center" indent="1"/>
    </xf>
    <xf numFmtId="167" fontId="48" fillId="52" borderId="129" xfId="0" applyNumberFormat="1" applyFont="1" applyFill="1" applyBorder="1" applyAlignment="1">
      <alignment horizontal="center" vertical="center"/>
    </xf>
    <xf numFmtId="183" fontId="48" fillId="52" borderId="130" xfId="0" applyNumberFormat="1" applyFont="1" applyFill="1" applyBorder="1" applyAlignment="1">
      <alignment horizontal="center" vertical="center"/>
    </xf>
    <xf numFmtId="185" fontId="0" fillId="54" borderId="127" xfId="0" applyNumberFormat="1" applyFill="1" applyBorder="1" applyAlignment="1">
      <alignment horizontal="center" vertical="center"/>
    </xf>
    <xf numFmtId="183" fontId="0" fillId="55" borderId="127" xfId="0" applyNumberFormat="1" applyFill="1" applyBorder="1" applyAlignment="1">
      <alignment horizontal="center" vertical="center"/>
    </xf>
    <xf numFmtId="167" fontId="41" fillId="0" borderId="26" xfId="0" applyNumberFormat="1" applyFont="1" applyBorder="1" applyAlignment="1">
      <alignment horizontal="right" vertical="center"/>
    </xf>
    <xf numFmtId="170" fontId="41" fillId="0" borderId="26" xfId="0" applyNumberFormat="1" applyFont="1" applyBorder="1" applyAlignment="1">
      <alignment horizontal="right" vertical="center"/>
    </xf>
    <xf numFmtId="0" fontId="41" fillId="0" borderId="131" xfId="0" applyFont="1" applyBorder="1" applyAlignment="1">
      <alignment horizontal="left" vertical="center" indent="1"/>
    </xf>
    <xf numFmtId="0" fontId="41" fillId="0" borderId="133" xfId="0" applyFont="1" applyBorder="1" applyAlignment="1">
      <alignment horizontal="left" vertical="center" indent="1"/>
    </xf>
    <xf numFmtId="0" fontId="41" fillId="0" borderId="132" xfId="0" applyFont="1" applyBorder="1" applyAlignment="1">
      <alignment horizontal="left" vertical="center" indent="1"/>
    </xf>
    <xf numFmtId="170" fontId="41" fillId="0" borderId="86" xfId="0" applyNumberFormat="1" applyFont="1" applyBorder="1" applyAlignment="1">
      <alignment horizontal="center" vertical="center"/>
    </xf>
    <xf numFmtId="184" fontId="41" fillId="0" borderId="26" xfId="0" applyNumberFormat="1" applyFont="1" applyBorder="1" applyAlignment="1">
      <alignment vertical="center"/>
    </xf>
    <xf numFmtId="184" fontId="43" fillId="0" borderId="26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1" fillId="0" borderId="134" xfId="0" applyFont="1" applyBorder="1" applyAlignment="1">
      <alignment horizontal="left" vertical="center"/>
    </xf>
    <xf numFmtId="0" fontId="41" fillId="56" borderId="88" xfId="0" applyFont="1" applyFill="1" applyBorder="1" applyAlignment="1">
      <alignment horizontal="left" vertical="center" indent="1"/>
    </xf>
    <xf numFmtId="0" fontId="41" fillId="56" borderId="89" xfId="0" applyFont="1" applyFill="1" applyBorder="1" applyAlignment="1">
      <alignment vertical="center"/>
    </xf>
    <xf numFmtId="167" fontId="41" fillId="56" borderId="89" xfId="0" applyNumberFormat="1" applyFont="1" applyFill="1" applyBorder="1" applyAlignment="1">
      <alignment horizontal="right" vertical="center"/>
    </xf>
    <xf numFmtId="170" fontId="41" fillId="56" borderId="89" xfId="0" applyNumberFormat="1" applyFont="1" applyFill="1" applyBorder="1" applyAlignment="1">
      <alignment horizontal="right" vertical="center"/>
    </xf>
    <xf numFmtId="181" fontId="41" fillId="56" borderId="89" xfId="0" applyNumberFormat="1" applyFont="1" applyFill="1" applyBorder="1" applyAlignment="1">
      <alignment vertical="center"/>
    </xf>
    <xf numFmtId="0" fontId="41" fillId="56" borderId="90" xfId="0" applyFont="1" applyFill="1" applyBorder="1" applyAlignment="1">
      <alignment horizontal="left" vertical="center"/>
    </xf>
    <xf numFmtId="181" fontId="41" fillId="56" borderId="89" xfId="0" applyNumberFormat="1" applyFont="1" applyFill="1" applyBorder="1" applyAlignment="1">
      <alignment horizontal="center" vertical="center"/>
    </xf>
    <xf numFmtId="0" fontId="41" fillId="0" borderId="134" xfId="0" applyFont="1" applyBorder="1" applyAlignment="1">
      <alignment vertical="center"/>
    </xf>
    <xf numFmtId="167" fontId="41" fillId="0" borderId="89" xfId="0" applyNumberFormat="1" applyFont="1" applyBorder="1" applyAlignment="1">
      <alignment horizontal="center" vertical="center"/>
    </xf>
    <xf numFmtId="14" fontId="41" fillId="0" borderId="108" xfId="0" applyNumberFormat="1" applyFont="1" applyBorder="1" applyAlignment="1">
      <alignment horizontal="left" vertical="center" indent="1"/>
    </xf>
    <xf numFmtId="0" fontId="43" fillId="0" borderId="0" xfId="0" applyFont="1" applyAlignment="1">
      <alignment vertical="center"/>
    </xf>
    <xf numFmtId="0" fontId="40" fillId="0" borderId="0" xfId="0" applyFont="1"/>
    <xf numFmtId="0" fontId="69" fillId="0" borderId="122" xfId="0" applyFont="1" applyBorder="1" applyAlignment="1">
      <alignment horizontal="center" vertical="center"/>
    </xf>
    <xf numFmtId="0" fontId="16" fillId="0" borderId="135" xfId="0" applyFont="1" applyBorder="1" applyAlignment="1">
      <alignment horizontal="center" vertical="center"/>
    </xf>
    <xf numFmtId="0" fontId="16" fillId="0" borderId="118" xfId="0" applyFont="1" applyBorder="1" applyAlignment="1">
      <alignment vertical="center"/>
    </xf>
    <xf numFmtId="0" fontId="37" fillId="9" borderId="44" xfId="0" applyFont="1" applyFill="1" applyBorder="1" applyAlignment="1">
      <alignment horizontal="center" vertical="center" wrapText="1"/>
    </xf>
    <xf numFmtId="0" fontId="16" fillId="0" borderId="136" xfId="0" applyFont="1" applyBorder="1" applyAlignment="1">
      <alignment horizontal="center" vertical="center"/>
    </xf>
    <xf numFmtId="0" fontId="16" fillId="0" borderId="137" xfId="0" applyFont="1" applyBorder="1" applyAlignment="1">
      <alignment horizontal="center" vertical="center"/>
    </xf>
    <xf numFmtId="9" fontId="16" fillId="0" borderId="137" xfId="0" applyNumberFormat="1" applyFont="1" applyBorder="1" applyAlignment="1">
      <alignment horizontal="center" vertical="center"/>
    </xf>
    <xf numFmtId="9" fontId="16" fillId="0" borderId="138" xfId="0" applyNumberFormat="1" applyFont="1" applyBorder="1" applyAlignment="1">
      <alignment horizontal="center" vertical="center"/>
    </xf>
    <xf numFmtId="0" fontId="16" fillId="0" borderId="139" xfId="0" applyFont="1" applyBorder="1" applyAlignment="1">
      <alignment horizontal="center" vertical="center"/>
    </xf>
    <xf numFmtId="0" fontId="16" fillId="0" borderId="140" xfId="0" applyFont="1" applyBorder="1" applyAlignment="1">
      <alignment horizontal="center" vertical="center"/>
    </xf>
    <xf numFmtId="9" fontId="16" fillId="0" borderId="140" xfId="0" applyNumberFormat="1" applyFont="1" applyBorder="1" applyAlignment="1">
      <alignment horizontal="center" vertical="center"/>
    </xf>
    <xf numFmtId="9" fontId="16" fillId="0" borderId="141" xfId="0" applyNumberFormat="1" applyFont="1" applyBorder="1" applyAlignment="1">
      <alignment horizontal="center" vertical="center"/>
    </xf>
    <xf numFmtId="0" fontId="70" fillId="9" borderId="44" xfId="0" applyFont="1" applyFill="1" applyBorder="1" applyAlignment="1">
      <alignment horizontal="center" vertical="center" wrapText="1"/>
    </xf>
    <xf numFmtId="0" fontId="68" fillId="0" borderId="142" xfId="0" applyFont="1" applyBorder="1" applyAlignment="1">
      <alignment horizontal="center" vertical="center"/>
    </xf>
    <xf numFmtId="0" fontId="0" fillId="0" borderId="143" xfId="0" applyBorder="1" applyAlignment="1">
      <alignment horizontal="center" vertical="center"/>
    </xf>
    <xf numFmtId="9" fontId="16" fillId="0" borderId="143" xfId="0" applyNumberFormat="1" applyFont="1" applyBorder="1" applyAlignment="1">
      <alignment horizontal="center" vertical="center"/>
    </xf>
    <xf numFmtId="9" fontId="16" fillId="0" borderId="144" xfId="0" applyNumberFormat="1" applyFont="1" applyBorder="1" applyAlignment="1">
      <alignment horizontal="center" vertical="center"/>
    </xf>
    <xf numFmtId="0" fontId="68" fillId="0" borderId="145" xfId="0" applyFont="1" applyBorder="1" applyAlignment="1">
      <alignment horizontal="center" vertical="center"/>
    </xf>
    <xf numFmtId="0" fontId="0" fillId="0" borderId="146" xfId="0" applyBorder="1" applyAlignment="1">
      <alignment horizontal="center" vertical="center"/>
    </xf>
    <xf numFmtId="9" fontId="16" fillId="0" borderId="146" xfId="0" applyNumberFormat="1" applyFont="1" applyBorder="1" applyAlignment="1">
      <alignment horizontal="center" vertical="center"/>
    </xf>
    <xf numFmtId="9" fontId="16" fillId="0" borderId="147" xfId="0" applyNumberFormat="1" applyFont="1" applyBorder="1" applyAlignment="1">
      <alignment horizontal="center" vertical="center"/>
    </xf>
    <xf numFmtId="0" fontId="69" fillId="3" borderId="91" xfId="0" applyFont="1" applyFill="1" applyBorder="1" applyAlignment="1">
      <alignment horizontal="center" vertical="center"/>
    </xf>
    <xf numFmtId="0" fontId="69" fillId="3" borderId="21" xfId="0" applyFont="1" applyFill="1" applyBorder="1" applyAlignment="1">
      <alignment horizontal="center" vertical="center"/>
    </xf>
    <xf numFmtId="0" fontId="69" fillId="3" borderId="92" xfId="0" applyFont="1" applyFill="1" applyBorder="1" applyAlignment="1">
      <alignment horizontal="center" vertical="center" wrapText="1"/>
    </xf>
    <xf numFmtId="0" fontId="69" fillId="3" borderId="93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48" xfId="0" applyFont="1" applyBorder="1" applyAlignment="1">
      <alignment horizontal="left" vertical="center" indent="1"/>
    </xf>
    <xf numFmtId="0" fontId="5" fillId="0" borderId="118" xfId="0" applyFont="1" applyBorder="1" applyAlignment="1">
      <alignment horizontal="left" vertical="center" indent="1"/>
    </xf>
    <xf numFmtId="0" fontId="5" fillId="0" borderId="26" xfId="0" applyFont="1" applyBorder="1" applyAlignment="1">
      <alignment horizontal="left" vertical="center" indent="1"/>
    </xf>
    <xf numFmtId="0" fontId="5" fillId="0" borderId="122" xfId="0" applyFont="1" applyBorder="1" applyAlignment="1">
      <alignment horizontal="left" vertical="center" indent="1"/>
    </xf>
    <xf numFmtId="0" fontId="67" fillId="0" borderId="0" xfId="0" applyFont="1" applyAlignment="1">
      <alignment horizontal="left" vertical="center" indent="1"/>
    </xf>
    <xf numFmtId="0" fontId="16" fillId="15" borderId="47" xfId="0" applyFont="1" applyFill="1" applyBorder="1" applyAlignment="1">
      <alignment vertical="center"/>
    </xf>
    <xf numFmtId="0" fontId="47" fillId="0" borderId="118" xfId="0" applyFont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5" fillId="0" borderId="125" xfId="0" applyFont="1" applyBorder="1" applyAlignment="1">
      <alignment horizontal="center" vertical="center"/>
    </xf>
    <xf numFmtId="0" fontId="43" fillId="0" borderId="0" xfId="0" applyFont="1" applyAlignment="1">
      <alignment horizontal="right" vertical="center" indent="1"/>
    </xf>
    <xf numFmtId="0" fontId="0" fillId="0" borderId="0" xfId="0" applyAlignment="1">
      <alignment horizontal="right" vertical="center" indent="1"/>
    </xf>
    <xf numFmtId="185" fontId="0" fillId="0" borderId="0" xfId="0" applyNumberFormat="1" applyAlignment="1">
      <alignment vertical="center"/>
    </xf>
    <xf numFmtId="0" fontId="50" fillId="24" borderId="26" xfId="2" applyFont="1" applyFill="1" applyAlignment="1">
      <alignment horizontal="left" vertical="center" wrapText="1"/>
    </xf>
    <xf numFmtId="166" fontId="57" fillId="9" borderId="26" xfId="2" applyNumberFormat="1" applyFont="1" applyFill="1" applyAlignment="1">
      <alignment horizontal="center" vertical="center" wrapText="1"/>
    </xf>
    <xf numFmtId="0" fontId="50" fillId="24" borderId="150" xfId="2" applyFont="1" applyFill="1" applyBorder="1" applyAlignment="1">
      <alignment horizontal="left" vertical="center" wrapText="1"/>
    </xf>
    <xf numFmtId="0" fontId="50" fillId="24" borderId="134" xfId="2" applyFont="1" applyFill="1" applyBorder="1" applyAlignment="1">
      <alignment horizontal="left" vertical="center" wrapText="1"/>
    </xf>
    <xf numFmtId="0" fontId="50" fillId="24" borderId="134" xfId="2" applyFont="1" applyFill="1" applyBorder="1" applyAlignment="1">
      <alignment horizontal="right" vertical="center" wrapText="1"/>
    </xf>
    <xf numFmtId="186" fontId="50" fillId="0" borderId="26" xfId="2" applyNumberFormat="1" applyFont="1" applyAlignment="1">
      <alignment horizontal="center" vertical="center"/>
    </xf>
    <xf numFmtId="0" fontId="50" fillId="0" borderId="26" xfId="2" applyFont="1" applyAlignment="1">
      <alignment vertical="center"/>
    </xf>
    <xf numFmtId="0" fontId="50" fillId="0" borderId="26" xfId="2" applyFont="1" applyAlignment="1">
      <alignment horizontal="left" vertical="center" indent="1"/>
    </xf>
    <xf numFmtId="0" fontId="50" fillId="0" borderId="26" xfId="2" applyFont="1" applyAlignment="1">
      <alignment horizontal="center" vertical="center"/>
    </xf>
    <xf numFmtId="0" fontId="50" fillId="0" borderId="26" xfId="2" applyFont="1"/>
    <xf numFmtId="183" fontId="50" fillId="0" borderId="26" xfId="2" applyNumberFormat="1" applyFont="1" applyAlignment="1">
      <alignment vertical="center"/>
    </xf>
    <xf numFmtId="183" fontId="50" fillId="0" borderId="148" xfId="2" applyNumberFormat="1" applyFont="1" applyBorder="1"/>
    <xf numFmtId="0" fontId="50" fillId="0" borderId="149" xfId="2" applyFont="1" applyBorder="1" applyAlignment="1">
      <alignment horizontal="right" vertical="center"/>
    </xf>
    <xf numFmtId="183" fontId="50" fillId="0" borderId="150" xfId="2" applyNumberFormat="1" applyFont="1" applyBorder="1"/>
    <xf numFmtId="0" fontId="50" fillId="0" borderId="134" xfId="2" applyFont="1" applyBorder="1" applyAlignment="1">
      <alignment horizontal="right" vertical="center"/>
    </xf>
    <xf numFmtId="185" fontId="50" fillId="0" borderId="26" xfId="2" applyNumberFormat="1" applyFont="1" applyAlignment="1">
      <alignment vertical="center"/>
    </xf>
    <xf numFmtId="0" fontId="50" fillId="0" borderId="150" xfId="2" applyFont="1" applyBorder="1"/>
    <xf numFmtId="183" fontId="50" fillId="55" borderId="26" xfId="2" applyNumberFormat="1" applyFont="1" applyFill="1" applyAlignment="1">
      <alignment vertical="center"/>
    </xf>
    <xf numFmtId="0" fontId="50" fillId="0" borderId="151" xfId="2" applyFont="1" applyBorder="1"/>
    <xf numFmtId="0" fontId="50" fillId="0" borderId="152" xfId="2" applyFont="1" applyBorder="1" applyAlignment="1">
      <alignment horizontal="right" vertical="center"/>
    </xf>
    <xf numFmtId="0" fontId="50" fillId="57" borderId="26" xfId="2" applyFont="1" applyFill="1" applyAlignment="1">
      <alignment vertical="center"/>
    </xf>
    <xf numFmtId="0" fontId="50" fillId="57" borderId="26" xfId="2" applyFont="1" applyFill="1" applyAlignment="1">
      <alignment horizontal="left" vertical="center" indent="1"/>
    </xf>
    <xf numFmtId="0" fontId="50" fillId="57" borderId="26" xfId="2" applyFont="1" applyFill="1"/>
    <xf numFmtId="0" fontId="50" fillId="57" borderId="26" xfId="2" applyFont="1" applyFill="1" applyAlignment="1">
      <alignment horizontal="right"/>
    </xf>
    <xf numFmtId="164" fontId="65" fillId="57" borderId="0" xfId="0" applyNumberFormat="1" applyFont="1" applyFill="1" applyAlignment="1">
      <alignment horizontal="center" vertical="center"/>
    </xf>
    <xf numFmtId="0" fontId="42" fillId="59" borderId="0" xfId="0" applyFont="1" applyFill="1" applyAlignment="1">
      <alignment vertical="center"/>
    </xf>
    <xf numFmtId="0" fontId="65" fillId="57" borderId="0" xfId="0" applyFont="1" applyFill="1" applyAlignment="1">
      <alignment horizontal="left" vertical="center"/>
    </xf>
    <xf numFmtId="167" fontId="50" fillId="57" borderId="0" xfId="0" applyNumberFormat="1" applyFont="1" applyFill="1" applyAlignment="1">
      <alignment horizontal="right" vertical="center"/>
    </xf>
    <xf numFmtId="165" fontId="50" fillId="57" borderId="0" xfId="0" applyNumberFormat="1" applyFont="1" applyFill="1" applyAlignment="1">
      <alignment horizontal="right" vertical="center"/>
    </xf>
    <xf numFmtId="0" fontId="50" fillId="58" borderId="26" xfId="2" applyFont="1" applyFill="1" applyAlignment="1">
      <alignment horizontal="center" vertical="center" wrapText="1"/>
    </xf>
    <xf numFmtId="186" fontId="50" fillId="0" borderId="118" xfId="2" applyNumberFormat="1" applyFont="1" applyBorder="1" applyAlignment="1">
      <alignment horizontal="center" vertical="center"/>
    </xf>
    <xf numFmtId="0" fontId="50" fillId="0" borderId="118" xfId="2" applyFont="1" applyBorder="1" applyAlignment="1">
      <alignment vertical="center"/>
    </xf>
    <xf numFmtId="0" fontId="50" fillId="0" borderId="118" xfId="2" applyFont="1" applyBorder="1" applyAlignment="1">
      <alignment horizontal="left" vertical="center" indent="1"/>
    </xf>
    <xf numFmtId="0" fontId="50" fillId="0" borderId="118" xfId="2" applyFont="1" applyBorder="1" applyAlignment="1">
      <alignment horizontal="center" vertical="center"/>
    </xf>
    <xf numFmtId="0" fontId="50" fillId="0" borderId="118" xfId="2" applyFont="1" applyBorder="1"/>
    <xf numFmtId="183" fontId="50" fillId="0" borderId="118" xfId="2" applyNumberFormat="1" applyFont="1" applyBorder="1" applyAlignment="1">
      <alignment vertical="center"/>
    </xf>
    <xf numFmtId="183" fontId="50" fillId="0" borderId="151" xfId="2" applyNumberFormat="1" applyFont="1" applyBorder="1"/>
    <xf numFmtId="168" fontId="41" fillId="0" borderId="118" xfId="0" applyNumberFormat="1" applyFont="1" applyBorder="1"/>
    <xf numFmtId="186" fontId="50" fillId="62" borderId="26" xfId="2" applyNumberFormat="1" applyFont="1" applyFill="1" applyAlignment="1">
      <alignment horizontal="center" vertical="center"/>
    </xf>
    <xf numFmtId="0" fontId="50" fillId="62" borderId="26" xfId="2" applyFont="1" applyFill="1" applyAlignment="1">
      <alignment vertical="center"/>
    </xf>
    <xf numFmtId="0" fontId="50" fillId="62" borderId="26" xfId="2" applyFont="1" applyFill="1" applyAlignment="1">
      <alignment horizontal="left" vertical="center" indent="1"/>
    </xf>
    <xf numFmtId="0" fontId="50" fillId="62" borderId="26" xfId="2" applyFont="1" applyFill="1" applyAlignment="1">
      <alignment horizontal="center" vertical="center"/>
    </xf>
    <xf numFmtId="0" fontId="50" fillId="62" borderId="26" xfId="2" applyFont="1" applyFill="1"/>
    <xf numFmtId="183" fontId="50" fillId="62" borderId="26" xfId="2" applyNumberFormat="1" applyFont="1" applyFill="1" applyAlignment="1">
      <alignment vertical="center"/>
    </xf>
    <xf numFmtId="183" fontId="50" fillId="62" borderId="150" xfId="2" applyNumberFormat="1" applyFont="1" applyFill="1" applyBorder="1"/>
    <xf numFmtId="0" fontId="50" fillId="62" borderId="134" xfId="2" applyFont="1" applyFill="1" applyBorder="1" applyAlignment="1">
      <alignment horizontal="right" vertical="center"/>
    </xf>
    <xf numFmtId="168" fontId="41" fillId="62" borderId="26" xfId="0" applyNumberFormat="1" applyFont="1" applyFill="1" applyBorder="1"/>
    <xf numFmtId="187" fontId="50" fillId="29" borderId="23" xfId="0" applyNumberFormat="1" applyFont="1" applyFill="1" applyBorder="1" applyAlignment="1">
      <alignment horizontal="center" vertical="center"/>
    </xf>
    <xf numFmtId="0" fontId="58" fillId="14" borderId="23" xfId="0" applyFont="1" applyFill="1" applyBorder="1" applyAlignment="1">
      <alignment horizontal="center" vertical="center" wrapText="1"/>
    </xf>
    <xf numFmtId="180" fontId="39" fillId="8" borderId="122" xfId="0" applyNumberFormat="1" applyFont="1" applyFill="1" applyBorder="1" applyAlignment="1">
      <alignment horizontal="left"/>
    </xf>
    <xf numFmtId="171" fontId="39" fillId="49" borderId="124" xfId="0" applyNumberFormat="1" applyFont="1" applyFill="1" applyBorder="1" applyAlignment="1">
      <alignment horizontal="right"/>
    </xf>
    <xf numFmtId="1" fontId="50" fillId="9" borderId="20" xfId="0" applyNumberFormat="1" applyFont="1" applyFill="1" applyBorder="1" applyAlignment="1">
      <alignment horizontal="center" vertical="center"/>
    </xf>
    <xf numFmtId="164" fontId="50" fillId="9" borderId="20" xfId="0" applyNumberFormat="1" applyFont="1" applyFill="1" applyBorder="1" applyAlignment="1">
      <alignment horizontal="left" vertical="center"/>
    </xf>
    <xf numFmtId="0" fontId="57" fillId="9" borderId="21" xfId="0" applyFont="1" applyFill="1" applyBorder="1" applyAlignment="1">
      <alignment horizontal="center" vertical="center" wrapText="1"/>
    </xf>
    <xf numFmtId="171" fontId="57" fillId="9" borderId="21" xfId="0" applyNumberFormat="1" applyFont="1" applyFill="1" applyBorder="1" applyAlignment="1">
      <alignment horizontal="center" vertical="center" wrapText="1"/>
    </xf>
    <xf numFmtId="167" fontId="50" fillId="9" borderId="20" xfId="0" applyNumberFormat="1" applyFont="1" applyFill="1" applyBorder="1" applyAlignment="1">
      <alignment horizontal="right" vertical="center"/>
    </xf>
    <xf numFmtId="9" fontId="57" fillId="9" borderId="20" xfId="0" applyNumberFormat="1" applyFont="1" applyFill="1" applyBorder="1" applyAlignment="1">
      <alignment horizontal="right" vertical="center"/>
    </xf>
    <xf numFmtId="165" fontId="50" fillId="9" borderId="32" xfId="0" applyNumberFormat="1" applyFont="1" applyFill="1" applyBorder="1" applyAlignment="1">
      <alignment horizontal="right" vertical="center"/>
    </xf>
    <xf numFmtId="0" fontId="50" fillId="9" borderId="33" xfId="0" applyFont="1" applyFill="1" applyBorder="1"/>
    <xf numFmtId="3" fontId="50" fillId="0" borderId="31" xfId="0" applyNumberFormat="1" applyFont="1" applyBorder="1" applyAlignment="1">
      <alignment horizontal="center" vertical="center"/>
    </xf>
    <xf numFmtId="0" fontId="50" fillId="2" borderId="2" xfId="0" applyFont="1" applyFill="1" applyBorder="1"/>
    <xf numFmtId="0" fontId="50" fillId="2" borderId="25" xfId="0" applyFont="1" applyFill="1" applyBorder="1" applyAlignment="1">
      <alignment horizontal="right"/>
    </xf>
    <xf numFmtId="169" fontId="50" fillId="0" borderId="34" xfId="0" applyNumberFormat="1" applyFont="1" applyBorder="1" applyAlignment="1">
      <alignment horizontal="right" vertical="center"/>
    </xf>
    <xf numFmtId="168" fontId="50" fillId="0" borderId="0" xfId="0" applyNumberFormat="1" applyFont="1" applyAlignment="1">
      <alignment horizontal="right" vertical="center" wrapText="1"/>
    </xf>
    <xf numFmtId="168" fontId="50" fillId="2" borderId="0" xfId="0" applyNumberFormat="1" applyFont="1" applyFill="1" applyAlignment="1">
      <alignment horizontal="right" vertical="center" wrapText="1"/>
    </xf>
    <xf numFmtId="169" fontId="50" fillId="31" borderId="0" xfId="0" applyNumberFormat="1" applyFont="1" applyFill="1"/>
    <xf numFmtId="168" fontId="50" fillId="31" borderId="0" xfId="0" applyNumberFormat="1" applyFont="1" applyFill="1"/>
    <xf numFmtId="168" fontId="50" fillId="0" borderId="36" xfId="0" applyNumberFormat="1" applyFont="1" applyBorder="1"/>
    <xf numFmtId="0" fontId="50" fillId="31" borderId="0" xfId="0" applyFont="1" applyFill="1"/>
    <xf numFmtId="0" fontId="50" fillId="31" borderId="0" xfId="0" applyFont="1" applyFill="1" applyAlignment="1">
      <alignment horizontal="right"/>
    </xf>
    <xf numFmtId="9" fontId="50" fillId="0" borderId="31" xfId="0" applyNumberFormat="1" applyFont="1" applyBorder="1" applyAlignment="1">
      <alignment horizontal="center" vertical="center"/>
    </xf>
    <xf numFmtId="168" fontId="50" fillId="0" borderId="36" xfId="0" applyNumberFormat="1" applyFont="1" applyBorder="1" applyAlignment="1">
      <alignment horizontal="right" vertical="center" wrapText="1"/>
    </xf>
    <xf numFmtId="9" fontId="50" fillId="0" borderId="0" xfId="0" applyNumberFormat="1" applyFont="1" applyAlignment="1">
      <alignment horizontal="center" vertical="center"/>
    </xf>
    <xf numFmtId="0" fontId="50" fillId="2" borderId="9" xfId="0" applyFont="1" applyFill="1" applyBorder="1"/>
    <xf numFmtId="169" fontId="50" fillId="0" borderId="37" xfId="0" applyNumberFormat="1" applyFont="1" applyBorder="1" applyAlignment="1">
      <alignment horizontal="right" vertical="center" wrapText="1"/>
    </xf>
    <xf numFmtId="169" fontId="50" fillId="0" borderId="0" xfId="0" applyNumberFormat="1" applyFont="1" applyAlignment="1">
      <alignment horizontal="right" vertical="center" wrapText="1"/>
    </xf>
    <xf numFmtId="169" fontId="50" fillId="2" borderId="0" xfId="0" applyNumberFormat="1" applyFont="1" applyFill="1" applyAlignment="1">
      <alignment horizontal="right" vertical="center" wrapText="1"/>
    </xf>
    <xf numFmtId="169" fontId="50" fillId="31" borderId="0" xfId="0" applyNumberFormat="1" applyFont="1" applyFill="1" applyAlignment="1">
      <alignment horizontal="right" vertical="center"/>
    </xf>
    <xf numFmtId="168" fontId="50" fillId="31" borderId="0" xfId="0" applyNumberFormat="1" applyFont="1" applyFill="1" applyAlignment="1">
      <alignment horizontal="right" vertical="center"/>
    </xf>
    <xf numFmtId="171" fontId="57" fillId="9" borderId="38" xfId="0" applyNumberFormat="1" applyFont="1" applyFill="1" applyBorder="1" applyAlignment="1">
      <alignment horizontal="center" vertical="center" wrapText="1"/>
    </xf>
    <xf numFmtId="169" fontId="50" fillId="9" borderId="39" xfId="0" applyNumberFormat="1" applyFont="1" applyFill="1" applyBorder="1" applyAlignment="1">
      <alignment horizontal="right" vertical="center"/>
    </xf>
    <xf numFmtId="169" fontId="50" fillId="9" borderId="32" xfId="0" applyNumberFormat="1" applyFont="1" applyFill="1" applyBorder="1" applyAlignment="1">
      <alignment horizontal="right" vertical="center"/>
    </xf>
    <xf numFmtId="169" fontId="50" fillId="9" borderId="33" xfId="0" applyNumberFormat="1" applyFont="1" applyFill="1" applyBorder="1"/>
    <xf numFmtId="0" fontId="50" fillId="2" borderId="9" xfId="0" applyFont="1" applyFill="1" applyBorder="1" applyAlignment="1">
      <alignment vertical="center"/>
    </xf>
    <xf numFmtId="169" fontId="50" fillId="9" borderId="0" xfId="0" applyNumberFormat="1" applyFont="1" applyFill="1" applyAlignment="1">
      <alignment horizontal="right" vertical="center"/>
    </xf>
    <xf numFmtId="0" fontId="50" fillId="2" borderId="2" xfId="0" applyFont="1" applyFill="1" applyBorder="1" applyAlignment="1">
      <alignment horizontal="right"/>
    </xf>
    <xf numFmtId="169" fontId="50" fillId="31" borderId="0" xfId="0" applyNumberFormat="1" applyFont="1" applyFill="1" applyAlignment="1">
      <alignment vertical="center"/>
    </xf>
    <xf numFmtId="168" fontId="50" fillId="31" borderId="0" xfId="0" applyNumberFormat="1" applyFont="1" applyFill="1" applyAlignment="1">
      <alignment vertical="center"/>
    </xf>
    <xf numFmtId="168" fontId="50" fillId="0" borderId="36" xfId="0" applyNumberFormat="1" applyFont="1" applyBorder="1" applyAlignment="1">
      <alignment vertical="center"/>
    </xf>
    <xf numFmtId="0" fontId="50" fillId="31" borderId="0" xfId="0" applyFont="1" applyFill="1" applyAlignment="1">
      <alignment vertical="center"/>
    </xf>
    <xf numFmtId="0" fontId="50" fillId="31" borderId="0" xfId="0" applyFont="1" applyFill="1" applyAlignment="1">
      <alignment horizontal="right" vertical="center"/>
    </xf>
    <xf numFmtId="172" fontId="71" fillId="2" borderId="25" xfId="0" applyNumberFormat="1" applyFont="1" applyFill="1" applyBorder="1" applyAlignment="1">
      <alignment horizontal="center" vertical="center" wrapText="1"/>
    </xf>
    <xf numFmtId="0" fontId="71" fillId="2" borderId="0" xfId="0" applyFont="1" applyFill="1" applyAlignment="1">
      <alignment horizontal="center" vertical="center" wrapText="1"/>
    </xf>
    <xf numFmtId="0" fontId="71" fillId="2" borderId="26" xfId="0" applyFont="1" applyFill="1" applyBorder="1" applyAlignment="1">
      <alignment horizontal="center" vertical="center" wrapText="1"/>
    </xf>
    <xf numFmtId="165" fontId="71" fillId="2" borderId="0" xfId="0" applyNumberFormat="1" applyFont="1" applyFill="1" applyAlignment="1">
      <alignment horizontal="center" vertical="center" wrapText="1"/>
    </xf>
    <xf numFmtId="0" fontId="71" fillId="2" borderId="0" xfId="0" applyFont="1" applyFill="1" applyAlignment="1">
      <alignment horizontal="center" vertical="center"/>
    </xf>
    <xf numFmtId="0" fontId="71" fillId="23" borderId="0" xfId="0" applyFont="1" applyFill="1" applyAlignment="1">
      <alignment horizontal="center" vertical="center" wrapText="1"/>
    </xf>
    <xf numFmtId="164" fontId="71" fillId="2" borderId="27" xfId="0" applyNumberFormat="1" applyFont="1" applyFill="1" applyBorder="1" applyAlignment="1">
      <alignment horizontal="left" vertical="center" wrapText="1"/>
    </xf>
    <xf numFmtId="165" fontId="50" fillId="6" borderId="0" xfId="0" applyNumberFormat="1" applyFont="1" applyFill="1" applyAlignment="1">
      <alignment horizontal="center" vertical="center" wrapText="1"/>
    </xf>
    <xf numFmtId="0" fontId="71" fillId="2" borderId="28" xfId="0" applyFont="1" applyFill="1" applyBorder="1" applyAlignment="1">
      <alignment horizontal="left" vertical="center" wrapText="1"/>
    </xf>
    <xf numFmtId="165" fontId="50" fillId="6" borderId="6" xfId="0" applyNumberFormat="1" applyFont="1" applyFill="1" applyBorder="1" applyAlignment="1">
      <alignment horizontal="right" vertical="center"/>
    </xf>
    <xf numFmtId="164" fontId="50" fillId="9" borderId="0" xfId="0" applyNumberFormat="1" applyFont="1" applyFill="1" applyAlignment="1">
      <alignment horizontal="left" vertical="center"/>
    </xf>
    <xf numFmtId="0" fontId="57" fillId="9" borderId="9" xfId="0" applyFont="1" applyFill="1" applyBorder="1" applyAlignment="1">
      <alignment horizontal="center" vertical="center" wrapText="1"/>
    </xf>
    <xf numFmtId="175" fontId="57" fillId="9" borderId="11" xfId="0" applyNumberFormat="1" applyFont="1" applyFill="1" applyBorder="1" applyAlignment="1">
      <alignment horizontal="center" vertical="center" wrapText="1"/>
    </xf>
    <xf numFmtId="167" fontId="50" fillId="9" borderId="0" xfId="0" applyNumberFormat="1" applyFont="1" applyFill="1" applyAlignment="1">
      <alignment horizontal="right" vertical="center"/>
    </xf>
    <xf numFmtId="165" fontId="50" fillId="9" borderId="0" xfId="0" applyNumberFormat="1" applyFont="1" applyFill="1" applyAlignment="1">
      <alignment horizontal="right" vertical="center"/>
    </xf>
    <xf numFmtId="165" fontId="50" fillId="9" borderId="29" xfId="0" applyNumberFormat="1" applyFont="1" applyFill="1" applyBorder="1" applyAlignment="1">
      <alignment horizontal="right" vertical="center"/>
    </xf>
    <xf numFmtId="165" fontId="50" fillId="9" borderId="30" xfId="0" applyNumberFormat="1" applyFont="1" applyFill="1" applyBorder="1" applyAlignment="1">
      <alignment horizontal="right" vertical="center"/>
    </xf>
    <xf numFmtId="0" fontId="65" fillId="0" borderId="0" xfId="0" applyFont="1"/>
    <xf numFmtId="0" fontId="50" fillId="0" borderId="31" xfId="0" applyFont="1" applyBorder="1" applyAlignment="1">
      <alignment horizontal="center" vertical="center"/>
    </xf>
    <xf numFmtId="165" fontId="50" fillId="0" borderId="29" xfId="0" applyNumberFormat="1" applyFont="1" applyBorder="1" applyAlignment="1">
      <alignment horizontal="right" vertical="center"/>
    </xf>
    <xf numFmtId="170" fontId="50" fillId="0" borderId="30" xfId="0" applyNumberFormat="1" applyFont="1" applyBorder="1"/>
    <xf numFmtId="176" fontId="50" fillId="0" borderId="31" xfId="0" applyNumberFormat="1" applyFont="1" applyBorder="1" applyAlignment="1">
      <alignment horizontal="center" vertical="center"/>
    </xf>
    <xf numFmtId="175" fontId="57" fillId="9" borderId="21" xfId="0" applyNumberFormat="1" applyFont="1" applyFill="1" applyBorder="1" applyAlignment="1">
      <alignment horizontal="center" vertical="center" wrapText="1"/>
    </xf>
    <xf numFmtId="169" fontId="50" fillId="9" borderId="20" xfId="0" applyNumberFormat="1" applyFont="1" applyFill="1" applyBorder="1" applyAlignment="1">
      <alignment horizontal="right" vertical="center"/>
    </xf>
    <xf numFmtId="169" fontId="50" fillId="9" borderId="26" xfId="0" applyNumberFormat="1" applyFont="1" applyFill="1" applyBorder="1" applyAlignment="1">
      <alignment horizontal="right" vertical="center"/>
    </xf>
    <xf numFmtId="169" fontId="50" fillId="9" borderId="26" xfId="0" applyNumberFormat="1" applyFont="1" applyFill="1" applyBorder="1"/>
    <xf numFmtId="9" fontId="50" fillId="0" borderId="0" xfId="0" applyNumberFormat="1" applyFont="1" applyAlignment="1">
      <alignment horizontal="right" vertical="center"/>
    </xf>
    <xf numFmtId="167" fontId="50" fillId="0" borderId="0" xfId="0" applyNumberFormat="1" applyFont="1" applyAlignment="1">
      <alignment horizontal="left" vertical="center"/>
    </xf>
    <xf numFmtId="169" fontId="50" fillId="0" borderId="153" xfId="0" applyNumberFormat="1" applyFont="1" applyBorder="1" applyAlignment="1">
      <alignment horizontal="right" vertical="center"/>
    </xf>
    <xf numFmtId="168" fontId="50" fillId="0" borderId="150" xfId="0" applyNumberFormat="1" applyFont="1" applyBorder="1" applyAlignment="1">
      <alignment vertical="center"/>
    </xf>
    <xf numFmtId="168" fontId="50" fillId="0" borderId="150" xfId="0" applyNumberFormat="1" applyFont="1" applyBorder="1" applyAlignment="1">
      <alignment horizontal="right" vertical="center" wrapText="1"/>
    </xf>
    <xf numFmtId="169" fontId="50" fillId="0" borderId="151" xfId="0" applyNumberFormat="1" applyFont="1" applyBorder="1" applyAlignment="1">
      <alignment horizontal="right" vertical="center" wrapText="1"/>
    </xf>
    <xf numFmtId="188" fontId="65" fillId="0" borderId="0" xfId="0" applyNumberFormat="1" applyFont="1" applyAlignment="1">
      <alignment vertical="center"/>
    </xf>
    <xf numFmtId="169" fontId="12" fillId="0" borderId="0" xfId="0" applyNumberFormat="1" applyFont="1" applyAlignment="1">
      <alignment horizontal="right" vertical="center"/>
    </xf>
    <xf numFmtId="167" fontId="7" fillId="0" borderId="29" xfId="0" applyNumberFormat="1" applyFont="1" applyBorder="1" applyAlignment="1">
      <alignment horizontal="right" vertical="center"/>
    </xf>
    <xf numFmtId="167" fontId="7" fillId="0" borderId="30" xfId="0" applyNumberFormat="1" applyFont="1" applyBorder="1" applyAlignment="1">
      <alignment horizontal="right" vertical="center"/>
    </xf>
    <xf numFmtId="165" fontId="7" fillId="0" borderId="29" xfId="0" applyNumberFormat="1" applyFont="1" applyBorder="1" applyAlignment="1">
      <alignment horizontal="right" vertical="center"/>
    </xf>
    <xf numFmtId="165" fontId="7" fillId="0" borderId="30" xfId="0" applyNumberFormat="1" applyFont="1" applyBorder="1" applyAlignment="1">
      <alignment horizontal="right" vertical="center"/>
    </xf>
    <xf numFmtId="165" fontId="7" fillId="0" borderId="43" xfId="0" applyNumberFormat="1" applyFont="1" applyBorder="1" applyAlignment="1">
      <alignment horizontal="right" vertical="center"/>
    </xf>
    <xf numFmtId="165" fontId="7" fillId="0" borderId="44" xfId="0" applyNumberFormat="1" applyFont="1" applyBorder="1" applyAlignment="1">
      <alignment horizontal="right" vertical="center"/>
    </xf>
    <xf numFmtId="169" fontId="7" fillId="0" borderId="20" xfId="0" applyNumberFormat="1" applyFont="1" applyBorder="1" applyAlignment="1">
      <alignment horizontal="right" vertical="center"/>
    </xf>
    <xf numFmtId="168" fontId="6" fillId="0" borderId="0" xfId="0" applyNumberFormat="1" applyFont="1" applyAlignment="1">
      <alignment horizontal="right" vertical="center"/>
    </xf>
    <xf numFmtId="169" fontId="50" fillId="9" borderId="38" xfId="0" applyNumberFormat="1" applyFont="1" applyFill="1" applyBorder="1" applyAlignment="1">
      <alignment horizontal="right" vertical="center"/>
    </xf>
    <xf numFmtId="168" fontId="50" fillId="0" borderId="154" xfId="0" applyNumberFormat="1" applyFont="1" applyBorder="1" applyAlignment="1">
      <alignment horizontal="right" vertical="center" wrapText="1"/>
    </xf>
    <xf numFmtId="168" fontId="50" fillId="0" borderId="26" xfId="0" applyNumberFormat="1" applyFont="1" applyBorder="1" applyAlignment="1">
      <alignment horizontal="right" vertical="center" wrapText="1"/>
    </xf>
    <xf numFmtId="168" fontId="50" fillId="0" borderId="26" xfId="0" applyNumberFormat="1" applyFont="1" applyBorder="1" applyAlignment="1">
      <alignment vertical="center"/>
    </xf>
    <xf numFmtId="169" fontId="50" fillId="0" borderId="118" xfId="0" applyNumberFormat="1" applyFont="1" applyBorder="1" applyAlignment="1">
      <alignment horizontal="right" vertical="center" wrapText="1"/>
    </xf>
    <xf numFmtId="168" fontId="50" fillId="0" borderId="45" xfId="0" applyNumberFormat="1" applyFont="1" applyBorder="1" applyAlignment="1">
      <alignment horizontal="right" vertical="center" wrapText="1"/>
    </xf>
    <xf numFmtId="169" fontId="50" fillId="0" borderId="6" xfId="0" applyNumberFormat="1" applyFont="1" applyBorder="1" applyAlignment="1">
      <alignment horizontal="right" vertical="center"/>
    </xf>
    <xf numFmtId="168" fontId="50" fillId="0" borderId="134" xfId="0" applyNumberFormat="1" applyFont="1" applyBorder="1" applyAlignment="1">
      <alignment horizontal="right" vertical="center" wrapText="1"/>
    </xf>
    <xf numFmtId="167" fontId="50" fillId="0" borderId="150" xfId="0" applyNumberFormat="1" applyFont="1" applyBorder="1" applyAlignment="1">
      <alignment horizontal="right" vertical="center"/>
    </xf>
    <xf numFmtId="167" fontId="50" fillId="0" borderId="134" xfId="0" applyNumberFormat="1" applyFont="1" applyBorder="1" applyAlignment="1">
      <alignment horizontal="right" vertical="center"/>
    </xf>
    <xf numFmtId="167" fontId="50" fillId="0" borderId="151" xfId="0" applyNumberFormat="1" applyFont="1" applyBorder="1" applyAlignment="1">
      <alignment horizontal="right" vertical="center"/>
    </xf>
    <xf numFmtId="167" fontId="50" fillId="0" borderId="152" xfId="0" applyNumberFormat="1" applyFont="1" applyBorder="1" applyAlignment="1">
      <alignment horizontal="right" vertical="center"/>
    </xf>
    <xf numFmtId="168" fontId="50" fillId="0" borderId="148" xfId="0" applyNumberFormat="1" applyFont="1" applyBorder="1" applyAlignment="1">
      <alignment horizontal="right" vertical="center" wrapText="1"/>
    </xf>
    <xf numFmtId="168" fontId="50" fillId="0" borderId="149" xfId="0" applyNumberFormat="1" applyFont="1" applyBorder="1" applyAlignment="1">
      <alignment horizontal="right" vertical="center" wrapText="1"/>
    </xf>
    <xf numFmtId="169" fontId="50" fillId="0" borderId="150" xfId="0" applyNumberFormat="1" applyFont="1" applyBorder="1" applyAlignment="1">
      <alignment horizontal="right" vertical="center"/>
    </xf>
    <xf numFmtId="169" fontId="50" fillId="0" borderId="134" xfId="0" applyNumberFormat="1" applyFont="1" applyBorder="1" applyAlignment="1">
      <alignment horizontal="right" vertical="center"/>
    </xf>
    <xf numFmtId="0" fontId="50" fillId="0" borderId="150" xfId="0" applyFont="1" applyBorder="1"/>
    <xf numFmtId="0" fontId="50" fillId="0" borderId="151" xfId="0" applyFont="1" applyBorder="1"/>
    <xf numFmtId="0" fontId="50" fillId="0" borderId="152" xfId="0" applyFont="1" applyBorder="1"/>
    <xf numFmtId="168" fontId="50" fillId="0" borderId="36" xfId="0" applyNumberFormat="1" applyFont="1" applyBorder="1" applyAlignment="1">
      <alignment vertical="center" wrapText="1"/>
    </xf>
    <xf numFmtId="169" fontId="50" fillId="0" borderId="37" xfId="0" applyNumberFormat="1" applyFont="1" applyBorder="1" applyAlignment="1">
      <alignment vertical="center" wrapText="1"/>
    </xf>
    <xf numFmtId="0" fontId="16" fillId="63" borderId="29" xfId="0" applyFont="1" applyFill="1" applyBorder="1" applyAlignment="1">
      <alignment horizontal="center" vertical="center"/>
    </xf>
    <xf numFmtId="0" fontId="50" fillId="0" borderId="26" xfId="0" applyFont="1" applyBorder="1"/>
    <xf numFmtId="167" fontId="50" fillId="9" borderId="38" xfId="0" applyNumberFormat="1" applyFont="1" applyFill="1" applyBorder="1" applyAlignment="1">
      <alignment horizontal="right" vertical="center"/>
    </xf>
    <xf numFmtId="0" fontId="69" fillId="0" borderId="0" xfId="0" applyFont="1" applyAlignment="1">
      <alignment horizontal="right"/>
    </xf>
    <xf numFmtId="0" fontId="47" fillId="0" borderId="0" xfId="0" applyFont="1" applyAlignment="1">
      <alignment horizontal="right"/>
    </xf>
    <xf numFmtId="169" fontId="16" fillId="0" borderId="96" xfId="0" applyNumberFormat="1" applyFont="1" applyBorder="1"/>
    <xf numFmtId="169" fontId="16" fillId="0" borderId="30" xfId="0" applyNumberFormat="1" applyFont="1" applyBorder="1"/>
    <xf numFmtId="0" fontId="16" fillId="0" borderId="51" xfId="0" applyFont="1" applyBorder="1"/>
    <xf numFmtId="169" fontId="21" fillId="0" borderId="26" xfId="0" applyNumberFormat="1" applyFont="1" applyBorder="1" applyAlignment="1">
      <alignment horizontal="right"/>
    </xf>
    <xf numFmtId="167" fontId="21" fillId="0" borderId="26" xfId="0" applyNumberFormat="1" applyFont="1" applyBorder="1"/>
    <xf numFmtId="167" fontId="21" fillId="2" borderId="26" xfId="0" applyNumberFormat="1" applyFont="1" applyFill="1" applyBorder="1"/>
    <xf numFmtId="0" fontId="21" fillId="0" borderId="26" xfId="0" applyFont="1" applyBorder="1"/>
    <xf numFmtId="169" fontId="21" fillId="0" borderId="158" xfId="0" applyNumberFormat="1" applyFont="1" applyBorder="1" applyAlignment="1">
      <alignment horizontal="right"/>
    </xf>
    <xf numFmtId="169" fontId="21" fillId="0" borderId="159" xfId="0" applyNumberFormat="1" applyFont="1" applyBorder="1" applyAlignment="1">
      <alignment horizontal="right"/>
    </xf>
    <xf numFmtId="169" fontId="21" fillId="2" borderId="159" xfId="0" applyNumberFormat="1" applyFont="1" applyFill="1" applyBorder="1" applyAlignment="1">
      <alignment horizontal="right"/>
    </xf>
    <xf numFmtId="0" fontId="21" fillId="0" borderId="160" xfId="0" applyFont="1" applyBorder="1"/>
    <xf numFmtId="169" fontId="21" fillId="0" borderId="161" xfId="0" applyNumberFormat="1" applyFont="1" applyBorder="1" applyAlignment="1">
      <alignment horizontal="right"/>
    </xf>
    <xf numFmtId="169" fontId="21" fillId="0" borderId="162" xfId="0" applyNumberFormat="1" applyFont="1" applyBorder="1" applyAlignment="1">
      <alignment horizontal="right"/>
    </xf>
    <xf numFmtId="169" fontId="21" fillId="2" borderId="162" xfId="0" applyNumberFormat="1" applyFont="1" applyFill="1" applyBorder="1" applyAlignment="1">
      <alignment horizontal="right"/>
    </xf>
    <xf numFmtId="0" fontId="21" fillId="0" borderId="163" xfId="0" applyFont="1" applyBorder="1"/>
    <xf numFmtId="0" fontId="5" fillId="63" borderId="0" xfId="0" applyFont="1" applyFill="1" applyAlignment="1">
      <alignment horizontal="center" vertical="center"/>
    </xf>
    <xf numFmtId="182" fontId="5" fillId="63" borderId="0" xfId="0" applyNumberFormat="1" applyFont="1" applyFill="1" applyAlignment="1">
      <alignment vertical="center"/>
    </xf>
    <xf numFmtId="0" fontId="5" fillId="63" borderId="48" xfId="0" applyFont="1" applyFill="1" applyBorder="1" applyAlignment="1">
      <alignment horizontal="center" vertical="center"/>
    </xf>
    <xf numFmtId="0" fontId="5" fillId="63" borderId="122" xfId="0" applyFont="1" applyFill="1" applyBorder="1" applyAlignment="1">
      <alignment horizontal="center" vertical="center"/>
    </xf>
    <xf numFmtId="182" fontId="5" fillId="63" borderId="122" xfId="0" applyNumberFormat="1" applyFont="1" applyFill="1" applyBorder="1" applyAlignment="1">
      <alignment vertical="center"/>
    </xf>
    <xf numFmtId="0" fontId="5" fillId="63" borderId="118" xfId="0" applyFont="1" applyFill="1" applyBorder="1" applyAlignment="1">
      <alignment horizontal="center" vertical="center"/>
    </xf>
    <xf numFmtId="182" fontId="5" fillId="63" borderId="118" xfId="0" applyNumberFormat="1" applyFont="1" applyFill="1" applyBorder="1" applyAlignment="1">
      <alignment vertical="center"/>
    </xf>
    <xf numFmtId="0" fontId="0" fillId="63" borderId="0" xfId="0" applyFill="1" applyAlignment="1">
      <alignment vertical="center"/>
    </xf>
    <xf numFmtId="182" fontId="16" fillId="64" borderId="0" xfId="0" applyNumberFormat="1" applyFont="1" applyFill="1" applyAlignment="1">
      <alignment vertical="center"/>
    </xf>
    <xf numFmtId="182" fontId="0" fillId="63" borderId="0" xfId="0" applyNumberFormat="1" applyFill="1" applyAlignment="1">
      <alignment vertical="center"/>
    </xf>
    <xf numFmtId="0" fontId="67" fillId="63" borderId="0" xfId="0" applyFont="1" applyFill="1" applyAlignment="1">
      <alignment horizontal="center" vertical="center"/>
    </xf>
    <xf numFmtId="182" fontId="67" fillId="63" borderId="0" xfId="0" applyNumberFormat="1" applyFont="1" applyFill="1" applyAlignment="1">
      <alignment vertical="center"/>
    </xf>
    <xf numFmtId="0" fontId="67" fillId="0" borderId="26" xfId="0" applyFont="1" applyBorder="1" applyAlignment="1">
      <alignment horizontal="left" vertical="center" indent="1"/>
    </xf>
    <xf numFmtId="0" fontId="67" fillId="63" borderId="26" xfId="0" applyFont="1" applyFill="1" applyBorder="1" applyAlignment="1">
      <alignment horizontal="center" vertical="center"/>
    </xf>
    <xf numFmtId="182" fontId="5" fillId="63" borderId="26" xfId="0" applyNumberFormat="1" applyFont="1" applyFill="1" applyBorder="1" applyAlignment="1">
      <alignment vertical="center"/>
    </xf>
    <xf numFmtId="0" fontId="0" fillId="0" borderId="26" xfId="0" applyBorder="1"/>
    <xf numFmtId="0" fontId="67" fillId="63" borderId="118" xfId="0" applyFont="1" applyFill="1" applyBorder="1" applyAlignment="1">
      <alignment horizontal="center" vertical="center"/>
    </xf>
    <xf numFmtId="0" fontId="16" fillId="0" borderId="155" xfId="0" applyFont="1" applyBorder="1" applyAlignment="1">
      <alignment horizontal="center" vertical="center"/>
    </xf>
    <xf numFmtId="0" fontId="16" fillId="0" borderId="156" xfId="0" applyFont="1" applyBorder="1" applyAlignment="1">
      <alignment horizontal="center" vertical="center"/>
    </xf>
    <xf numFmtId="0" fontId="16" fillId="0" borderId="164" xfId="0" applyFont="1" applyBorder="1" applyAlignment="1">
      <alignment horizontal="center" vertical="center"/>
    </xf>
    <xf numFmtId="0" fontId="16" fillId="63" borderId="157" xfId="0" applyFont="1" applyFill="1" applyBorder="1" applyAlignment="1">
      <alignment horizontal="center" vertical="center"/>
    </xf>
    <xf numFmtId="0" fontId="16" fillId="63" borderId="156" xfId="0" applyFont="1" applyFill="1" applyBorder="1" applyAlignment="1">
      <alignment horizontal="center" vertical="center"/>
    </xf>
    <xf numFmtId="0" fontId="16" fillId="63" borderId="164" xfId="0" applyFont="1" applyFill="1" applyBorder="1" applyAlignment="1">
      <alignment horizontal="center" vertical="center"/>
    </xf>
    <xf numFmtId="0" fontId="16" fillId="0" borderId="157" xfId="0" applyFont="1" applyBorder="1" applyAlignment="1">
      <alignment horizontal="center" vertical="center"/>
    </xf>
    <xf numFmtId="172" fontId="48" fillId="2" borderId="2" xfId="0" applyNumberFormat="1" applyFont="1" applyFill="1" applyBorder="1" applyAlignment="1">
      <alignment horizontal="center" vertical="center" wrapText="1"/>
    </xf>
    <xf numFmtId="0" fontId="48" fillId="2" borderId="2" xfId="0" applyFont="1" applyFill="1" applyBorder="1" applyAlignment="1">
      <alignment horizontal="center" vertical="center" wrapText="1"/>
    </xf>
    <xf numFmtId="165" fontId="48" fillId="0" borderId="0" xfId="0" applyNumberFormat="1" applyFont="1" applyAlignment="1">
      <alignment horizontal="center" vertical="center" wrapText="1"/>
    </xf>
    <xf numFmtId="165" fontId="48" fillId="11" borderId="2" xfId="0" applyNumberFormat="1" applyFont="1" applyFill="1" applyBorder="1" applyAlignment="1">
      <alignment horizontal="center" vertical="center" wrapText="1"/>
    </xf>
    <xf numFmtId="165" fontId="48" fillId="2" borderId="2" xfId="0" applyNumberFormat="1" applyFont="1" applyFill="1" applyBorder="1" applyAlignment="1">
      <alignment horizontal="center" vertical="center" wrapText="1"/>
    </xf>
    <xf numFmtId="0" fontId="48" fillId="2" borderId="2" xfId="0" applyFont="1" applyFill="1" applyBorder="1" applyAlignment="1">
      <alignment horizontal="center" vertical="center"/>
    </xf>
    <xf numFmtId="0" fontId="48" fillId="12" borderId="2" xfId="0" applyFont="1" applyFill="1" applyBorder="1" applyAlignment="1">
      <alignment horizontal="center" vertical="center"/>
    </xf>
    <xf numFmtId="0" fontId="48" fillId="12" borderId="2" xfId="0" applyFont="1" applyFill="1" applyBorder="1" applyAlignment="1">
      <alignment horizontal="center" vertical="center" wrapText="1"/>
    </xf>
    <xf numFmtId="0" fontId="48" fillId="2" borderId="0" xfId="0" applyFont="1" applyFill="1" applyAlignment="1">
      <alignment horizontal="center" vertical="center" wrapText="1"/>
    </xf>
    <xf numFmtId="164" fontId="50" fillId="9" borderId="0" xfId="0" applyNumberFormat="1" applyFont="1" applyFill="1" applyAlignment="1">
      <alignment horizontal="center" vertical="center"/>
    </xf>
    <xf numFmtId="166" fontId="72" fillId="9" borderId="9" xfId="0" applyNumberFormat="1" applyFont="1" applyFill="1" applyBorder="1" applyAlignment="1">
      <alignment horizontal="center" vertical="center" wrapText="1"/>
    </xf>
    <xf numFmtId="0" fontId="50" fillId="9" borderId="10" xfId="0" applyFont="1" applyFill="1" applyBorder="1" applyAlignment="1">
      <alignment horizontal="left" vertical="center" wrapText="1"/>
    </xf>
    <xf numFmtId="165" fontId="50" fillId="10" borderId="0" xfId="0" applyNumberFormat="1" applyFont="1" applyFill="1" applyAlignment="1">
      <alignment horizontal="right" vertical="center"/>
    </xf>
    <xf numFmtId="168" fontId="50" fillId="0" borderId="0" xfId="0" applyNumberFormat="1" applyFont="1"/>
    <xf numFmtId="0" fontId="71" fillId="2" borderId="2" xfId="0" applyFont="1" applyFill="1" applyBorder="1" applyAlignment="1">
      <alignment horizontal="center" vertical="center" wrapText="1"/>
    </xf>
    <xf numFmtId="0" fontId="71" fillId="2" borderId="1" xfId="0" applyFont="1" applyFill="1" applyBorder="1" applyAlignment="1">
      <alignment horizontal="left" vertical="center" wrapText="1"/>
    </xf>
    <xf numFmtId="165" fontId="71" fillId="2" borderId="11" xfId="0" applyNumberFormat="1" applyFont="1" applyFill="1" applyBorder="1" applyAlignment="1">
      <alignment horizontal="center" vertical="center" wrapText="1"/>
    </xf>
    <xf numFmtId="165" fontId="71" fillId="11" borderId="2" xfId="0" applyNumberFormat="1" applyFont="1" applyFill="1" applyBorder="1" applyAlignment="1">
      <alignment horizontal="center" vertical="center" wrapText="1"/>
    </xf>
    <xf numFmtId="165" fontId="71" fillId="2" borderId="2" xfId="0" applyNumberFormat="1" applyFont="1" applyFill="1" applyBorder="1" applyAlignment="1">
      <alignment horizontal="center" vertical="center" wrapText="1"/>
    </xf>
    <xf numFmtId="0" fontId="71" fillId="2" borderId="2" xfId="0" applyFont="1" applyFill="1" applyBorder="1" applyAlignment="1">
      <alignment horizontal="center" vertical="center"/>
    </xf>
    <xf numFmtId="0" fontId="71" fillId="12" borderId="2" xfId="0" applyFont="1" applyFill="1" applyBorder="1" applyAlignment="1">
      <alignment horizontal="center" vertical="center"/>
    </xf>
    <xf numFmtId="0" fontId="71" fillId="12" borderId="2" xfId="0" applyFont="1" applyFill="1" applyBorder="1" applyAlignment="1">
      <alignment horizontal="center" vertical="center" wrapText="1"/>
    </xf>
    <xf numFmtId="164" fontId="71" fillId="2" borderId="1" xfId="0" applyNumberFormat="1" applyFont="1" applyFill="1" applyBorder="1" applyAlignment="1">
      <alignment horizontal="center" vertical="center" wrapText="1"/>
    </xf>
    <xf numFmtId="165" fontId="64" fillId="6" borderId="3" xfId="0" applyNumberFormat="1" applyFont="1" applyFill="1" applyBorder="1" applyAlignment="1">
      <alignment horizontal="center" vertical="center" wrapText="1"/>
    </xf>
    <xf numFmtId="164" fontId="71" fillId="2" borderId="0" xfId="0" applyNumberFormat="1" applyFont="1" applyFill="1" applyAlignment="1">
      <alignment horizontal="center" vertical="center" wrapText="1"/>
    </xf>
    <xf numFmtId="169" fontId="50" fillId="2" borderId="0" xfId="0" applyNumberFormat="1" applyFont="1" applyFill="1" applyAlignment="1">
      <alignment horizontal="center" vertical="center" wrapText="1"/>
    </xf>
    <xf numFmtId="168" fontId="50" fillId="2" borderId="0" xfId="0" applyNumberFormat="1" applyFont="1" applyFill="1" applyAlignment="1">
      <alignment horizontal="center" vertical="center" wrapText="1"/>
    </xf>
    <xf numFmtId="169" fontId="50" fillId="60" borderId="0" xfId="0" applyNumberFormat="1" applyFont="1" applyFill="1" applyAlignment="1">
      <alignment horizontal="center" vertical="center" wrapText="1"/>
    </xf>
    <xf numFmtId="187" fontId="50" fillId="60" borderId="0" xfId="0" applyNumberFormat="1" applyFont="1" applyFill="1" applyAlignment="1">
      <alignment horizontal="center" vertical="center" wrapText="1"/>
    </xf>
    <xf numFmtId="169" fontId="50" fillId="61" borderId="0" xfId="0" applyNumberFormat="1" applyFont="1" applyFill="1" applyAlignment="1">
      <alignment horizontal="center" vertical="center" wrapText="1"/>
    </xf>
    <xf numFmtId="187" fontId="50" fillId="61" borderId="0" xfId="0" applyNumberFormat="1" applyFont="1" applyFill="1" applyAlignment="1">
      <alignment horizontal="center" vertical="center" wrapText="1"/>
    </xf>
    <xf numFmtId="0" fontId="71" fillId="2" borderId="26" xfId="0" applyFont="1" applyFill="1" applyBorder="1" applyAlignment="1">
      <alignment horizontal="left" vertical="center" wrapText="1"/>
    </xf>
    <xf numFmtId="164" fontId="50" fillId="16" borderId="0" xfId="0" applyNumberFormat="1" applyFont="1" applyFill="1" applyAlignment="1">
      <alignment horizontal="center" vertical="center"/>
    </xf>
    <xf numFmtId="0" fontId="50" fillId="16" borderId="0" xfId="0" applyFont="1" applyFill="1" applyAlignment="1">
      <alignment horizontal="center" vertical="center" wrapText="1"/>
    </xf>
    <xf numFmtId="0" fontId="50" fillId="16" borderId="19" xfId="0" applyFont="1" applyFill="1" applyBorder="1" applyAlignment="1">
      <alignment horizontal="left" vertical="center" wrapText="1"/>
    </xf>
    <xf numFmtId="167" fontId="50" fillId="16" borderId="0" xfId="0" applyNumberFormat="1" applyFont="1" applyFill="1" applyAlignment="1">
      <alignment horizontal="right" vertical="center"/>
    </xf>
    <xf numFmtId="165" fontId="50" fillId="16" borderId="0" xfId="0" applyNumberFormat="1" applyFont="1" applyFill="1" applyAlignment="1">
      <alignment horizontal="right" vertical="center"/>
    </xf>
    <xf numFmtId="0" fontId="71" fillId="2" borderId="19" xfId="0" applyFont="1" applyFill="1" applyBorder="1" applyAlignment="1">
      <alignment horizontal="left" vertical="center" wrapText="1" indent="1"/>
    </xf>
    <xf numFmtId="0" fontId="71" fillId="60" borderId="26" xfId="0" applyFont="1" applyFill="1" applyBorder="1" applyAlignment="1">
      <alignment horizontal="left" vertical="center" wrapText="1" indent="1"/>
    </xf>
    <xf numFmtId="0" fontId="71" fillId="61" borderId="26" xfId="0" applyFont="1" applyFill="1" applyBorder="1" applyAlignment="1">
      <alignment horizontal="left" vertical="center" wrapText="1" indent="1"/>
    </xf>
    <xf numFmtId="183" fontId="50" fillId="0" borderId="150" xfId="2" applyNumberFormat="1" applyFont="1" applyBorder="1" applyAlignment="1">
      <alignment vertical="center"/>
    </xf>
    <xf numFmtId="185" fontId="50" fillId="0" borderId="150" xfId="2" applyNumberFormat="1" applyFont="1" applyBorder="1" applyAlignment="1">
      <alignment vertical="center"/>
    </xf>
    <xf numFmtId="165" fontId="50" fillId="24" borderId="165" xfId="0" applyNumberFormat="1" applyFont="1" applyFill="1" applyBorder="1" applyAlignment="1">
      <alignment horizontal="right" vertical="center"/>
    </xf>
    <xf numFmtId="165" fontId="50" fillId="24" borderId="166" xfId="0" applyNumberFormat="1" applyFont="1" applyFill="1" applyBorder="1" applyAlignment="1">
      <alignment horizontal="right" vertical="center"/>
    </xf>
    <xf numFmtId="168" fontId="50" fillId="0" borderId="134" xfId="0" applyNumberFormat="1" applyFont="1" applyBorder="1" applyAlignment="1">
      <alignment horizontal="right" vertical="center"/>
    </xf>
    <xf numFmtId="165" fontId="50" fillId="18" borderId="150" xfId="0" applyNumberFormat="1" applyFont="1" applyFill="1" applyBorder="1" applyAlignment="1">
      <alignment horizontal="right" vertical="center"/>
    </xf>
    <xf numFmtId="165" fontId="50" fillId="18" borderId="134" xfId="0" applyNumberFormat="1" applyFont="1" applyFill="1" applyBorder="1" applyAlignment="1">
      <alignment horizontal="right" vertical="center"/>
    </xf>
    <xf numFmtId="0" fontId="43" fillId="0" borderId="150" xfId="0" applyFont="1" applyBorder="1"/>
    <xf numFmtId="0" fontId="50" fillId="29" borderId="150" xfId="0" applyFont="1" applyFill="1" applyBorder="1"/>
    <xf numFmtId="168" fontId="50" fillId="29" borderId="134" xfId="0" applyNumberFormat="1" applyFont="1" applyFill="1" applyBorder="1" applyAlignment="1">
      <alignment vertical="center"/>
    </xf>
    <xf numFmtId="0" fontId="43" fillId="57" borderId="150" xfId="0" applyFont="1" applyFill="1" applyBorder="1"/>
    <xf numFmtId="168" fontId="41" fillId="57" borderId="134" xfId="0" applyNumberFormat="1" applyFont="1" applyFill="1" applyBorder="1"/>
    <xf numFmtId="0" fontId="50" fillId="58" borderId="150" xfId="2" applyFont="1" applyFill="1" applyBorder="1" applyAlignment="1">
      <alignment horizontal="center" vertical="center" wrapText="1"/>
    </xf>
    <xf numFmtId="0" fontId="50" fillId="58" borderId="134" xfId="2" applyFont="1" applyFill="1" applyBorder="1" applyAlignment="1">
      <alignment horizontal="center" vertical="center" wrapText="1"/>
    </xf>
    <xf numFmtId="173" fontId="72" fillId="24" borderId="20" xfId="0" applyNumberFormat="1" applyFont="1" applyFill="1" applyBorder="1" applyAlignment="1">
      <alignment horizontal="left" vertical="center" wrapText="1"/>
    </xf>
    <xf numFmtId="10" fontId="0" fillId="0" borderId="0" xfId="3" applyNumberFormat="1" applyFont="1"/>
    <xf numFmtId="0" fontId="71" fillId="65" borderId="0" xfId="0" applyFont="1" applyFill="1" applyAlignment="1">
      <alignment horizontal="center" vertical="center" wrapText="1"/>
    </xf>
    <xf numFmtId="169" fontId="0" fillId="0" borderId="0" xfId="0" applyNumberFormat="1"/>
    <xf numFmtId="0" fontId="16" fillId="0" borderId="0" xfId="0" applyFont="1" applyAlignment="1">
      <alignment horizontal="right" vertical="center"/>
    </xf>
    <xf numFmtId="171" fontId="39" fillId="49" borderId="155" xfId="0" applyNumberFormat="1" applyFont="1" applyFill="1" applyBorder="1" applyAlignment="1">
      <alignment horizontal="right"/>
    </xf>
    <xf numFmtId="171" fontId="39" fillId="8" borderId="156" xfId="0" applyNumberFormat="1" applyFont="1" applyFill="1" applyBorder="1" applyAlignment="1">
      <alignment horizontal="right"/>
    </xf>
    <xf numFmtId="171" fontId="39" fillId="49" borderId="156" xfId="0" applyNumberFormat="1" applyFont="1" applyFill="1" applyBorder="1" applyAlignment="1">
      <alignment horizontal="right"/>
    </xf>
    <xf numFmtId="171" fontId="39" fillId="8" borderId="167" xfId="0" applyNumberFormat="1" applyFont="1" applyFill="1" applyBorder="1" applyAlignment="1">
      <alignment horizontal="right"/>
    </xf>
    <xf numFmtId="171" fontId="39" fillId="49" borderId="168" xfId="0" applyNumberFormat="1" applyFont="1" applyFill="1" applyBorder="1" applyAlignment="1">
      <alignment horizontal="right"/>
    </xf>
    <xf numFmtId="171" fontId="39" fillId="49" borderId="157" xfId="0" applyNumberFormat="1" applyFont="1" applyFill="1" applyBorder="1" applyAlignment="1">
      <alignment horizontal="right"/>
    </xf>
    <xf numFmtId="0" fontId="46" fillId="0" borderId="0" xfId="0" applyFont="1"/>
    <xf numFmtId="169" fontId="41" fillId="0" borderId="0" xfId="0" applyNumberFormat="1" applyFont="1" applyAlignment="1">
      <alignment horizontal="right" vertical="center" indent="1"/>
    </xf>
    <xf numFmtId="168" fontId="41" fillId="0" borderId="0" xfId="0" applyNumberFormat="1" applyFont="1" applyAlignment="1">
      <alignment horizontal="right" vertical="center" wrapText="1" indent="2"/>
    </xf>
    <xf numFmtId="0" fontId="43" fillId="0" borderId="0" xfId="0" applyFont="1" applyAlignment="1">
      <alignment horizontal="center"/>
    </xf>
    <xf numFmtId="9" fontId="43" fillId="0" borderId="0" xfId="3" applyFont="1" applyAlignment="1">
      <alignment horizontal="center"/>
    </xf>
    <xf numFmtId="9" fontId="43" fillId="0" borderId="0" xfId="0" applyNumberFormat="1" applyFont="1" applyAlignment="1">
      <alignment horizontal="center"/>
    </xf>
    <xf numFmtId="169" fontId="43" fillId="0" borderId="0" xfId="0" applyNumberFormat="1" applyFont="1"/>
    <xf numFmtId="171" fontId="43" fillId="0" borderId="0" xfId="0" applyNumberFormat="1" applyFont="1"/>
    <xf numFmtId="189" fontId="43" fillId="0" borderId="0" xfId="0" applyNumberFormat="1" applyFont="1"/>
    <xf numFmtId="1" fontId="43" fillId="0" borderId="0" xfId="0" applyNumberFormat="1" applyFont="1"/>
    <xf numFmtId="0" fontId="43" fillId="66" borderId="0" xfId="0" applyFont="1" applyFill="1" applyAlignment="1">
      <alignment horizontal="center" wrapText="1"/>
    </xf>
    <xf numFmtId="0" fontId="43" fillId="67" borderId="0" xfId="0" applyFont="1" applyFill="1" applyAlignment="1">
      <alignment horizontal="center" wrapText="1"/>
    </xf>
    <xf numFmtId="0" fontId="43" fillId="68" borderId="0" xfId="0" applyFont="1" applyFill="1" applyAlignment="1">
      <alignment horizontal="center" wrapText="1"/>
    </xf>
    <xf numFmtId="0" fontId="43" fillId="69" borderId="0" xfId="0" applyFont="1" applyFill="1" applyAlignment="1">
      <alignment horizontal="center" wrapText="1"/>
    </xf>
    <xf numFmtId="0" fontId="43" fillId="70" borderId="0" xfId="0" applyFont="1" applyFill="1" applyAlignment="1">
      <alignment horizontal="center" wrapText="1"/>
    </xf>
    <xf numFmtId="9" fontId="43" fillId="0" borderId="0" xfId="3" applyFont="1"/>
    <xf numFmtId="169" fontId="41" fillId="70" borderId="0" xfId="0" applyNumberFormat="1" applyFont="1" applyFill="1" applyAlignment="1">
      <alignment horizontal="right" vertical="center" indent="1"/>
    </xf>
    <xf numFmtId="169" fontId="41" fillId="69" borderId="0" xfId="0" applyNumberFormat="1" applyFont="1" applyFill="1" applyAlignment="1">
      <alignment horizontal="right" vertical="center" indent="1"/>
    </xf>
    <xf numFmtId="169" fontId="41" fillId="68" borderId="0" xfId="0" applyNumberFormat="1" applyFont="1" applyFill="1" applyAlignment="1">
      <alignment horizontal="right" vertical="center" indent="1"/>
    </xf>
    <xf numFmtId="169" fontId="41" fillId="67" borderId="0" xfId="0" applyNumberFormat="1" applyFont="1" applyFill="1" applyAlignment="1">
      <alignment horizontal="right" vertical="center" indent="1"/>
    </xf>
    <xf numFmtId="169" fontId="41" fillId="66" borderId="0" xfId="0" applyNumberFormat="1" applyFont="1" applyFill="1" applyAlignment="1">
      <alignment horizontal="right" vertical="center" indent="1"/>
    </xf>
    <xf numFmtId="0" fontId="71" fillId="75" borderId="15" xfId="0" applyFont="1" applyFill="1" applyBorder="1" applyAlignment="1">
      <alignment horizontal="center" vertical="center" wrapText="1"/>
    </xf>
    <xf numFmtId="0" fontId="71" fillId="75" borderId="17" xfId="0" applyFont="1" applyFill="1" applyBorder="1" applyAlignment="1">
      <alignment horizontal="center" vertical="center" wrapText="1"/>
    </xf>
    <xf numFmtId="0" fontId="71" fillId="76" borderId="17" xfId="0" applyFont="1" applyFill="1" applyBorder="1" applyAlignment="1">
      <alignment horizontal="center" vertical="center" wrapText="1"/>
    </xf>
    <xf numFmtId="0" fontId="71" fillId="75" borderId="12" xfId="0" applyFont="1" applyFill="1" applyBorder="1" applyAlignment="1">
      <alignment horizontal="center" vertical="center" wrapText="1"/>
    </xf>
    <xf numFmtId="0" fontId="71" fillId="75" borderId="18" xfId="0" applyFont="1" applyFill="1" applyBorder="1" applyAlignment="1">
      <alignment horizontal="center" vertical="center" wrapText="1"/>
    </xf>
    <xf numFmtId="0" fontId="71" fillId="77" borderId="2" xfId="0" applyFont="1" applyFill="1" applyBorder="1" applyAlignment="1">
      <alignment horizontal="center" vertical="center" wrapText="1"/>
    </xf>
    <xf numFmtId="0" fontId="71" fillId="77" borderId="18" xfId="0" applyFont="1" applyFill="1" applyBorder="1" applyAlignment="1">
      <alignment horizontal="center" vertical="center" wrapText="1"/>
    </xf>
    <xf numFmtId="0" fontId="43" fillId="71" borderId="0" xfId="0" applyFont="1" applyFill="1" applyAlignment="1">
      <alignment horizontal="center"/>
    </xf>
    <xf numFmtId="0" fontId="43" fillId="72" borderId="0" xfId="0" applyFont="1" applyFill="1" applyAlignment="1">
      <alignment horizontal="center"/>
    </xf>
    <xf numFmtId="0" fontId="43" fillId="73" borderId="0" xfId="0" applyFont="1" applyFill="1" applyAlignment="1">
      <alignment horizontal="center"/>
    </xf>
    <xf numFmtId="0" fontId="43" fillId="74" borderId="0" xfId="0" applyFont="1" applyFill="1" applyAlignment="1">
      <alignment horizontal="center"/>
    </xf>
    <xf numFmtId="1" fontId="71" fillId="2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0" fontId="0" fillId="0" borderId="0" xfId="0" applyAlignment="1">
      <alignment horizontal="right"/>
    </xf>
    <xf numFmtId="0" fontId="71" fillId="77" borderId="17" xfId="0" applyFont="1" applyFill="1" applyBorder="1" applyAlignment="1">
      <alignment horizontal="center" vertical="center" wrapText="1"/>
    </xf>
    <xf numFmtId="0" fontId="71" fillId="78" borderId="16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1" xr:uid="{6FFD2803-E53F-40E3-9714-13DFFFFFA5B3}"/>
    <cellStyle name="Normal 3" xfId="2" xr:uid="{C021D7B9-4816-4E1B-BA02-4129529963EA}"/>
    <cellStyle name="Per cent" xfId="3" builtinId="5"/>
  </cellStyles>
  <dxfs count="99">
    <dxf>
      <font>
        <color rgb="FFF3F3F3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F3F3F3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F3F3F3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F3F3F3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F3F3F3"/>
      </font>
      <fill>
        <patternFill patternType="solid">
          <fgColor rgb="FFFF0000"/>
          <bgColor rgb="FFFF0000"/>
        </patternFill>
      </fill>
    </dxf>
    <dxf>
      <font>
        <color rgb="FFF3F3F3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F3F3F3"/>
      </font>
      <fill>
        <patternFill patternType="solid">
          <fgColor rgb="FFFF0000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F3F3F3"/>
      </font>
      <fill>
        <patternFill patternType="solid">
          <fgColor rgb="FFFF0000"/>
          <bgColor rgb="FFFF0000"/>
        </patternFill>
      </fill>
    </dxf>
    <dxf>
      <font>
        <color rgb="FFF3F3F3"/>
      </font>
      <fill>
        <patternFill patternType="solid">
          <fgColor rgb="FFFF0000"/>
          <bgColor rgb="FFFF0000"/>
        </patternFill>
      </fill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FFC000"/>
        <name val="Arial"/>
        <family val="2"/>
        <scheme val="minor"/>
      </font>
    </dxf>
    <dxf>
      <fill>
        <patternFill patternType="solid">
          <fgColor rgb="FFDDE8EE"/>
          <bgColor rgb="FFDDE8EE"/>
        </patternFill>
      </fill>
    </dxf>
    <dxf>
      <fill>
        <patternFill patternType="solid">
          <fgColor rgb="FFBCD2DE"/>
          <bgColor rgb="FFBCD2DE"/>
        </patternFill>
      </fill>
    </dxf>
    <dxf>
      <fill>
        <patternFill patternType="solid">
          <fgColor rgb="FFDDE8EE"/>
          <bgColor rgb="FFDDE8EE"/>
        </patternFill>
      </fill>
    </dxf>
    <dxf>
      <fill>
        <patternFill patternType="solid">
          <fgColor rgb="FFBCD2DE"/>
          <bgColor rgb="FFBCD2DE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3">
    <tableStyle name="Invoices-style" pivot="0" count="3" xr9:uid="{00000000-0011-0000-FFFF-FFFF00000000}">
      <tableStyleElement type="headerRow" dxfId="98"/>
      <tableStyleElement type="firstRowStripe" dxfId="97"/>
      <tableStyleElement type="secondRowStripe" dxfId="96"/>
    </tableStyle>
    <tableStyle name="Korec invoices-style" pivot="0" count="3" xr9:uid="{00000000-0011-0000-FFFF-FFFF01000000}">
      <tableStyleElement type="headerRow" dxfId="95"/>
      <tableStyleElement type="firstRowStripe" dxfId="94"/>
      <tableStyleElement type="secondRowStripe" dxfId="93"/>
    </tableStyle>
    <tableStyle name="Korec invoices-style 2" pivot="0" count="2" xr9:uid="{00000000-0011-0000-FFFF-FFFF02000000}">
      <tableStyleElement type="firstRowStripe" dxfId="92"/>
      <tableStyleElement type="secondRowStripe" dxfId="9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1:J242" headerRowDxfId="90" dataDxfId="89">
  <sortState xmlns:xlrd2="http://schemas.microsoft.com/office/spreadsheetml/2017/richdata2" ref="A2:I222">
    <sortCondition ref="A2:A222"/>
  </sortState>
  <tableColumns count="10">
    <tableColumn id="1" xr3:uid="{00000000-0010-0000-0000-000001000000}" name="Reference" dataDxfId="88"/>
    <tableColumn id="2" xr3:uid="{00000000-0010-0000-0000-000002000000}" name="Company" dataDxfId="87"/>
    <tableColumn id="3" xr3:uid="{00000000-0010-0000-0000-000003000000}" name="Description" dataDxfId="86"/>
    <tableColumn id="4" xr3:uid="{00000000-0010-0000-0000-000004000000}" name="UK" dataDxfId="85"/>
    <tableColumn id="5" xr3:uid="{00000000-0010-0000-0000-000005000000}" name="DE" dataDxfId="84"/>
    <tableColumn id="6" xr3:uid="{00000000-0010-0000-0000-000006000000}" name="Paid" dataDxfId="83"/>
    <tableColumn id="7" xr3:uid="{00000000-0010-0000-0000-000007000000}" name="Sum (Pounds)" dataDxfId="82"/>
    <tableColumn id="8" xr3:uid="{00000000-0010-0000-0000-000008000000}" name="Sum (Euro)" dataDxfId="81"/>
    <tableColumn id="9" xr3:uid="{00000000-0010-0000-0000-000009000000}" name="Conversion factor" dataDxfId="80"/>
    <tableColumn id="10" xr3:uid="{6DAAAF55-A5A4-45A8-AF64-AFFD277A6B5C}" name="Column1" dataDxfId="79"/>
  </tableColumns>
  <tableStyleInfo name="Invoice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1" displayName="Table_1" ref="A1:F1" headerRowCount="0">
  <tableColumns count="6">
    <tableColumn id="1" xr3:uid="{00000000-0010-0000-0100-000001000000}" name="Column1"/>
    <tableColumn id="2" xr3:uid="{00000000-0010-0000-0100-000002000000}" name="Column2"/>
    <tableColumn id="3" xr3:uid="{00000000-0010-0000-0100-000003000000}" name="Column3"/>
    <tableColumn id="4" xr3:uid="{00000000-0010-0000-0100-000004000000}" name="Column4"/>
    <tableColumn id="5" xr3:uid="{00000000-0010-0000-0100-000005000000}" name="Column5"/>
    <tableColumn id="6" xr3:uid="{00000000-0010-0000-0100-000006000000}" name="Column6"/>
  </tableColumns>
  <tableStyleInfo name="Korec invoices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2" displayName="Table_2" ref="A2:F21" headerRowCount="0">
  <tableColumns count="6">
    <tableColumn id="1" xr3:uid="{00000000-0010-0000-0200-000001000000}" name="Column1"/>
    <tableColumn id="2" xr3:uid="{00000000-0010-0000-0200-000002000000}" name="Column2"/>
    <tableColumn id="3" xr3:uid="{00000000-0010-0000-0200-000003000000}" name="Column3"/>
    <tableColumn id="4" xr3:uid="{00000000-0010-0000-0200-000004000000}" name="Column4"/>
    <tableColumn id="5" xr3:uid="{00000000-0010-0000-0200-000005000000}" name="Column5"/>
    <tableColumn id="6" xr3:uid="{00000000-0010-0000-0200-000006000000}" name="Column6"/>
  </tableColumns>
  <tableStyleInfo name="Korec invoices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891AD"/>
      </a:accent1>
      <a:accent2>
        <a:srgbClr val="004561"/>
      </a:accent2>
      <a:accent3>
        <a:srgbClr val="FF6F31"/>
      </a:accent3>
      <a:accent4>
        <a:srgbClr val="1C7685"/>
      </a:accent4>
      <a:accent5>
        <a:srgbClr val="0F45A8"/>
      </a:accent5>
      <a:accent6>
        <a:srgbClr val="4CDC8B"/>
      </a:accent6>
      <a:hlink>
        <a:srgbClr val="0097A7"/>
      </a:hlink>
      <a:folHlink>
        <a:srgbClr val="0097A7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ofx.com/en-gb/forex-news/historical-exchange-rates/monthly-average-rates/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keytive.com/" TargetMode="External"/><Relationship Id="rId3" Type="http://schemas.openxmlformats.org/officeDocument/2006/relationships/hyperlink" Target="http://vehicleinformation.uk/" TargetMode="External"/><Relationship Id="rId7" Type="http://schemas.openxmlformats.org/officeDocument/2006/relationships/hyperlink" Target="http://gnageomatics.com/" TargetMode="External"/><Relationship Id="rId2" Type="http://schemas.openxmlformats.org/officeDocument/2006/relationships/hyperlink" Target="http://information.uk/" TargetMode="External"/><Relationship Id="rId1" Type="http://schemas.openxmlformats.org/officeDocument/2006/relationships/hyperlink" Target="https://www.ofx.com/en-gb/forex-news/historical-exchange-rates/monthly-average-rates/" TargetMode="External"/><Relationship Id="rId6" Type="http://schemas.openxmlformats.org/officeDocument/2006/relationships/hyperlink" Target="http://gnageomatics.com/" TargetMode="External"/><Relationship Id="rId11" Type="http://schemas.openxmlformats.org/officeDocument/2006/relationships/hyperlink" Target="http://booking.com/" TargetMode="External"/><Relationship Id="rId5" Type="http://schemas.openxmlformats.org/officeDocument/2006/relationships/hyperlink" Target="http://gnageomatics.com/" TargetMode="External"/><Relationship Id="rId10" Type="http://schemas.openxmlformats.org/officeDocument/2006/relationships/hyperlink" Target="http://paddle.net/" TargetMode="External"/><Relationship Id="rId4" Type="http://schemas.openxmlformats.org/officeDocument/2006/relationships/hyperlink" Target="http://vehicleinformation.uk/" TargetMode="External"/><Relationship Id="rId9" Type="http://schemas.openxmlformats.org/officeDocument/2006/relationships/hyperlink" Target="http://paddle.net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ofx.com/en-gb/forex-news/historical-exchange-rates/monthly-average-rates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ofx.com/en-gb/forex-news/historical-exchange-rates/monthly-average-rates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ecb.europa.eu/stats/policy_and_exchange_rates/euro_reference_exchange_rates/html/eurofxref-graph-gbp.en.html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ofx.com/en-gb/forex-news/historical-exchange-rates/monthly-average-rates/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ecb.europa.eu/stats/policy_and_exchange_rates/euro_reference_exchange_rates/html/eurofxref-graph-gbp.e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0"/>
  <sheetViews>
    <sheetView zoomScale="75" zoomScaleNormal="75" workbookViewId="0">
      <pane ySplit="2" topLeftCell="A3" activePane="bottomLeft" state="frozen"/>
      <selection pane="bottomLeft" activeCell="E15" sqref="E15"/>
    </sheetView>
  </sheetViews>
  <sheetFormatPr defaultColWidth="12.6640625" defaultRowHeight="15" customHeight="1"/>
  <cols>
    <col min="1" max="1" width="12.77734375" bestFit="1" customWidth="1"/>
    <col min="2" max="2" width="18.21875" customWidth="1"/>
    <col min="3" max="3" width="44.33203125" customWidth="1"/>
    <col min="4" max="15" width="11.109375" customWidth="1"/>
    <col min="16" max="16" width="13.44140625" customWidth="1"/>
    <col min="17" max="26" width="11.109375" customWidth="1"/>
  </cols>
  <sheetData>
    <row r="1" spans="1:26" ht="41.25" customHeight="1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4.75" customHeight="1">
      <c r="A2" s="4" t="s">
        <v>16</v>
      </c>
      <c r="B2" s="5"/>
      <c r="C2" s="6"/>
      <c r="D2" s="7">
        <f t="shared" ref="D2:P2" si="0">SUM(D3:D62)</f>
        <v>0</v>
      </c>
      <c r="E2" s="7">
        <f t="shared" si="0"/>
        <v>24.5</v>
      </c>
      <c r="F2" s="7">
        <f t="shared" si="0"/>
        <v>0</v>
      </c>
      <c r="G2" s="7">
        <f t="shared" si="0"/>
        <v>0</v>
      </c>
      <c r="H2" s="7">
        <f t="shared" si="0"/>
        <v>0</v>
      </c>
      <c r="I2" s="7">
        <f t="shared" si="0"/>
        <v>402.30000000000007</v>
      </c>
      <c r="J2" s="7">
        <f t="shared" si="0"/>
        <v>0</v>
      </c>
      <c r="K2" s="7">
        <f t="shared" si="0"/>
        <v>0</v>
      </c>
      <c r="L2" s="7">
        <f t="shared" si="0"/>
        <v>183.66</v>
      </c>
      <c r="M2" s="7">
        <f t="shared" si="0"/>
        <v>230.7</v>
      </c>
      <c r="N2" s="7">
        <f t="shared" si="0"/>
        <v>805</v>
      </c>
      <c r="O2" s="7">
        <f t="shared" si="0"/>
        <v>1826.11</v>
      </c>
      <c r="P2" s="7">
        <f t="shared" si="0"/>
        <v>0</v>
      </c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24.75" customHeight="1">
      <c r="A3" s="8">
        <v>43721</v>
      </c>
      <c r="C3" s="9" t="s">
        <v>17</v>
      </c>
      <c r="D3" s="10"/>
      <c r="E3" s="10"/>
      <c r="F3" s="10"/>
      <c r="G3" s="10"/>
      <c r="H3" s="10"/>
      <c r="I3" s="10">
        <v>80.900000000000006</v>
      </c>
      <c r="J3" s="10"/>
      <c r="K3" s="10"/>
      <c r="L3" s="10"/>
      <c r="M3" s="10"/>
      <c r="N3" s="10"/>
      <c r="O3" s="10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ht="24.75" customHeight="1">
      <c r="A4" s="8">
        <v>43756</v>
      </c>
      <c r="C4" s="9" t="s">
        <v>18</v>
      </c>
      <c r="D4" s="10"/>
      <c r="E4" s="10"/>
      <c r="F4" s="10"/>
      <c r="G4" s="10"/>
      <c r="H4" s="10"/>
      <c r="I4" s="10"/>
      <c r="J4" s="10"/>
      <c r="K4" s="10"/>
      <c r="L4" s="10"/>
      <c r="M4" s="10">
        <v>78</v>
      </c>
      <c r="N4" s="10"/>
      <c r="O4" s="10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24.75" customHeight="1">
      <c r="A5" s="8">
        <v>43395</v>
      </c>
      <c r="C5" s="9" t="s">
        <v>19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>
        <v>1826.11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ht="24.75" customHeight="1">
      <c r="A6" s="8">
        <v>43396</v>
      </c>
      <c r="C6" s="9" t="s">
        <v>20</v>
      </c>
      <c r="D6" s="10"/>
      <c r="E6" s="10">
        <v>24.5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t="24.75" customHeight="1">
      <c r="A7" s="8">
        <v>43397</v>
      </c>
      <c r="C7" s="9" t="s">
        <v>21</v>
      </c>
      <c r="D7" s="10"/>
      <c r="E7" s="10"/>
      <c r="F7" s="10"/>
      <c r="G7" s="10"/>
      <c r="H7" s="10"/>
      <c r="I7" s="10"/>
      <c r="J7" s="10"/>
      <c r="K7" s="10"/>
      <c r="L7" s="10"/>
      <c r="M7" s="10">
        <v>63.7</v>
      </c>
      <c r="N7" s="10"/>
      <c r="O7" s="10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t="24.75" customHeight="1">
      <c r="A8" s="8">
        <v>43402</v>
      </c>
      <c r="C8" s="9" t="s">
        <v>22</v>
      </c>
      <c r="D8" s="10"/>
      <c r="E8" s="10"/>
      <c r="F8" s="10"/>
      <c r="G8" s="10"/>
      <c r="H8" s="10"/>
      <c r="I8" s="10"/>
      <c r="J8" s="10"/>
      <c r="K8" s="10"/>
      <c r="L8" s="10"/>
      <c r="M8" s="10">
        <v>89</v>
      </c>
      <c r="N8" s="10"/>
      <c r="O8" s="10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t="24.75" customHeight="1">
      <c r="A9" s="8">
        <v>43416</v>
      </c>
      <c r="C9" s="9" t="s">
        <v>23</v>
      </c>
      <c r="D9" s="10"/>
      <c r="E9" s="10"/>
      <c r="F9" s="10"/>
      <c r="G9" s="10"/>
      <c r="H9" s="10"/>
      <c r="I9" s="10">
        <v>69.099999999999994</v>
      </c>
      <c r="J9" s="10"/>
      <c r="K9" s="10"/>
      <c r="L9" s="10"/>
      <c r="M9" s="10"/>
      <c r="N9" s="10"/>
      <c r="O9" s="10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 ht="24.75" customHeight="1">
      <c r="A10" s="8">
        <v>43420</v>
      </c>
      <c r="B10" s="11"/>
      <c r="C10" s="9" t="s">
        <v>24</v>
      </c>
      <c r="D10" s="10"/>
      <c r="E10" s="10"/>
      <c r="F10" s="10"/>
      <c r="G10" s="10"/>
      <c r="H10" s="10"/>
      <c r="I10" s="10">
        <v>14</v>
      </c>
      <c r="J10" s="10"/>
      <c r="K10" s="10"/>
      <c r="L10" s="10"/>
      <c r="M10" s="10"/>
      <c r="N10" s="10"/>
      <c r="O10" s="10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ht="24.75" customHeight="1">
      <c r="A11" s="8">
        <v>43407</v>
      </c>
      <c r="B11" s="11"/>
      <c r="C11" s="9" t="s">
        <v>24</v>
      </c>
      <c r="D11" s="10"/>
      <c r="E11" s="10"/>
      <c r="F11" s="10"/>
      <c r="G11" s="10"/>
      <c r="H11" s="10"/>
      <c r="I11" s="10">
        <v>31</v>
      </c>
      <c r="J11" s="10"/>
      <c r="K11" s="10"/>
      <c r="L11" s="10"/>
      <c r="M11" s="10"/>
      <c r="N11" s="10"/>
      <c r="O11" s="10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 ht="24.75" customHeight="1">
      <c r="A12" s="8">
        <v>43405</v>
      </c>
      <c r="B12" s="11"/>
      <c r="C12" s="9" t="s">
        <v>25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>
        <v>345</v>
      </c>
      <c r="O12" s="10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 ht="24.75" customHeight="1">
      <c r="A13" s="8">
        <v>43396</v>
      </c>
      <c r="B13" s="11"/>
      <c r="C13" s="9" t="s">
        <v>26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>
        <v>460</v>
      </c>
      <c r="O13" s="10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ht="24.75" customHeight="1">
      <c r="A14" s="8">
        <v>43386</v>
      </c>
      <c r="B14" s="11"/>
      <c r="C14" s="9" t="s">
        <v>27</v>
      </c>
      <c r="D14" s="10"/>
      <c r="E14" s="10"/>
      <c r="F14" s="10"/>
      <c r="G14" s="10"/>
      <c r="H14" s="10"/>
      <c r="I14" s="10">
        <v>69.099999999999994</v>
      </c>
      <c r="J14" s="10"/>
      <c r="K14" s="10"/>
      <c r="L14" s="10"/>
      <c r="M14" s="10"/>
      <c r="N14" s="10"/>
      <c r="O14" s="10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ht="24.75" customHeight="1">
      <c r="A15" s="8">
        <v>43416</v>
      </c>
      <c r="B15" s="11"/>
      <c r="C15" s="9" t="s">
        <v>28</v>
      </c>
      <c r="D15" s="10"/>
      <c r="E15" s="10"/>
      <c r="F15" s="10"/>
      <c r="G15" s="10"/>
      <c r="H15" s="10"/>
      <c r="I15" s="10">
        <v>69.099999999999994</v>
      </c>
      <c r="J15" s="10"/>
      <c r="K15" s="10"/>
      <c r="L15" s="10"/>
      <c r="M15" s="10"/>
      <c r="N15" s="10"/>
      <c r="O15" s="10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ht="24.75" customHeight="1">
      <c r="A16" s="8">
        <v>43813</v>
      </c>
      <c r="B16" s="11"/>
      <c r="C16" s="9" t="s">
        <v>29</v>
      </c>
      <c r="D16" s="10"/>
      <c r="E16" s="10"/>
      <c r="F16" s="10"/>
      <c r="G16" s="10"/>
      <c r="H16" s="10"/>
      <c r="I16" s="10">
        <v>69.099999999999994</v>
      </c>
      <c r="J16" s="10"/>
      <c r="K16" s="10"/>
      <c r="L16" s="10"/>
      <c r="M16" s="10"/>
      <c r="N16" s="10"/>
      <c r="O16" s="10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26" ht="24.75" customHeight="1">
      <c r="A17" s="8">
        <v>43461</v>
      </c>
      <c r="B17" s="11"/>
      <c r="C17" s="9" t="s">
        <v>30</v>
      </c>
      <c r="D17" s="10"/>
      <c r="E17" s="10"/>
      <c r="F17" s="10"/>
      <c r="G17" s="10"/>
      <c r="H17" s="10"/>
      <c r="I17" s="10"/>
      <c r="J17" s="10"/>
      <c r="K17" s="10"/>
      <c r="L17" s="10">
        <v>149.97999999999999</v>
      </c>
      <c r="M17" s="10"/>
      <c r="N17" s="10"/>
      <c r="O17" s="10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spans="1:26" ht="24.75" customHeight="1">
      <c r="A18" s="8">
        <v>43449</v>
      </c>
      <c r="B18" s="11"/>
      <c r="C18" s="9" t="s">
        <v>31</v>
      </c>
      <c r="D18" s="10"/>
      <c r="E18" s="10"/>
      <c r="F18" s="10"/>
      <c r="G18" s="10"/>
      <c r="H18" s="10"/>
      <c r="I18" s="10"/>
      <c r="J18" s="10"/>
      <c r="K18" s="10"/>
      <c r="L18" s="10">
        <v>33.68</v>
      </c>
      <c r="M18" s="10"/>
      <c r="N18" s="10"/>
      <c r="O18" s="10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1:26" ht="24.75" customHeight="1">
      <c r="A19" s="8"/>
      <c r="B19" s="11"/>
      <c r="C19" s="9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1:26" ht="24.75" customHeight="1">
      <c r="A20" s="8"/>
      <c r="B20" s="11"/>
      <c r="C20" s="9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spans="1:26" ht="24.75" customHeight="1">
      <c r="A21" s="8"/>
      <c r="B21" s="11"/>
      <c r="C21" s="9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spans="1:26" ht="24.75" customHeight="1">
      <c r="A22" s="8"/>
      <c r="B22" s="11"/>
      <c r="C22" s="9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26" ht="24.75" customHeight="1">
      <c r="A23" s="8"/>
      <c r="B23" s="11"/>
      <c r="C23" s="9"/>
      <c r="D23" s="10"/>
      <c r="E23" s="10"/>
      <c r="F23" s="10"/>
      <c r="G23" s="10"/>
      <c r="H23" s="10"/>
      <c r="I23" s="10"/>
      <c r="J23" s="10"/>
      <c r="K23" s="10"/>
      <c r="L23" s="10"/>
      <c r="M23" s="11"/>
      <c r="N23" s="11"/>
      <c r="O23" s="10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spans="1:26" ht="24.75" customHeight="1">
      <c r="A24" s="8"/>
      <c r="B24" s="11"/>
      <c r="C24" s="9"/>
      <c r="D24" s="10"/>
      <c r="E24" s="10"/>
      <c r="F24" s="10"/>
      <c r="G24" s="10"/>
      <c r="H24" s="10"/>
      <c r="I24" s="10"/>
      <c r="J24" s="10"/>
      <c r="K24" s="10"/>
      <c r="L24" s="10"/>
      <c r="M24" s="11"/>
      <c r="N24" s="11"/>
      <c r="O24" s="10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26" ht="24.75" customHeight="1">
      <c r="A25" s="8"/>
      <c r="B25" s="11"/>
      <c r="C25" s="9"/>
      <c r="D25" s="10"/>
      <c r="E25" s="10"/>
      <c r="F25" s="10"/>
      <c r="G25" s="10"/>
      <c r="H25" s="10"/>
      <c r="I25" s="10"/>
      <c r="J25" s="10"/>
      <c r="K25" s="10"/>
      <c r="L25" s="10"/>
      <c r="M25" s="11"/>
      <c r="N25" s="11"/>
      <c r="O25" s="10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26" ht="24.75" customHeight="1">
      <c r="A26" s="8"/>
      <c r="B26" s="11"/>
      <c r="C26" s="9"/>
      <c r="D26" s="10"/>
      <c r="E26" s="10"/>
      <c r="F26" s="10"/>
      <c r="G26" s="10"/>
      <c r="H26" s="10"/>
      <c r="I26" s="10"/>
      <c r="J26" s="10"/>
      <c r="K26" s="10"/>
      <c r="L26" s="10"/>
      <c r="M26" s="11"/>
      <c r="N26" s="11"/>
      <c r="O26" s="10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26" ht="24.75" customHeight="1">
      <c r="A27" s="8"/>
      <c r="B27" s="11"/>
      <c r="C27" s="9"/>
      <c r="D27" s="10"/>
      <c r="E27" s="10"/>
      <c r="F27" s="10"/>
      <c r="G27" s="10"/>
      <c r="H27" s="10"/>
      <c r="I27" s="10"/>
      <c r="J27" s="10"/>
      <c r="K27" s="10"/>
      <c r="L27" s="10"/>
      <c r="M27" s="11"/>
      <c r="N27" s="11"/>
      <c r="O27" s="10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26" ht="24.75" customHeight="1">
      <c r="A28" s="8"/>
      <c r="B28" s="11"/>
      <c r="C28" s="9"/>
      <c r="D28" s="10"/>
      <c r="E28" s="10"/>
      <c r="F28" s="10"/>
      <c r="G28" s="10"/>
      <c r="H28" s="10"/>
      <c r="I28" s="10"/>
      <c r="J28" s="10"/>
      <c r="K28" s="10"/>
      <c r="L28" s="10"/>
      <c r="M28" s="11"/>
      <c r="N28" s="11"/>
      <c r="O28" s="10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26" ht="24.75" customHeight="1">
      <c r="A29" s="8"/>
      <c r="B29" s="11"/>
      <c r="C29" s="9"/>
      <c r="D29" s="10"/>
      <c r="E29" s="10"/>
      <c r="F29" s="10"/>
      <c r="G29" s="10"/>
      <c r="H29" s="10"/>
      <c r="I29" s="10"/>
      <c r="J29" s="10"/>
      <c r="K29" s="10"/>
      <c r="L29" s="10"/>
      <c r="M29" s="11"/>
      <c r="N29" s="11"/>
      <c r="O29" s="10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26" ht="24.75" customHeight="1">
      <c r="A30" s="8"/>
      <c r="B30" s="11"/>
      <c r="C30" s="9"/>
      <c r="D30" s="10"/>
      <c r="E30" s="10"/>
      <c r="F30" s="10"/>
      <c r="G30" s="10"/>
      <c r="H30" s="10"/>
      <c r="I30" s="10"/>
      <c r="J30" s="10"/>
      <c r="K30" s="10"/>
      <c r="L30" s="10"/>
      <c r="M30" s="11"/>
      <c r="N30" s="11"/>
      <c r="O30" s="10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26" ht="24.75" customHeight="1">
      <c r="A31" s="8"/>
      <c r="B31" s="11"/>
      <c r="C31" s="9"/>
      <c r="D31" s="10"/>
      <c r="E31" s="10"/>
      <c r="F31" s="10"/>
      <c r="G31" s="10"/>
      <c r="H31" s="10"/>
      <c r="I31" s="10"/>
      <c r="J31" s="10"/>
      <c r="K31" s="10"/>
      <c r="L31" s="10"/>
      <c r="M31" s="11"/>
      <c r="N31" s="11"/>
      <c r="O31" s="10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26" ht="24.75" customHeight="1">
      <c r="A32" s="8"/>
      <c r="B32" s="11"/>
      <c r="C32" s="9"/>
      <c r="D32" s="10"/>
      <c r="E32" s="10"/>
      <c r="F32" s="10"/>
      <c r="G32" s="10"/>
      <c r="H32" s="10"/>
      <c r="I32" s="10"/>
      <c r="J32" s="10"/>
      <c r="K32" s="10"/>
      <c r="L32" s="10"/>
      <c r="M32" s="11"/>
      <c r="N32" s="11"/>
      <c r="O32" s="10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24.75" customHeight="1">
      <c r="A33" s="8"/>
      <c r="B33" s="11"/>
      <c r="C33" s="9"/>
      <c r="D33" s="10"/>
      <c r="E33" s="10"/>
      <c r="F33" s="10"/>
      <c r="G33" s="10"/>
      <c r="H33" s="10"/>
      <c r="I33" s="10"/>
      <c r="J33" s="10"/>
      <c r="K33" s="10"/>
      <c r="L33" s="10"/>
      <c r="M33" s="11"/>
      <c r="N33" s="11"/>
      <c r="O33" s="10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24.75" customHeight="1">
      <c r="A34" s="8"/>
      <c r="B34" s="11"/>
      <c r="C34" s="9"/>
      <c r="D34" s="10"/>
      <c r="E34" s="10"/>
      <c r="F34" s="10"/>
      <c r="G34" s="10"/>
      <c r="H34" s="10"/>
      <c r="I34" s="10"/>
      <c r="J34" s="10"/>
      <c r="K34" s="10"/>
      <c r="L34" s="10"/>
      <c r="M34" s="11"/>
      <c r="N34" s="11"/>
      <c r="O34" s="10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24.75" customHeight="1">
      <c r="A35" s="8"/>
      <c r="B35" s="11"/>
      <c r="C35" s="9"/>
      <c r="D35" s="10"/>
      <c r="E35" s="10"/>
      <c r="F35" s="10"/>
      <c r="G35" s="10"/>
      <c r="H35" s="10"/>
      <c r="I35" s="10"/>
      <c r="J35" s="10"/>
      <c r="K35" s="10"/>
      <c r="L35" s="10"/>
      <c r="M35" s="11"/>
      <c r="N35" s="11"/>
      <c r="O35" s="10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24.75" customHeight="1">
      <c r="A36" s="8"/>
      <c r="B36" s="11"/>
      <c r="C36" s="9"/>
      <c r="D36" s="10"/>
      <c r="E36" s="10"/>
      <c r="F36" s="10"/>
      <c r="G36" s="10"/>
      <c r="H36" s="10"/>
      <c r="I36" s="10"/>
      <c r="J36" s="10"/>
      <c r="K36" s="10"/>
      <c r="L36" s="10"/>
      <c r="M36" s="11"/>
      <c r="N36" s="11"/>
      <c r="O36" s="10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24.75" customHeight="1">
      <c r="A37" s="8"/>
      <c r="B37" s="11"/>
      <c r="C37" s="9"/>
      <c r="D37" s="10"/>
      <c r="E37" s="10"/>
      <c r="F37" s="10"/>
      <c r="G37" s="10"/>
      <c r="H37" s="10"/>
      <c r="I37" s="10"/>
      <c r="J37" s="10"/>
      <c r="K37" s="10"/>
      <c r="L37" s="10"/>
      <c r="M37" s="11"/>
      <c r="N37" s="11"/>
      <c r="O37" s="10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24.75" customHeight="1">
      <c r="A38" s="8"/>
      <c r="B38" s="11"/>
      <c r="C38" s="9"/>
      <c r="D38" s="10"/>
      <c r="E38" s="10"/>
      <c r="F38" s="10"/>
      <c r="G38" s="10"/>
      <c r="H38" s="10"/>
      <c r="I38" s="10"/>
      <c r="J38" s="10"/>
      <c r="K38" s="10"/>
      <c r="L38" s="10"/>
      <c r="M38" s="11"/>
      <c r="N38" s="11"/>
      <c r="O38" s="10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24.75" customHeight="1">
      <c r="A39" s="8"/>
      <c r="B39" s="11"/>
      <c r="C39" s="9"/>
      <c r="D39" s="10"/>
      <c r="E39" s="10"/>
      <c r="F39" s="10"/>
      <c r="G39" s="10"/>
      <c r="H39" s="10"/>
      <c r="I39" s="10"/>
      <c r="J39" s="10"/>
      <c r="K39" s="10"/>
      <c r="L39" s="10"/>
      <c r="M39" s="11"/>
      <c r="N39" s="11"/>
      <c r="O39" s="10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24.75" customHeight="1">
      <c r="A40" s="8"/>
      <c r="B40" s="11"/>
      <c r="C40" s="9"/>
      <c r="D40" s="10"/>
      <c r="E40" s="10"/>
      <c r="F40" s="10"/>
      <c r="G40" s="10"/>
      <c r="H40" s="10"/>
      <c r="I40" s="10"/>
      <c r="J40" s="10"/>
      <c r="K40" s="10"/>
      <c r="L40" s="10"/>
      <c r="M40" s="11"/>
      <c r="N40" s="11"/>
      <c r="O40" s="10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24.75" customHeight="1">
      <c r="A41" s="8"/>
      <c r="B41" s="11"/>
      <c r="C41" s="9"/>
      <c r="D41" s="10"/>
      <c r="E41" s="10"/>
      <c r="F41" s="10"/>
      <c r="G41" s="10"/>
      <c r="H41" s="10"/>
      <c r="I41" s="10"/>
      <c r="J41" s="10"/>
      <c r="K41" s="10"/>
      <c r="L41" s="10"/>
      <c r="M41" s="11"/>
      <c r="N41" s="11"/>
      <c r="O41" s="10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24.75" customHeight="1">
      <c r="A42" s="8"/>
      <c r="B42" s="11"/>
      <c r="C42" s="9"/>
      <c r="D42" s="10"/>
      <c r="E42" s="10"/>
      <c r="F42" s="10"/>
      <c r="G42" s="10"/>
      <c r="H42" s="10"/>
      <c r="I42" s="10"/>
      <c r="J42" s="10"/>
      <c r="K42" s="10"/>
      <c r="L42" s="10"/>
      <c r="M42" s="11"/>
      <c r="N42" s="11"/>
      <c r="O42" s="10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24.75" customHeight="1">
      <c r="A43" s="8"/>
      <c r="B43" s="11"/>
      <c r="C43" s="9"/>
      <c r="D43" s="10"/>
      <c r="E43" s="10"/>
      <c r="F43" s="10"/>
      <c r="G43" s="10"/>
      <c r="H43" s="10"/>
      <c r="I43" s="10"/>
      <c r="J43" s="10"/>
      <c r="K43" s="10"/>
      <c r="L43" s="10"/>
      <c r="M43" s="11"/>
      <c r="N43" s="11"/>
      <c r="O43" s="10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24.75" customHeight="1">
      <c r="A44" s="8"/>
      <c r="B44" s="11"/>
      <c r="C44" s="9"/>
      <c r="D44" s="10"/>
      <c r="E44" s="10"/>
      <c r="F44" s="10"/>
      <c r="G44" s="10"/>
      <c r="H44" s="10"/>
      <c r="I44" s="10"/>
      <c r="J44" s="10"/>
      <c r="K44" s="10"/>
      <c r="L44" s="10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24.75" customHeight="1">
      <c r="A45" s="8"/>
      <c r="B45" s="11"/>
      <c r="C45" s="9"/>
      <c r="D45" s="10"/>
      <c r="E45" s="10"/>
      <c r="F45" s="10"/>
      <c r="G45" s="10"/>
      <c r="H45" s="10"/>
      <c r="I45" s="10"/>
      <c r="J45" s="10"/>
      <c r="K45" s="10"/>
      <c r="L45" s="10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24.75" customHeight="1">
      <c r="A46" s="8"/>
      <c r="B46" s="11"/>
      <c r="C46" s="9"/>
      <c r="D46" s="10"/>
      <c r="E46" s="10"/>
      <c r="F46" s="10"/>
      <c r="G46" s="10"/>
      <c r="H46" s="10"/>
      <c r="I46" s="10"/>
      <c r="J46" s="10"/>
      <c r="K46" s="10"/>
      <c r="L46" s="10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24.75" customHeight="1">
      <c r="A47" s="8"/>
      <c r="B47" s="11"/>
      <c r="C47" s="9"/>
      <c r="D47" s="10"/>
      <c r="E47" s="10"/>
      <c r="F47" s="10"/>
      <c r="G47" s="10"/>
      <c r="H47" s="10"/>
      <c r="I47" s="10"/>
      <c r="J47" s="10"/>
      <c r="K47" s="10"/>
      <c r="L47" s="10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24.75" customHeight="1">
      <c r="A48" s="8"/>
      <c r="B48" s="11"/>
      <c r="C48" s="9"/>
      <c r="D48" s="10"/>
      <c r="E48" s="10"/>
      <c r="F48" s="10"/>
      <c r="G48" s="10"/>
      <c r="H48" s="10"/>
      <c r="I48" s="10"/>
      <c r="J48" s="10"/>
      <c r="K48" s="10"/>
      <c r="L48" s="10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24.75" customHeight="1">
      <c r="A49" s="8"/>
      <c r="B49" s="11"/>
      <c r="C49" s="9"/>
      <c r="D49" s="10"/>
      <c r="E49" s="10"/>
      <c r="F49" s="10"/>
      <c r="G49" s="10"/>
      <c r="H49" s="10"/>
      <c r="I49" s="10"/>
      <c r="J49" s="10"/>
      <c r="K49" s="10"/>
      <c r="L49" s="10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24.75" customHeight="1">
      <c r="A50" s="8"/>
      <c r="B50" s="11"/>
      <c r="C50" s="9"/>
      <c r="D50" s="10"/>
      <c r="E50" s="10"/>
      <c r="F50" s="10"/>
      <c r="G50" s="10"/>
      <c r="H50" s="10"/>
      <c r="I50" s="10"/>
      <c r="J50" s="10"/>
      <c r="K50" s="10"/>
      <c r="L50" s="10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24.75" customHeight="1">
      <c r="A51" s="8"/>
      <c r="B51" s="11"/>
      <c r="C51" s="9"/>
      <c r="D51" s="10"/>
      <c r="E51" s="10"/>
      <c r="F51" s="10"/>
      <c r="G51" s="10"/>
      <c r="H51" s="10"/>
      <c r="I51" s="10"/>
      <c r="J51" s="10"/>
      <c r="K51" s="10"/>
      <c r="L51" s="10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24.75" customHeight="1">
      <c r="A52" s="8"/>
      <c r="B52" s="11"/>
      <c r="C52" s="9"/>
      <c r="D52" s="10"/>
      <c r="E52" s="10"/>
      <c r="F52" s="10"/>
      <c r="G52" s="10"/>
      <c r="H52" s="10"/>
      <c r="I52" s="10"/>
      <c r="J52" s="10"/>
      <c r="K52" s="10"/>
      <c r="L52" s="10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24.75" customHeight="1">
      <c r="A53" s="8"/>
      <c r="B53" s="11"/>
      <c r="C53" s="9"/>
      <c r="D53" s="10"/>
      <c r="E53" s="10"/>
      <c r="F53" s="10"/>
      <c r="G53" s="10"/>
      <c r="H53" s="10"/>
      <c r="I53" s="10"/>
      <c r="J53" s="10"/>
      <c r="K53" s="10"/>
      <c r="L53" s="10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24.75" customHeight="1">
      <c r="A54" s="8"/>
      <c r="B54" s="11"/>
      <c r="C54" s="9"/>
      <c r="D54" s="10"/>
      <c r="E54" s="10"/>
      <c r="F54" s="10"/>
      <c r="G54" s="10"/>
      <c r="H54" s="10"/>
      <c r="I54" s="10"/>
      <c r="J54" s="10"/>
      <c r="K54" s="10"/>
      <c r="L54" s="10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24.75" customHeight="1">
      <c r="A55" s="8"/>
      <c r="B55" s="11"/>
      <c r="C55" s="9"/>
      <c r="D55" s="10"/>
      <c r="E55" s="10"/>
      <c r="F55" s="10"/>
      <c r="G55" s="10"/>
      <c r="H55" s="10"/>
      <c r="I55" s="10"/>
      <c r="J55" s="10"/>
      <c r="K55" s="10"/>
      <c r="L55" s="10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24.75" customHeight="1">
      <c r="A56" s="8"/>
      <c r="B56" s="11"/>
      <c r="C56" s="9"/>
      <c r="D56" s="10"/>
      <c r="E56" s="10"/>
      <c r="F56" s="10"/>
      <c r="G56" s="10"/>
      <c r="H56" s="10"/>
      <c r="I56" s="10"/>
      <c r="J56" s="10"/>
      <c r="K56" s="10"/>
      <c r="L56" s="10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24.75" customHeight="1">
      <c r="A57" s="8"/>
      <c r="B57" s="11"/>
      <c r="C57" s="9"/>
      <c r="D57" s="10"/>
      <c r="E57" s="10"/>
      <c r="F57" s="10"/>
      <c r="G57" s="10"/>
      <c r="H57" s="10"/>
      <c r="I57" s="10"/>
      <c r="J57" s="10"/>
      <c r="K57" s="10"/>
      <c r="L57" s="10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24.75" customHeight="1">
      <c r="A58" s="8"/>
      <c r="B58" s="11"/>
      <c r="C58" s="9"/>
      <c r="D58" s="10"/>
      <c r="E58" s="10"/>
      <c r="F58" s="10"/>
      <c r="G58" s="10"/>
      <c r="H58" s="10"/>
      <c r="I58" s="10"/>
      <c r="J58" s="10"/>
      <c r="K58" s="10"/>
      <c r="L58" s="10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24.75" customHeight="1">
      <c r="A59" s="8"/>
      <c r="B59" s="11"/>
      <c r="C59" s="9"/>
      <c r="D59" s="10"/>
      <c r="E59" s="10"/>
      <c r="F59" s="10"/>
      <c r="G59" s="10"/>
      <c r="H59" s="10"/>
      <c r="I59" s="10"/>
      <c r="J59" s="10"/>
      <c r="K59" s="10"/>
      <c r="L59" s="10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24.75" customHeight="1">
      <c r="A60" s="8"/>
      <c r="B60" s="11"/>
      <c r="C60" s="9"/>
      <c r="D60" s="10"/>
      <c r="E60" s="10"/>
      <c r="F60" s="10"/>
      <c r="G60" s="10"/>
      <c r="H60" s="10"/>
      <c r="I60" s="10"/>
      <c r="J60" s="10"/>
      <c r="K60" s="10"/>
      <c r="L60" s="10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24.75" customHeight="1">
      <c r="A61" s="8"/>
      <c r="B61" s="11"/>
      <c r="C61" s="9"/>
      <c r="D61" s="10"/>
      <c r="E61" s="10"/>
      <c r="F61" s="10"/>
      <c r="G61" s="10"/>
      <c r="H61" s="10"/>
      <c r="I61" s="10"/>
      <c r="J61" s="10"/>
      <c r="K61" s="10"/>
      <c r="L61" s="10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24.75" customHeight="1">
      <c r="A62" s="8"/>
      <c r="B62" s="11"/>
      <c r="C62" s="9"/>
      <c r="D62" s="10"/>
      <c r="E62" s="10"/>
      <c r="F62" s="10"/>
      <c r="G62" s="10"/>
      <c r="H62" s="10"/>
      <c r="I62" s="10"/>
      <c r="J62" s="10"/>
      <c r="K62" s="10"/>
      <c r="L62" s="10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>
      <c r="A63" s="12"/>
      <c r="D63" s="10"/>
      <c r="E63" s="10"/>
      <c r="F63" s="10"/>
      <c r="G63" s="10"/>
      <c r="H63" s="10"/>
      <c r="I63" s="10"/>
      <c r="J63" s="10"/>
      <c r="K63" s="10"/>
      <c r="L63" s="10"/>
    </row>
    <row r="64" spans="1:26" ht="24.75" customHeight="1">
      <c r="A64" s="13"/>
      <c r="B64" s="14"/>
      <c r="C64" s="15"/>
      <c r="D64" s="16"/>
      <c r="E64" s="16"/>
      <c r="F64" s="16"/>
      <c r="G64" s="16"/>
      <c r="H64" s="16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5.75" customHeight="1">
      <c r="A65" s="17"/>
      <c r="B65" s="18"/>
      <c r="C65" s="19"/>
      <c r="D65" s="20"/>
      <c r="E65" s="20"/>
      <c r="F65" s="20"/>
      <c r="G65" s="20"/>
      <c r="H65" s="20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ht="15.75" customHeight="1">
      <c r="A66" s="17"/>
      <c r="B66" s="18"/>
      <c r="C66" s="19"/>
      <c r="D66" s="20"/>
      <c r="E66" s="20"/>
      <c r="F66" s="20"/>
      <c r="G66" s="20"/>
      <c r="H66" s="20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ht="15.75" customHeight="1">
      <c r="A67" s="17"/>
      <c r="B67" s="18"/>
      <c r="C67" s="19"/>
      <c r="D67" s="20"/>
      <c r="E67" s="20"/>
      <c r="F67" s="20"/>
      <c r="G67" s="20"/>
      <c r="H67" s="20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ht="15.75" customHeight="1">
      <c r="A68" s="17"/>
      <c r="B68" s="18"/>
      <c r="C68" s="19"/>
      <c r="D68" s="20"/>
      <c r="E68" s="20"/>
      <c r="F68" s="20"/>
      <c r="G68" s="20"/>
      <c r="H68" s="20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ht="15.75" customHeight="1">
      <c r="A69" s="17"/>
      <c r="B69" s="18"/>
      <c r="C69" s="19"/>
      <c r="D69" s="20"/>
      <c r="E69" s="20"/>
      <c r="F69" s="20"/>
      <c r="G69" s="20"/>
      <c r="H69" s="20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ht="15.75" customHeight="1">
      <c r="A70" s="17"/>
      <c r="B70" s="18"/>
      <c r="C70" s="19"/>
      <c r="D70" s="20"/>
      <c r="E70" s="20"/>
      <c r="F70" s="20"/>
      <c r="G70" s="20"/>
      <c r="H70" s="20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ht="15.75" customHeight="1">
      <c r="A71" s="17"/>
      <c r="B71" s="18"/>
      <c r="C71" s="19"/>
      <c r="D71" s="20"/>
      <c r="E71" s="20"/>
      <c r="F71" s="20"/>
      <c r="G71" s="20"/>
      <c r="H71" s="20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ht="15.75" customHeight="1">
      <c r="A72" s="17"/>
      <c r="B72" s="18"/>
      <c r="C72" s="19"/>
      <c r="D72" s="20"/>
      <c r="E72" s="20"/>
      <c r="F72" s="20"/>
      <c r="G72" s="20"/>
      <c r="H72" s="20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ht="15.75" customHeight="1">
      <c r="A73" s="17"/>
      <c r="B73" s="18"/>
      <c r="C73" s="19"/>
      <c r="D73" s="20"/>
      <c r="E73" s="20"/>
      <c r="F73" s="20"/>
      <c r="G73" s="20"/>
      <c r="H73" s="20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ht="15.75" customHeight="1">
      <c r="A74" s="17"/>
      <c r="B74" s="18"/>
      <c r="C74" s="19"/>
      <c r="D74" s="20"/>
      <c r="E74" s="20"/>
      <c r="F74" s="20"/>
      <c r="G74" s="20"/>
      <c r="H74" s="20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ht="15.75" customHeight="1">
      <c r="A75" s="17"/>
      <c r="B75" s="18"/>
      <c r="C75" s="19"/>
      <c r="D75" s="20"/>
      <c r="E75" s="20"/>
      <c r="F75" s="20"/>
      <c r="G75" s="20"/>
      <c r="H75" s="20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ht="15.75" customHeight="1">
      <c r="A76" s="17"/>
      <c r="B76" s="18"/>
      <c r="C76" s="19"/>
      <c r="D76" s="20"/>
      <c r="E76" s="20"/>
      <c r="F76" s="20"/>
      <c r="G76" s="20"/>
      <c r="H76" s="20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ht="15.75" customHeight="1">
      <c r="A77" s="17"/>
      <c r="B77" s="18"/>
      <c r="C77" s="19"/>
      <c r="D77" s="20"/>
      <c r="E77" s="20"/>
      <c r="F77" s="20"/>
      <c r="G77" s="20"/>
      <c r="H77" s="20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ht="15.75" customHeight="1">
      <c r="A78" s="17"/>
      <c r="B78" s="18"/>
      <c r="C78" s="19"/>
      <c r="D78" s="20"/>
      <c r="E78" s="20"/>
      <c r="F78" s="20"/>
      <c r="G78" s="20"/>
      <c r="H78" s="20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ht="15.75" customHeight="1">
      <c r="A79" s="17"/>
      <c r="B79" s="18"/>
      <c r="C79" s="19"/>
      <c r="D79" s="20"/>
      <c r="E79" s="20"/>
      <c r="F79" s="20"/>
      <c r="G79" s="20"/>
      <c r="H79" s="20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ht="15.75" customHeight="1">
      <c r="A80" s="17"/>
      <c r="B80" s="18"/>
      <c r="C80" s="19"/>
      <c r="D80" s="20"/>
      <c r="E80" s="20"/>
      <c r="F80" s="20"/>
      <c r="G80" s="20"/>
      <c r="H80" s="20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ht="15.75" customHeight="1">
      <c r="A81" s="17"/>
      <c r="B81" s="18"/>
      <c r="C81" s="19"/>
      <c r="D81" s="20"/>
      <c r="E81" s="20"/>
      <c r="F81" s="20"/>
      <c r="G81" s="20"/>
      <c r="H81" s="20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ht="15.75" customHeight="1">
      <c r="A82" s="17"/>
      <c r="B82" s="18"/>
      <c r="C82" s="19"/>
      <c r="D82" s="20"/>
      <c r="E82" s="20"/>
      <c r="F82" s="20"/>
      <c r="G82" s="20"/>
      <c r="H82" s="20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ht="15.75" customHeight="1">
      <c r="A83" s="17"/>
      <c r="B83" s="18"/>
      <c r="C83" s="19"/>
      <c r="D83" s="20"/>
      <c r="E83" s="20"/>
      <c r="F83" s="20"/>
      <c r="G83" s="20"/>
      <c r="H83" s="20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ht="15.75" customHeight="1">
      <c r="A84" s="17"/>
      <c r="B84" s="18"/>
      <c r="C84" s="19"/>
      <c r="D84" s="20"/>
      <c r="E84" s="20"/>
      <c r="F84" s="20"/>
      <c r="G84" s="20"/>
      <c r="H84" s="20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ht="15.75" customHeight="1">
      <c r="A85" s="17"/>
      <c r="B85" s="18"/>
      <c r="C85" s="19"/>
      <c r="D85" s="20"/>
      <c r="E85" s="20"/>
      <c r="F85" s="20"/>
      <c r="G85" s="20"/>
      <c r="H85" s="20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ht="15.75" customHeight="1">
      <c r="A86" s="17"/>
      <c r="B86" s="18"/>
      <c r="C86" s="19"/>
      <c r="D86" s="20"/>
      <c r="E86" s="20"/>
      <c r="F86" s="20"/>
      <c r="G86" s="20"/>
      <c r="H86" s="20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ht="15.75" customHeight="1">
      <c r="A87" s="17"/>
      <c r="B87" s="18"/>
      <c r="C87" s="19"/>
      <c r="D87" s="20"/>
      <c r="E87" s="20"/>
      <c r="F87" s="20"/>
      <c r="G87" s="20"/>
      <c r="H87" s="20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ht="15.75" customHeight="1">
      <c r="A88" s="17"/>
      <c r="B88" s="18"/>
      <c r="C88" s="19"/>
      <c r="D88" s="20"/>
      <c r="E88" s="20"/>
      <c r="F88" s="20"/>
      <c r="G88" s="20"/>
      <c r="H88" s="20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ht="15.75" customHeight="1">
      <c r="A89" s="17"/>
      <c r="B89" s="18"/>
      <c r="C89" s="19"/>
      <c r="D89" s="20"/>
      <c r="E89" s="20"/>
      <c r="F89" s="20"/>
      <c r="G89" s="20"/>
      <c r="H89" s="20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ht="15.75" customHeight="1">
      <c r="A90" s="17"/>
      <c r="B90" s="18"/>
      <c r="C90" s="19"/>
      <c r="D90" s="20"/>
      <c r="E90" s="20"/>
      <c r="F90" s="20"/>
      <c r="G90" s="20"/>
      <c r="H90" s="20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ht="15.75" customHeight="1">
      <c r="A91" s="17"/>
      <c r="B91" s="18"/>
      <c r="C91" s="19"/>
      <c r="D91" s="20"/>
      <c r="E91" s="20"/>
      <c r="F91" s="20"/>
      <c r="G91" s="20"/>
      <c r="H91" s="20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ht="15.75" customHeight="1">
      <c r="A92" s="17"/>
      <c r="B92" s="18"/>
      <c r="C92" s="19"/>
      <c r="D92" s="20"/>
      <c r="E92" s="20"/>
      <c r="F92" s="20"/>
      <c r="G92" s="20"/>
      <c r="H92" s="20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ht="15.75" customHeight="1">
      <c r="A93" s="17"/>
      <c r="B93" s="18"/>
      <c r="C93" s="19"/>
      <c r="D93" s="20"/>
      <c r="E93" s="20"/>
      <c r="F93" s="20"/>
      <c r="G93" s="20"/>
      <c r="H93" s="20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ht="15.75" customHeight="1">
      <c r="A94" s="17"/>
      <c r="B94" s="18"/>
      <c r="C94" s="19"/>
      <c r="D94" s="20"/>
      <c r="E94" s="20"/>
      <c r="F94" s="20"/>
      <c r="G94" s="20"/>
      <c r="H94" s="20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ht="15.75" customHeight="1">
      <c r="A95" s="17"/>
      <c r="B95" s="18"/>
      <c r="C95" s="19"/>
      <c r="D95" s="20"/>
      <c r="E95" s="20"/>
      <c r="F95" s="20"/>
      <c r="G95" s="20"/>
      <c r="H95" s="20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ht="15.75" customHeight="1">
      <c r="A96" s="17"/>
      <c r="B96" s="18"/>
      <c r="C96" s="19"/>
      <c r="D96" s="20"/>
      <c r="E96" s="20"/>
      <c r="F96" s="20"/>
      <c r="G96" s="20"/>
      <c r="H96" s="20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ht="15.75" customHeight="1">
      <c r="A97" s="17"/>
      <c r="B97" s="18"/>
      <c r="C97" s="19"/>
      <c r="D97" s="20"/>
      <c r="E97" s="20"/>
      <c r="F97" s="20"/>
      <c r="G97" s="20"/>
      <c r="H97" s="20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ht="15.75" customHeight="1">
      <c r="A98" s="17"/>
      <c r="B98" s="18"/>
      <c r="C98" s="19"/>
      <c r="D98" s="20"/>
      <c r="E98" s="20"/>
      <c r="F98" s="20"/>
      <c r="G98" s="20"/>
      <c r="H98" s="20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ht="15.75" customHeight="1">
      <c r="A99" s="17"/>
      <c r="B99" s="18"/>
      <c r="C99" s="19"/>
      <c r="D99" s="20"/>
      <c r="E99" s="20"/>
      <c r="F99" s="20"/>
      <c r="G99" s="20"/>
      <c r="H99" s="20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ht="15.75" customHeight="1">
      <c r="A100" s="17"/>
      <c r="B100" s="18"/>
      <c r="C100" s="19"/>
      <c r="D100" s="20"/>
      <c r="E100" s="20"/>
      <c r="F100" s="20"/>
      <c r="G100" s="20"/>
      <c r="H100" s="20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spans="1:26" ht="15.75" customHeight="1">
      <c r="A101" s="17"/>
      <c r="B101" s="18"/>
      <c r="C101" s="19"/>
      <c r="D101" s="20"/>
      <c r="E101" s="20"/>
      <c r="F101" s="20"/>
      <c r="G101" s="20"/>
      <c r="H101" s="20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spans="1:26" ht="15.75" customHeight="1">
      <c r="A102" s="17"/>
      <c r="B102" s="18"/>
      <c r="C102" s="19"/>
      <c r="D102" s="20"/>
      <c r="E102" s="20"/>
      <c r="F102" s="20"/>
      <c r="G102" s="20"/>
      <c r="H102" s="20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spans="1:26" ht="15.75" customHeight="1">
      <c r="A103" s="17"/>
      <c r="B103" s="18"/>
      <c r="C103" s="19"/>
      <c r="D103" s="20"/>
      <c r="E103" s="20"/>
      <c r="F103" s="20"/>
      <c r="G103" s="20"/>
      <c r="H103" s="20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spans="1:26" ht="15.75" customHeight="1">
      <c r="A104" s="17"/>
      <c r="B104" s="18"/>
      <c r="C104" s="19"/>
      <c r="D104" s="20"/>
      <c r="E104" s="20"/>
      <c r="F104" s="20"/>
      <c r="G104" s="20"/>
      <c r="H104" s="20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spans="1:26" ht="15.75" customHeight="1">
      <c r="A105" s="17"/>
      <c r="B105" s="18"/>
      <c r="C105" s="19"/>
      <c r="D105" s="20"/>
      <c r="E105" s="20"/>
      <c r="F105" s="20"/>
      <c r="G105" s="20"/>
      <c r="H105" s="20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spans="1:26" ht="15.75" customHeight="1">
      <c r="A106" s="17"/>
      <c r="B106" s="18"/>
      <c r="C106" s="19"/>
      <c r="D106" s="20"/>
      <c r="E106" s="20"/>
      <c r="F106" s="20"/>
      <c r="G106" s="20"/>
      <c r="H106" s="20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spans="1:26" ht="15.75" customHeight="1">
      <c r="A107" s="17"/>
      <c r="B107" s="18"/>
      <c r="C107" s="19"/>
      <c r="D107" s="20"/>
      <c r="E107" s="20"/>
      <c r="F107" s="20"/>
      <c r="G107" s="20"/>
      <c r="H107" s="20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spans="1:26" ht="15.75" customHeight="1">
      <c r="A108" s="17"/>
      <c r="B108" s="18"/>
      <c r="C108" s="19"/>
      <c r="D108" s="20"/>
      <c r="E108" s="20"/>
      <c r="F108" s="20"/>
      <c r="G108" s="20"/>
      <c r="H108" s="20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spans="1:26" ht="15.75" customHeight="1">
      <c r="A109" s="17"/>
      <c r="B109" s="18"/>
      <c r="C109" s="19"/>
      <c r="D109" s="20"/>
      <c r="E109" s="20"/>
      <c r="F109" s="20"/>
      <c r="G109" s="20"/>
      <c r="H109" s="20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spans="1:26" ht="15.75" customHeight="1">
      <c r="A110" s="17"/>
      <c r="B110" s="18"/>
      <c r="C110" s="19"/>
      <c r="D110" s="20"/>
      <c r="E110" s="20"/>
      <c r="F110" s="20"/>
      <c r="G110" s="20"/>
      <c r="H110" s="20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spans="1:26" ht="15.75" customHeight="1">
      <c r="A111" s="17"/>
      <c r="B111" s="18"/>
      <c r="C111" s="19"/>
      <c r="D111" s="20"/>
      <c r="E111" s="20"/>
      <c r="F111" s="20"/>
      <c r="G111" s="20"/>
      <c r="H111" s="20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spans="1:26" ht="15.75" customHeight="1">
      <c r="A112" s="17"/>
      <c r="B112" s="18"/>
      <c r="C112" s="19"/>
      <c r="D112" s="20"/>
      <c r="E112" s="20"/>
      <c r="F112" s="20"/>
      <c r="G112" s="20"/>
      <c r="H112" s="20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1:26" ht="15.75" customHeight="1">
      <c r="A113" s="17"/>
      <c r="B113" s="18"/>
      <c r="C113" s="19"/>
      <c r="D113" s="20"/>
      <c r="E113" s="20"/>
      <c r="F113" s="20"/>
      <c r="G113" s="20"/>
      <c r="H113" s="20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1:26" ht="15.75" customHeight="1">
      <c r="A114" s="17"/>
      <c r="B114" s="18"/>
      <c r="C114" s="19"/>
      <c r="D114" s="20"/>
      <c r="E114" s="20"/>
      <c r="F114" s="20"/>
      <c r="G114" s="20"/>
      <c r="H114" s="20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1:26" ht="15.75" customHeight="1">
      <c r="A115" s="17"/>
      <c r="B115" s="18"/>
      <c r="C115" s="19"/>
      <c r="D115" s="20"/>
      <c r="E115" s="20"/>
      <c r="F115" s="20"/>
      <c r="G115" s="20"/>
      <c r="H115" s="20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1:26" ht="15.75" customHeight="1">
      <c r="A116" s="17"/>
      <c r="B116" s="18"/>
      <c r="C116" s="19"/>
      <c r="D116" s="20"/>
      <c r="E116" s="20"/>
      <c r="F116" s="20"/>
      <c r="G116" s="20"/>
      <c r="H116" s="20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spans="1:26" ht="15.75" customHeight="1">
      <c r="A117" s="17"/>
      <c r="B117" s="18"/>
      <c r="C117" s="19"/>
      <c r="D117" s="20"/>
      <c r="E117" s="20"/>
      <c r="F117" s="20"/>
      <c r="G117" s="20"/>
      <c r="H117" s="20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spans="1:26" ht="15.75" customHeight="1">
      <c r="A118" s="17"/>
      <c r="B118" s="18"/>
      <c r="C118" s="19"/>
      <c r="D118" s="20"/>
      <c r="E118" s="20"/>
      <c r="F118" s="20"/>
      <c r="G118" s="20"/>
      <c r="H118" s="20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spans="1:26" ht="15.75" customHeight="1">
      <c r="A119" s="17"/>
      <c r="B119" s="18"/>
      <c r="C119" s="19"/>
      <c r="D119" s="20"/>
      <c r="E119" s="20"/>
      <c r="F119" s="20"/>
      <c r="G119" s="20"/>
      <c r="H119" s="20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spans="1:26" ht="15.75" customHeight="1">
      <c r="A120" s="17"/>
      <c r="B120" s="18"/>
      <c r="C120" s="19"/>
      <c r="D120" s="20"/>
      <c r="E120" s="20"/>
      <c r="F120" s="20"/>
      <c r="G120" s="20"/>
      <c r="H120" s="20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spans="1:26" ht="15.75" customHeight="1">
      <c r="A121" s="17"/>
      <c r="B121" s="18"/>
      <c r="C121" s="19"/>
      <c r="D121" s="20"/>
      <c r="E121" s="20"/>
      <c r="F121" s="20"/>
      <c r="G121" s="20"/>
      <c r="H121" s="20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spans="1:26" ht="15.75" customHeight="1">
      <c r="A122" s="17"/>
      <c r="B122" s="18"/>
      <c r="C122" s="19"/>
      <c r="D122" s="20"/>
      <c r="E122" s="20"/>
      <c r="F122" s="20"/>
      <c r="G122" s="20"/>
      <c r="H122" s="20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spans="1:26" ht="15.75" customHeight="1">
      <c r="A123" s="17"/>
      <c r="B123" s="18"/>
      <c r="C123" s="19"/>
      <c r="D123" s="20"/>
      <c r="E123" s="20"/>
      <c r="F123" s="20"/>
      <c r="G123" s="20"/>
      <c r="H123" s="20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spans="1:26" ht="15.75" customHeight="1">
      <c r="A124" s="17"/>
      <c r="B124" s="18"/>
      <c r="C124" s="19"/>
      <c r="D124" s="20"/>
      <c r="E124" s="20"/>
      <c r="F124" s="20"/>
      <c r="G124" s="20"/>
      <c r="H124" s="20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spans="1:26" ht="15.75" customHeight="1">
      <c r="A125" s="17"/>
      <c r="B125" s="18"/>
      <c r="C125" s="19"/>
      <c r="D125" s="20"/>
      <c r="E125" s="20"/>
      <c r="F125" s="20"/>
      <c r="G125" s="20"/>
      <c r="H125" s="20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spans="1:26" ht="15.75" customHeight="1">
      <c r="A126" s="17"/>
      <c r="B126" s="18"/>
      <c r="C126" s="19"/>
      <c r="D126" s="20"/>
      <c r="E126" s="20"/>
      <c r="F126" s="20"/>
      <c r="G126" s="20"/>
      <c r="H126" s="20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spans="1:26" ht="15.75" customHeight="1">
      <c r="A127" s="17"/>
      <c r="B127" s="18"/>
      <c r="C127" s="19"/>
      <c r="D127" s="20"/>
      <c r="E127" s="20"/>
      <c r="F127" s="20"/>
      <c r="G127" s="20"/>
      <c r="H127" s="20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spans="1:26" ht="15.75" customHeight="1">
      <c r="A128" s="17"/>
      <c r="B128" s="18"/>
      <c r="C128" s="19"/>
      <c r="D128" s="20"/>
      <c r="E128" s="20"/>
      <c r="F128" s="20"/>
      <c r="G128" s="20"/>
      <c r="H128" s="20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spans="1:26" ht="15.75" customHeight="1">
      <c r="A129" s="17"/>
      <c r="B129" s="18"/>
      <c r="C129" s="19"/>
      <c r="D129" s="20"/>
      <c r="E129" s="20"/>
      <c r="F129" s="20"/>
      <c r="G129" s="20"/>
      <c r="H129" s="20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spans="1:26" ht="15.75" customHeight="1">
      <c r="A130" s="17"/>
      <c r="B130" s="18"/>
      <c r="C130" s="19"/>
      <c r="D130" s="20"/>
      <c r="E130" s="20"/>
      <c r="F130" s="20"/>
      <c r="G130" s="20"/>
      <c r="H130" s="20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spans="1:26" ht="15.75" customHeight="1">
      <c r="A131" s="17"/>
      <c r="B131" s="18"/>
      <c r="C131" s="19"/>
      <c r="D131" s="20"/>
      <c r="E131" s="20"/>
      <c r="F131" s="20"/>
      <c r="G131" s="20"/>
      <c r="H131" s="20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spans="1:26" ht="15.75" customHeight="1">
      <c r="A132" s="17"/>
      <c r="B132" s="18"/>
      <c r="C132" s="19"/>
      <c r="D132" s="20"/>
      <c r="E132" s="20"/>
      <c r="F132" s="20"/>
      <c r="G132" s="20"/>
      <c r="H132" s="20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spans="1:26" ht="15.75" customHeight="1">
      <c r="A133" s="17"/>
      <c r="B133" s="18"/>
      <c r="C133" s="19"/>
      <c r="D133" s="20"/>
      <c r="E133" s="20"/>
      <c r="F133" s="20"/>
      <c r="G133" s="20"/>
      <c r="H133" s="20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spans="1:26" ht="15.75" customHeight="1">
      <c r="A134" s="17"/>
      <c r="B134" s="18"/>
      <c r="C134" s="19"/>
      <c r="D134" s="20"/>
      <c r="E134" s="20"/>
      <c r="F134" s="20"/>
      <c r="G134" s="20"/>
      <c r="H134" s="20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spans="1:26" ht="15.75" customHeight="1">
      <c r="A135" s="17"/>
      <c r="B135" s="18"/>
      <c r="C135" s="19"/>
      <c r="D135" s="20"/>
      <c r="E135" s="20"/>
      <c r="F135" s="20"/>
      <c r="G135" s="20"/>
      <c r="H135" s="20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spans="1:26" ht="15.75" customHeight="1">
      <c r="A136" s="17"/>
      <c r="B136" s="18"/>
      <c r="C136" s="19"/>
      <c r="D136" s="20"/>
      <c r="E136" s="20"/>
      <c r="F136" s="20"/>
      <c r="G136" s="20"/>
      <c r="H136" s="20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spans="1:26" ht="15.75" customHeight="1">
      <c r="A137" s="17"/>
      <c r="B137" s="18"/>
      <c r="C137" s="19"/>
      <c r="D137" s="20"/>
      <c r="E137" s="20"/>
      <c r="F137" s="20"/>
      <c r="G137" s="20"/>
      <c r="H137" s="20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spans="1:26" ht="15.75" customHeight="1">
      <c r="A138" s="17"/>
      <c r="B138" s="18"/>
      <c r="C138" s="19"/>
      <c r="D138" s="20"/>
      <c r="E138" s="20"/>
      <c r="F138" s="20"/>
      <c r="G138" s="20"/>
      <c r="H138" s="20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spans="1:26" ht="15.75" customHeight="1">
      <c r="A139" s="17"/>
      <c r="B139" s="18"/>
      <c r="C139" s="19"/>
      <c r="D139" s="20"/>
      <c r="E139" s="20"/>
      <c r="F139" s="20"/>
      <c r="G139" s="20"/>
      <c r="H139" s="20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spans="1:26" ht="15.75" customHeight="1">
      <c r="A140" s="17"/>
      <c r="B140" s="18"/>
      <c r="C140" s="19"/>
      <c r="D140" s="20"/>
      <c r="E140" s="20"/>
      <c r="F140" s="20"/>
      <c r="G140" s="20"/>
      <c r="H140" s="20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spans="1:26" ht="15.75" customHeight="1">
      <c r="A141" s="17"/>
      <c r="B141" s="18"/>
      <c r="C141" s="19"/>
      <c r="D141" s="20"/>
      <c r="E141" s="20"/>
      <c r="F141" s="20"/>
      <c r="G141" s="20"/>
      <c r="H141" s="20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ht="15.75" customHeight="1">
      <c r="A142" s="17"/>
      <c r="B142" s="18"/>
      <c r="C142" s="19"/>
      <c r="D142" s="20"/>
      <c r="E142" s="20"/>
      <c r="F142" s="20"/>
      <c r="G142" s="20"/>
      <c r="H142" s="20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spans="1:26" ht="15.75" customHeight="1">
      <c r="A143" s="17"/>
      <c r="B143" s="18"/>
      <c r="C143" s="19"/>
      <c r="D143" s="20"/>
      <c r="E143" s="20"/>
      <c r="F143" s="20"/>
      <c r="G143" s="20"/>
      <c r="H143" s="20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spans="1:26" ht="15.75" customHeight="1">
      <c r="A144" s="17"/>
      <c r="B144" s="18"/>
      <c r="C144" s="19"/>
      <c r="D144" s="20"/>
      <c r="E144" s="20"/>
      <c r="F144" s="20"/>
      <c r="G144" s="20"/>
      <c r="H144" s="20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spans="1:26" ht="15.75" customHeight="1">
      <c r="A145" s="17"/>
      <c r="B145" s="18"/>
      <c r="C145" s="19"/>
      <c r="D145" s="20"/>
      <c r="E145" s="20"/>
      <c r="F145" s="20"/>
      <c r="G145" s="20"/>
      <c r="H145" s="20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ht="15.75" customHeight="1">
      <c r="A146" s="17"/>
      <c r="B146" s="18"/>
      <c r="C146" s="19"/>
      <c r="D146" s="20"/>
      <c r="E146" s="20"/>
      <c r="F146" s="20"/>
      <c r="G146" s="20"/>
      <c r="H146" s="20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spans="1:26" ht="15.75" customHeight="1">
      <c r="A147" s="17"/>
      <c r="B147" s="18"/>
      <c r="C147" s="19"/>
      <c r="D147" s="20"/>
      <c r="E147" s="20"/>
      <c r="F147" s="20"/>
      <c r="G147" s="20"/>
      <c r="H147" s="20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spans="1:26" ht="15.75" customHeight="1">
      <c r="A148" s="17"/>
      <c r="B148" s="18"/>
      <c r="C148" s="19"/>
      <c r="D148" s="20"/>
      <c r="E148" s="20"/>
      <c r="F148" s="20"/>
      <c r="G148" s="20"/>
      <c r="H148" s="20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ht="15.75" customHeight="1">
      <c r="A149" s="17"/>
      <c r="B149" s="18"/>
      <c r="C149" s="19"/>
      <c r="D149" s="20"/>
      <c r="E149" s="20"/>
      <c r="F149" s="20"/>
      <c r="G149" s="20"/>
      <c r="H149" s="20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spans="1:26" ht="15.75" customHeight="1">
      <c r="A150" s="17"/>
      <c r="B150" s="18"/>
      <c r="C150" s="19"/>
      <c r="D150" s="20"/>
      <c r="E150" s="20"/>
      <c r="F150" s="20"/>
      <c r="G150" s="20"/>
      <c r="H150" s="20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spans="1:26" ht="15.75" customHeight="1">
      <c r="A151" s="17"/>
      <c r="B151" s="18"/>
      <c r="C151" s="19"/>
      <c r="D151" s="20"/>
      <c r="E151" s="20"/>
      <c r="F151" s="20"/>
      <c r="G151" s="20"/>
      <c r="H151" s="20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spans="1:26" ht="15.75" customHeight="1">
      <c r="A152" s="17"/>
      <c r="B152" s="18"/>
      <c r="C152" s="19"/>
      <c r="D152" s="20"/>
      <c r="E152" s="20"/>
      <c r="F152" s="20"/>
      <c r="G152" s="20"/>
      <c r="H152" s="20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ht="15.75" customHeight="1">
      <c r="A153" s="17"/>
      <c r="B153" s="18"/>
      <c r="C153" s="19"/>
      <c r="D153" s="20"/>
      <c r="E153" s="20"/>
      <c r="F153" s="20"/>
      <c r="G153" s="20"/>
      <c r="H153" s="20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spans="1:26" ht="15.75" customHeight="1">
      <c r="A154" s="17"/>
      <c r="B154" s="18"/>
      <c r="C154" s="19"/>
      <c r="D154" s="20"/>
      <c r="E154" s="20"/>
      <c r="F154" s="20"/>
      <c r="G154" s="20"/>
      <c r="H154" s="20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spans="1:26" ht="15.75" customHeight="1">
      <c r="A155" s="17"/>
      <c r="B155" s="18"/>
      <c r="C155" s="19"/>
      <c r="D155" s="20"/>
      <c r="E155" s="20"/>
      <c r="F155" s="20"/>
      <c r="G155" s="20"/>
      <c r="H155" s="20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spans="1:26" ht="15.75" customHeight="1">
      <c r="A156" s="17"/>
      <c r="B156" s="18"/>
      <c r="C156" s="19"/>
      <c r="D156" s="20"/>
      <c r="E156" s="20"/>
      <c r="F156" s="20"/>
      <c r="G156" s="20"/>
      <c r="H156" s="20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spans="1:26" ht="15.75" customHeight="1">
      <c r="A157" s="17"/>
      <c r="B157" s="18"/>
      <c r="C157" s="19"/>
      <c r="D157" s="20"/>
      <c r="E157" s="20"/>
      <c r="F157" s="20"/>
      <c r="G157" s="20"/>
      <c r="H157" s="20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spans="1:26" ht="15.75" customHeight="1">
      <c r="A158" s="17"/>
      <c r="B158" s="18"/>
      <c r="C158" s="19"/>
      <c r="D158" s="20"/>
      <c r="E158" s="20"/>
      <c r="F158" s="20"/>
      <c r="G158" s="20"/>
      <c r="H158" s="20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spans="1:26" ht="15.75" customHeight="1">
      <c r="A159" s="17"/>
      <c r="B159" s="18"/>
      <c r="C159" s="19"/>
      <c r="D159" s="20"/>
      <c r="E159" s="20"/>
      <c r="F159" s="20"/>
      <c r="G159" s="20"/>
      <c r="H159" s="20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spans="1:26" ht="15.75" customHeight="1">
      <c r="A160" s="17"/>
      <c r="B160" s="18"/>
      <c r="C160" s="19"/>
      <c r="D160" s="20"/>
      <c r="E160" s="20"/>
      <c r="F160" s="20"/>
      <c r="G160" s="20"/>
      <c r="H160" s="20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spans="1:26" ht="15.75" customHeight="1">
      <c r="A161" s="17"/>
      <c r="B161" s="18"/>
      <c r="C161" s="19"/>
      <c r="D161" s="20"/>
      <c r="E161" s="20"/>
      <c r="F161" s="20"/>
      <c r="G161" s="20"/>
      <c r="H161" s="20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spans="1:26" ht="15.75" customHeight="1">
      <c r="A162" s="17"/>
      <c r="B162" s="18"/>
      <c r="C162" s="19"/>
      <c r="D162" s="20"/>
      <c r="E162" s="20"/>
      <c r="F162" s="20"/>
      <c r="G162" s="20"/>
      <c r="H162" s="20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spans="1:26" ht="15.75" customHeight="1">
      <c r="A163" s="17"/>
      <c r="B163" s="18"/>
      <c r="C163" s="19"/>
      <c r="D163" s="20"/>
      <c r="E163" s="20"/>
      <c r="F163" s="20"/>
      <c r="G163" s="20"/>
      <c r="H163" s="20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spans="1:26" ht="15.75" customHeight="1">
      <c r="A164" s="17"/>
      <c r="B164" s="18"/>
      <c r="C164" s="19"/>
      <c r="D164" s="20"/>
      <c r="E164" s="20"/>
      <c r="F164" s="20"/>
      <c r="G164" s="20"/>
      <c r="H164" s="20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ht="15.75" customHeight="1">
      <c r="A165" s="17"/>
      <c r="B165" s="18"/>
      <c r="C165" s="19"/>
      <c r="D165" s="20"/>
      <c r="E165" s="20"/>
      <c r="F165" s="20"/>
      <c r="G165" s="20"/>
      <c r="H165" s="20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spans="1:26" ht="15.75" customHeight="1">
      <c r="A166" s="17"/>
      <c r="B166" s="18"/>
      <c r="C166" s="19"/>
      <c r="D166" s="20"/>
      <c r="E166" s="20"/>
      <c r="F166" s="20"/>
      <c r="G166" s="20"/>
      <c r="H166" s="20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ht="15.75" customHeight="1">
      <c r="A167" s="17"/>
      <c r="B167" s="18"/>
      <c r="C167" s="19"/>
      <c r="D167" s="20"/>
      <c r="E167" s="20"/>
      <c r="F167" s="20"/>
      <c r="G167" s="20"/>
      <c r="H167" s="20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spans="1:26" ht="15.75" customHeight="1">
      <c r="A168" s="17"/>
      <c r="B168" s="18"/>
      <c r="C168" s="19"/>
      <c r="D168" s="20"/>
      <c r="E168" s="20"/>
      <c r="F168" s="20"/>
      <c r="G168" s="20"/>
      <c r="H168" s="20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ht="15.75" customHeight="1">
      <c r="A169" s="17"/>
      <c r="B169" s="18"/>
      <c r="C169" s="19"/>
      <c r="D169" s="20"/>
      <c r="E169" s="20"/>
      <c r="F169" s="20"/>
      <c r="G169" s="20"/>
      <c r="H169" s="20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spans="1:26" ht="15.75" customHeight="1">
      <c r="A170" s="17"/>
      <c r="B170" s="18"/>
      <c r="C170" s="19"/>
      <c r="D170" s="20"/>
      <c r="E170" s="20"/>
      <c r="F170" s="20"/>
      <c r="G170" s="20"/>
      <c r="H170" s="20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spans="1:26" ht="15.75" customHeight="1">
      <c r="A171" s="17"/>
      <c r="B171" s="18"/>
      <c r="C171" s="19"/>
      <c r="D171" s="20"/>
      <c r="E171" s="20"/>
      <c r="F171" s="20"/>
      <c r="G171" s="20"/>
      <c r="H171" s="20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spans="1:26" ht="15.75" customHeight="1">
      <c r="A172" s="17"/>
      <c r="B172" s="18"/>
      <c r="C172" s="19"/>
      <c r="D172" s="20"/>
      <c r="E172" s="20"/>
      <c r="F172" s="20"/>
      <c r="G172" s="20"/>
      <c r="H172" s="20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spans="1:26" ht="15.75" customHeight="1">
      <c r="A173" s="17"/>
      <c r="B173" s="18"/>
      <c r="C173" s="19"/>
      <c r="D173" s="20"/>
      <c r="E173" s="20"/>
      <c r="F173" s="20"/>
      <c r="G173" s="20"/>
      <c r="H173" s="20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spans="1:26" ht="15.75" customHeight="1">
      <c r="A174" s="17"/>
      <c r="B174" s="18"/>
      <c r="C174" s="19"/>
      <c r="D174" s="20"/>
      <c r="E174" s="20"/>
      <c r="F174" s="20"/>
      <c r="G174" s="20"/>
      <c r="H174" s="20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spans="1:26" ht="15.75" customHeight="1">
      <c r="A175" s="17"/>
      <c r="B175" s="18"/>
      <c r="C175" s="19"/>
      <c r="D175" s="20"/>
      <c r="E175" s="20"/>
      <c r="F175" s="20"/>
      <c r="G175" s="20"/>
      <c r="H175" s="20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spans="1:26" ht="15.75" customHeight="1">
      <c r="A176" s="17"/>
      <c r="B176" s="18"/>
      <c r="C176" s="19"/>
      <c r="D176" s="20"/>
      <c r="E176" s="20"/>
      <c r="F176" s="20"/>
      <c r="G176" s="20"/>
      <c r="H176" s="20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spans="1:26" ht="15.75" customHeight="1">
      <c r="A177" s="17"/>
      <c r="B177" s="18"/>
      <c r="C177" s="19"/>
      <c r="D177" s="20"/>
      <c r="E177" s="20"/>
      <c r="F177" s="20"/>
      <c r="G177" s="20"/>
      <c r="H177" s="20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spans="1:26" ht="15.75" customHeight="1">
      <c r="A178" s="17"/>
      <c r="B178" s="18"/>
      <c r="C178" s="19"/>
      <c r="D178" s="20"/>
      <c r="E178" s="20"/>
      <c r="F178" s="20"/>
      <c r="G178" s="20"/>
      <c r="H178" s="20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spans="1:26" ht="15.75" customHeight="1">
      <c r="A179" s="17"/>
      <c r="B179" s="18"/>
      <c r="C179" s="19"/>
      <c r="D179" s="20"/>
      <c r="E179" s="20"/>
      <c r="F179" s="20"/>
      <c r="G179" s="20"/>
      <c r="H179" s="20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spans="1:26" ht="15.75" customHeight="1">
      <c r="A180" s="17"/>
      <c r="B180" s="18"/>
      <c r="C180" s="19"/>
      <c r="D180" s="20"/>
      <c r="E180" s="20"/>
      <c r="F180" s="20"/>
      <c r="G180" s="20"/>
      <c r="H180" s="20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spans="1:26" ht="15.75" customHeight="1">
      <c r="A181" s="17"/>
      <c r="B181" s="18"/>
      <c r="C181" s="19"/>
      <c r="D181" s="20"/>
      <c r="E181" s="20"/>
      <c r="F181" s="20"/>
      <c r="G181" s="20"/>
      <c r="H181" s="20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spans="1:26" ht="15.75" customHeight="1">
      <c r="A182" s="17"/>
      <c r="B182" s="18"/>
      <c r="C182" s="19"/>
      <c r="D182" s="20"/>
      <c r="E182" s="20"/>
      <c r="F182" s="20"/>
      <c r="G182" s="20"/>
      <c r="H182" s="20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spans="1:26" ht="15.75" customHeight="1">
      <c r="A183" s="17"/>
      <c r="B183" s="18"/>
      <c r="C183" s="19"/>
      <c r="D183" s="20"/>
      <c r="E183" s="20"/>
      <c r="F183" s="20"/>
      <c r="G183" s="20"/>
      <c r="H183" s="20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spans="1:26" ht="15.75" customHeight="1">
      <c r="A184" s="17"/>
      <c r="B184" s="18"/>
      <c r="C184" s="19"/>
      <c r="D184" s="20"/>
      <c r="E184" s="20"/>
      <c r="F184" s="20"/>
      <c r="G184" s="20"/>
      <c r="H184" s="20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spans="1:26" ht="15.75" customHeight="1">
      <c r="A185" s="17"/>
      <c r="B185" s="18"/>
      <c r="C185" s="19"/>
      <c r="D185" s="20"/>
      <c r="E185" s="20"/>
      <c r="F185" s="20"/>
      <c r="G185" s="20"/>
      <c r="H185" s="20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spans="1:26" ht="15.75" customHeight="1">
      <c r="A186" s="17"/>
      <c r="B186" s="18"/>
      <c r="C186" s="19"/>
      <c r="D186" s="20"/>
      <c r="E186" s="20"/>
      <c r="F186" s="20"/>
      <c r="G186" s="20"/>
      <c r="H186" s="20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spans="1:26" ht="15.75" customHeight="1">
      <c r="A187" s="17"/>
      <c r="B187" s="18"/>
      <c r="C187" s="19"/>
      <c r="D187" s="20"/>
      <c r="E187" s="20"/>
      <c r="F187" s="20"/>
      <c r="G187" s="20"/>
      <c r="H187" s="20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spans="1:26" ht="15.75" customHeight="1">
      <c r="A188" s="17"/>
      <c r="B188" s="18"/>
      <c r="C188" s="19"/>
      <c r="D188" s="20"/>
      <c r="E188" s="20"/>
      <c r="F188" s="20"/>
      <c r="G188" s="20"/>
      <c r="H188" s="20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spans="1:26" ht="15.75" customHeight="1">
      <c r="A189" s="17"/>
      <c r="B189" s="18"/>
      <c r="C189" s="19"/>
      <c r="D189" s="20"/>
      <c r="E189" s="20"/>
      <c r="F189" s="20"/>
      <c r="G189" s="20"/>
      <c r="H189" s="20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spans="1:26" ht="15.75" customHeight="1">
      <c r="A190" s="17"/>
      <c r="B190" s="18"/>
      <c r="C190" s="19"/>
      <c r="D190" s="20"/>
      <c r="E190" s="20"/>
      <c r="F190" s="20"/>
      <c r="G190" s="20"/>
      <c r="H190" s="20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spans="1:26" ht="15.75" customHeight="1">
      <c r="A191" s="17"/>
      <c r="B191" s="18"/>
      <c r="C191" s="19"/>
      <c r="D191" s="20"/>
      <c r="E191" s="20"/>
      <c r="F191" s="20"/>
      <c r="G191" s="20"/>
      <c r="H191" s="20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spans="1:26" ht="15.75" customHeight="1">
      <c r="A192" s="17"/>
      <c r="B192" s="18"/>
      <c r="C192" s="19"/>
      <c r="D192" s="20"/>
      <c r="E192" s="20"/>
      <c r="F192" s="20"/>
      <c r="G192" s="20"/>
      <c r="H192" s="20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spans="1:26" ht="15.75" customHeight="1">
      <c r="A193" s="17"/>
      <c r="B193" s="18"/>
      <c r="C193" s="19"/>
      <c r="D193" s="20"/>
      <c r="E193" s="20"/>
      <c r="F193" s="20"/>
      <c r="G193" s="20"/>
      <c r="H193" s="20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spans="1:26" ht="15.75" customHeight="1">
      <c r="A194" s="17"/>
      <c r="B194" s="18"/>
      <c r="C194" s="19"/>
      <c r="D194" s="20"/>
      <c r="E194" s="20"/>
      <c r="F194" s="20"/>
      <c r="G194" s="20"/>
      <c r="H194" s="20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spans="1:26" ht="15.75" customHeight="1">
      <c r="A195" s="17"/>
      <c r="B195" s="18"/>
      <c r="C195" s="19"/>
      <c r="D195" s="20"/>
      <c r="E195" s="20"/>
      <c r="F195" s="20"/>
      <c r="G195" s="20"/>
      <c r="H195" s="20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spans="1:26" ht="15.75" customHeight="1">
      <c r="A196" s="17"/>
      <c r="B196" s="18"/>
      <c r="C196" s="19"/>
      <c r="D196" s="20"/>
      <c r="E196" s="20"/>
      <c r="F196" s="20"/>
      <c r="G196" s="20"/>
      <c r="H196" s="20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spans="1:26" ht="15.75" customHeight="1">
      <c r="A197" s="17"/>
      <c r="B197" s="18"/>
      <c r="C197" s="19"/>
      <c r="D197" s="20"/>
      <c r="E197" s="20"/>
      <c r="F197" s="20"/>
      <c r="G197" s="20"/>
      <c r="H197" s="20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spans="1:26" ht="15.75" customHeight="1">
      <c r="A198" s="17"/>
      <c r="B198" s="18"/>
      <c r="C198" s="19"/>
      <c r="D198" s="20"/>
      <c r="E198" s="20"/>
      <c r="F198" s="20"/>
      <c r="G198" s="20"/>
      <c r="H198" s="20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spans="1:26" ht="15.75" customHeight="1">
      <c r="A199" s="17"/>
      <c r="B199" s="18"/>
      <c r="C199" s="19"/>
      <c r="D199" s="20"/>
      <c r="E199" s="20"/>
      <c r="F199" s="20"/>
      <c r="G199" s="20"/>
      <c r="H199" s="20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spans="1:26" ht="15.75" customHeight="1">
      <c r="A200" s="17"/>
      <c r="B200" s="18"/>
      <c r="C200" s="19"/>
      <c r="D200" s="20"/>
      <c r="E200" s="20"/>
      <c r="F200" s="20"/>
      <c r="G200" s="20"/>
      <c r="H200" s="20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ht="15.75" customHeight="1">
      <c r="A201" s="17"/>
      <c r="B201" s="18"/>
      <c r="C201" s="19"/>
      <c r="D201" s="20"/>
      <c r="E201" s="20"/>
      <c r="F201" s="20"/>
      <c r="G201" s="20"/>
      <c r="H201" s="20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ht="15.75" customHeight="1">
      <c r="A202" s="17"/>
      <c r="B202" s="18"/>
      <c r="C202" s="19"/>
      <c r="D202" s="20"/>
      <c r="E202" s="20"/>
      <c r="F202" s="20"/>
      <c r="G202" s="20"/>
      <c r="H202" s="20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ht="15.75" customHeight="1">
      <c r="A203" s="17"/>
      <c r="B203" s="18"/>
      <c r="C203" s="19"/>
      <c r="D203" s="20"/>
      <c r="E203" s="20"/>
      <c r="F203" s="20"/>
      <c r="G203" s="20"/>
      <c r="H203" s="20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ht="15.75" customHeight="1">
      <c r="A204" s="17"/>
      <c r="B204" s="18"/>
      <c r="C204" s="19"/>
      <c r="D204" s="20"/>
      <c r="E204" s="20"/>
      <c r="F204" s="20"/>
      <c r="G204" s="20"/>
      <c r="H204" s="20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ht="15.75" customHeight="1">
      <c r="A205" s="17"/>
      <c r="B205" s="18"/>
      <c r="C205" s="19"/>
      <c r="D205" s="20"/>
      <c r="E205" s="20"/>
      <c r="F205" s="20"/>
      <c r="G205" s="20"/>
      <c r="H205" s="20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ht="15.75" customHeight="1">
      <c r="A206" s="17"/>
      <c r="B206" s="18"/>
      <c r="C206" s="19"/>
      <c r="D206" s="20"/>
      <c r="E206" s="20"/>
      <c r="F206" s="20"/>
      <c r="G206" s="20"/>
      <c r="H206" s="20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ht="15.75" customHeight="1">
      <c r="A207" s="17"/>
      <c r="B207" s="18"/>
      <c r="C207" s="19"/>
      <c r="D207" s="20"/>
      <c r="E207" s="20"/>
      <c r="F207" s="20"/>
      <c r="G207" s="20"/>
      <c r="H207" s="20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ht="15.75" customHeight="1">
      <c r="A208" s="17"/>
      <c r="B208" s="18"/>
      <c r="C208" s="19"/>
      <c r="D208" s="20"/>
      <c r="E208" s="20"/>
      <c r="F208" s="20"/>
      <c r="G208" s="20"/>
      <c r="H208" s="20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ht="15.75" customHeight="1">
      <c r="A209" s="17"/>
      <c r="B209" s="18"/>
      <c r="C209" s="19"/>
      <c r="D209" s="20"/>
      <c r="E209" s="20"/>
      <c r="F209" s="20"/>
      <c r="G209" s="20"/>
      <c r="H209" s="20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ht="15.75" customHeight="1">
      <c r="A210" s="17"/>
      <c r="B210" s="18"/>
      <c r="C210" s="19"/>
      <c r="D210" s="20"/>
      <c r="E210" s="20"/>
      <c r="F210" s="20"/>
      <c r="G210" s="20"/>
      <c r="H210" s="20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ht="15.75" customHeight="1">
      <c r="A211" s="17"/>
      <c r="B211" s="18"/>
      <c r="C211" s="19"/>
      <c r="D211" s="20"/>
      <c r="E211" s="20"/>
      <c r="F211" s="20"/>
      <c r="G211" s="20"/>
      <c r="H211" s="20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ht="15.75" customHeight="1">
      <c r="A212" s="17"/>
      <c r="B212" s="18"/>
      <c r="C212" s="19"/>
      <c r="D212" s="20"/>
      <c r="E212" s="20"/>
      <c r="F212" s="20"/>
      <c r="G212" s="20"/>
      <c r="H212" s="20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ht="15.75" customHeight="1">
      <c r="A213" s="17"/>
      <c r="B213" s="18"/>
      <c r="C213" s="19"/>
      <c r="D213" s="20"/>
      <c r="E213" s="20"/>
      <c r="F213" s="20"/>
      <c r="G213" s="20"/>
      <c r="H213" s="20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ht="15.75" customHeight="1">
      <c r="A214" s="17"/>
      <c r="B214" s="18"/>
      <c r="C214" s="19"/>
      <c r="D214" s="20"/>
      <c r="E214" s="20"/>
      <c r="F214" s="20"/>
      <c r="G214" s="20"/>
      <c r="H214" s="20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ht="15.75" customHeight="1">
      <c r="A215" s="17"/>
      <c r="B215" s="18"/>
      <c r="C215" s="19"/>
      <c r="D215" s="20"/>
      <c r="E215" s="20"/>
      <c r="F215" s="20"/>
      <c r="G215" s="20"/>
      <c r="H215" s="20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ht="15.75" customHeight="1">
      <c r="A216" s="17"/>
      <c r="B216" s="18"/>
      <c r="C216" s="19"/>
      <c r="D216" s="20"/>
      <c r="E216" s="20"/>
      <c r="F216" s="20"/>
      <c r="G216" s="20"/>
      <c r="H216" s="20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ht="15.75" customHeight="1">
      <c r="A217" s="17"/>
      <c r="B217" s="18"/>
      <c r="C217" s="19"/>
      <c r="D217" s="20"/>
      <c r="E217" s="20"/>
      <c r="F217" s="20"/>
      <c r="G217" s="20"/>
      <c r="H217" s="20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ht="15.75" customHeight="1">
      <c r="A218" s="17"/>
      <c r="B218" s="18"/>
      <c r="C218" s="19"/>
      <c r="D218" s="20"/>
      <c r="E218" s="20"/>
      <c r="F218" s="20"/>
      <c r="G218" s="20"/>
      <c r="H218" s="20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ht="15.75" customHeight="1">
      <c r="A219" s="17"/>
      <c r="B219" s="18"/>
      <c r="C219" s="19"/>
      <c r="D219" s="20"/>
      <c r="E219" s="20"/>
      <c r="F219" s="20"/>
      <c r="G219" s="20"/>
      <c r="H219" s="20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ht="15.75" customHeight="1">
      <c r="A220" s="17"/>
      <c r="B220" s="18"/>
      <c r="C220" s="19"/>
      <c r="D220" s="20"/>
      <c r="E220" s="20"/>
      <c r="F220" s="20"/>
      <c r="G220" s="20"/>
      <c r="H220" s="20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ht="15.75" customHeight="1"/>
    <row r="222" spans="1:26" ht="15.75" customHeight="1"/>
    <row r="223" spans="1:26" ht="15.75" customHeight="1"/>
    <row r="224" spans="1:26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8740157499999996" bottom="0.78740157499999996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E1000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12.6640625" defaultRowHeight="15" customHeight="1"/>
  <cols>
    <col min="1" max="1" width="11.109375" customWidth="1"/>
    <col min="2" max="2" width="16" customWidth="1"/>
    <col min="3" max="3" width="11.44140625" customWidth="1"/>
    <col min="4" max="4" width="57" customWidth="1"/>
    <col min="5" max="6" width="11.21875" customWidth="1"/>
    <col min="7" max="8" width="14.33203125" customWidth="1"/>
    <col min="9" max="11" width="11.109375" customWidth="1"/>
    <col min="12" max="12" width="13.21875" customWidth="1"/>
    <col min="13" max="15" width="11.109375" customWidth="1"/>
    <col min="16" max="16" width="13.109375" customWidth="1"/>
    <col min="17" max="18" width="11.109375" customWidth="1"/>
    <col min="19" max="19" width="13.33203125" customWidth="1"/>
    <col min="20" max="20" width="12" customWidth="1"/>
    <col min="21" max="21" width="11.109375" customWidth="1"/>
    <col min="22" max="22" width="14.77734375" customWidth="1"/>
    <col min="23" max="31" width="11.109375" customWidth="1"/>
  </cols>
  <sheetData>
    <row r="1" spans="1:31" ht="51.75" customHeight="1">
      <c r="A1" s="21"/>
      <c r="B1" s="22" t="s">
        <v>32</v>
      </c>
      <c r="C1" s="23" t="s">
        <v>1</v>
      </c>
      <c r="D1" s="24" t="s">
        <v>2</v>
      </c>
      <c r="E1" s="25" t="s">
        <v>33</v>
      </c>
      <c r="F1" s="25" t="s">
        <v>34</v>
      </c>
      <c r="G1" s="26" t="s">
        <v>35</v>
      </c>
      <c r="H1" s="26" t="s">
        <v>36</v>
      </c>
      <c r="I1" s="27" t="s">
        <v>37</v>
      </c>
      <c r="J1" s="26" t="s">
        <v>38</v>
      </c>
      <c r="K1" s="26" t="s">
        <v>4</v>
      </c>
      <c r="L1" s="26" t="s">
        <v>39</v>
      </c>
      <c r="M1" s="26" t="s">
        <v>6</v>
      </c>
      <c r="N1" s="28" t="s">
        <v>40</v>
      </c>
      <c r="O1" s="28" t="s">
        <v>8</v>
      </c>
      <c r="P1" s="28" t="s">
        <v>41</v>
      </c>
      <c r="Q1" s="28" t="s">
        <v>11</v>
      </c>
      <c r="R1" s="28" t="s">
        <v>42</v>
      </c>
      <c r="S1" s="28" t="s">
        <v>13</v>
      </c>
      <c r="T1" s="28" t="s">
        <v>43</v>
      </c>
      <c r="U1" s="28" t="s">
        <v>14</v>
      </c>
      <c r="V1" s="27" t="s">
        <v>15</v>
      </c>
      <c r="W1" s="27" t="s">
        <v>44</v>
      </c>
      <c r="X1" s="28" t="s">
        <v>45</v>
      </c>
      <c r="Y1" s="27" t="s">
        <v>46</v>
      </c>
      <c r="Z1" s="28" t="s">
        <v>47</v>
      </c>
      <c r="AA1" s="28" t="s">
        <v>48</v>
      </c>
      <c r="AB1" s="28" t="s">
        <v>49</v>
      </c>
      <c r="AC1" s="29" t="s">
        <v>50</v>
      </c>
      <c r="AD1" s="30"/>
      <c r="AE1" s="30"/>
    </row>
    <row r="2" spans="1:31" ht="51.75" customHeight="1">
      <c r="A2" s="21"/>
      <c r="B2" s="31">
        <f>AC3</f>
        <v>27391.23220000002</v>
      </c>
      <c r="C2" s="23"/>
      <c r="D2" s="24" t="s">
        <v>51</v>
      </c>
      <c r="E2" s="32" t="s">
        <v>52</v>
      </c>
      <c r="F2" s="32" t="s">
        <v>53</v>
      </c>
      <c r="G2" s="33"/>
      <c r="H2" s="34"/>
      <c r="I2" s="34"/>
      <c r="J2" s="34" t="s">
        <v>54</v>
      </c>
      <c r="K2" s="34" t="s">
        <v>54</v>
      </c>
      <c r="L2" s="34" t="s">
        <v>54</v>
      </c>
      <c r="M2" s="34" t="s">
        <v>54</v>
      </c>
      <c r="N2" s="34" t="s">
        <v>55</v>
      </c>
      <c r="O2" s="34" t="s">
        <v>56</v>
      </c>
      <c r="P2" s="34" t="s">
        <v>54</v>
      </c>
      <c r="Q2" s="34" t="s">
        <v>57</v>
      </c>
      <c r="R2" s="34" t="s">
        <v>54</v>
      </c>
      <c r="S2" s="34"/>
      <c r="T2" s="34" t="s">
        <v>58</v>
      </c>
      <c r="U2" s="34" t="s">
        <v>54</v>
      </c>
      <c r="V2" s="34" t="s">
        <v>54</v>
      </c>
      <c r="W2" s="34" t="s">
        <v>54</v>
      </c>
      <c r="X2" s="34" t="s">
        <v>59</v>
      </c>
      <c r="Y2" s="34" t="s">
        <v>60</v>
      </c>
      <c r="Z2" s="34" t="s">
        <v>60</v>
      </c>
      <c r="AA2" s="34"/>
      <c r="AB2" s="34" t="s">
        <v>61</v>
      </c>
      <c r="AC2" s="35"/>
      <c r="AD2" s="30"/>
      <c r="AE2" s="30"/>
    </row>
    <row r="3" spans="1:31" ht="33.75" customHeight="1">
      <c r="A3" s="36" t="s">
        <v>16</v>
      </c>
      <c r="B3" s="37"/>
      <c r="C3" s="38"/>
      <c r="D3" s="39"/>
      <c r="E3" s="40">
        <f t="shared" ref="E3:AB3" si="0">SUM(E4:E235)</f>
        <v>61705.550000000017</v>
      </c>
      <c r="F3" s="40">
        <f t="shared" si="0"/>
        <v>24514.14</v>
      </c>
      <c r="G3" s="40">
        <f t="shared" si="0"/>
        <v>6699</v>
      </c>
      <c r="H3" s="40">
        <f t="shared" si="0"/>
        <v>3465.35</v>
      </c>
      <c r="I3" s="40">
        <f t="shared" si="0"/>
        <v>239.4</v>
      </c>
      <c r="J3" s="40">
        <f t="shared" si="0"/>
        <v>638.92000000000007</v>
      </c>
      <c r="K3" s="40">
        <f t="shared" si="0"/>
        <v>0</v>
      </c>
      <c r="L3" s="40">
        <f t="shared" si="0"/>
        <v>1931.4899999999998</v>
      </c>
      <c r="M3" s="40">
        <f t="shared" si="0"/>
        <v>1178.99</v>
      </c>
      <c r="N3" s="40">
        <f t="shared" si="0"/>
        <v>86.8</v>
      </c>
      <c r="O3" s="40">
        <f t="shared" si="0"/>
        <v>92.800000000000011</v>
      </c>
      <c r="P3" s="40">
        <f t="shared" si="0"/>
        <v>424.74679999999989</v>
      </c>
      <c r="Q3" s="40">
        <f t="shared" si="0"/>
        <v>0</v>
      </c>
      <c r="R3" s="40">
        <f t="shared" si="0"/>
        <v>1101.8700000000001</v>
      </c>
      <c r="S3" s="40">
        <f t="shared" si="0"/>
        <v>0</v>
      </c>
      <c r="T3" s="40">
        <f t="shared" si="0"/>
        <v>139.22</v>
      </c>
      <c r="U3" s="40">
        <f t="shared" si="0"/>
        <v>1575.5809999999999</v>
      </c>
      <c r="V3" s="40">
        <f t="shared" si="0"/>
        <v>0</v>
      </c>
      <c r="W3" s="40">
        <f t="shared" si="0"/>
        <v>239</v>
      </c>
      <c r="X3" s="40">
        <f t="shared" si="0"/>
        <v>0</v>
      </c>
      <c r="Y3" s="40">
        <f t="shared" si="0"/>
        <v>5934.7699999999986</v>
      </c>
      <c r="Z3" s="40">
        <f t="shared" si="0"/>
        <v>26095.480000000003</v>
      </c>
      <c r="AA3" s="40">
        <f t="shared" si="0"/>
        <v>203.89</v>
      </c>
      <c r="AB3" s="40">
        <f t="shared" si="0"/>
        <v>15480.149999999996</v>
      </c>
      <c r="AC3" s="41">
        <f>E3+F3-(SUM(H3:AB3))</f>
        <v>27391.23220000002</v>
      </c>
      <c r="AD3" s="5"/>
      <c r="AE3" s="5"/>
    </row>
    <row r="4" spans="1:31" ht="22.5" customHeight="1">
      <c r="A4" s="42">
        <v>43832</v>
      </c>
      <c r="B4" s="43"/>
      <c r="C4" s="44"/>
      <c r="D4" s="44" t="s">
        <v>62</v>
      </c>
      <c r="E4" s="45">
        <v>12</v>
      </c>
      <c r="F4" s="45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>
        <v>1036.55</v>
      </c>
      <c r="AC4" s="46"/>
      <c r="AD4" s="47"/>
      <c r="AE4" s="47"/>
    </row>
    <row r="5" spans="1:31" ht="22.5" customHeight="1">
      <c r="A5" s="42">
        <v>43832</v>
      </c>
      <c r="B5" s="43"/>
      <c r="C5" s="44"/>
      <c r="D5" s="44" t="s">
        <v>63</v>
      </c>
      <c r="E5" s="45"/>
      <c r="F5" s="45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>
        <v>237.2</v>
      </c>
      <c r="Z5" s="46"/>
      <c r="AA5" s="46"/>
      <c r="AB5" s="46"/>
      <c r="AC5" s="46"/>
      <c r="AD5" s="47"/>
      <c r="AE5" s="47"/>
    </row>
    <row r="6" spans="1:31" ht="22.5" customHeight="1">
      <c r="A6" s="42">
        <v>43832</v>
      </c>
      <c r="B6" s="43"/>
      <c r="C6" s="44"/>
      <c r="D6" s="48" t="s">
        <v>64</v>
      </c>
      <c r="E6" s="45"/>
      <c r="F6" s="45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>
        <v>700</v>
      </c>
      <c r="AA6" s="46"/>
      <c r="AB6" s="46"/>
      <c r="AC6" s="46"/>
      <c r="AD6" s="47"/>
      <c r="AE6" s="47"/>
    </row>
    <row r="7" spans="1:31" ht="22.5" customHeight="1">
      <c r="A7" s="42">
        <v>43833</v>
      </c>
      <c r="B7" s="43"/>
      <c r="C7" s="44"/>
      <c r="D7" s="44" t="s">
        <v>65</v>
      </c>
      <c r="E7" s="45"/>
      <c r="F7" s="45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>
        <v>18</v>
      </c>
      <c r="Z7" s="46"/>
      <c r="AA7" s="46"/>
      <c r="AB7" s="46"/>
      <c r="AC7" s="46"/>
      <c r="AD7" s="47"/>
      <c r="AE7" s="47"/>
    </row>
    <row r="8" spans="1:31" ht="22.5" customHeight="1">
      <c r="A8" s="42">
        <v>43836</v>
      </c>
      <c r="B8" s="43"/>
      <c r="C8" s="44"/>
      <c r="D8" s="44" t="s">
        <v>66</v>
      </c>
      <c r="E8" s="45"/>
      <c r="F8" s="45"/>
      <c r="G8" s="46"/>
      <c r="H8" s="46"/>
      <c r="I8" s="46"/>
      <c r="J8" s="46"/>
      <c r="K8" s="46"/>
      <c r="L8" s="46"/>
      <c r="M8" s="46"/>
      <c r="N8" s="46"/>
      <c r="O8" s="46"/>
      <c r="P8" s="46">
        <f>23.1*1.18</f>
        <v>27.257999999999999</v>
      </c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7"/>
      <c r="AE8" s="47"/>
    </row>
    <row r="9" spans="1:31" ht="22.5" customHeight="1">
      <c r="A9" s="42">
        <v>43836</v>
      </c>
      <c r="B9" s="43"/>
      <c r="C9" s="44"/>
      <c r="D9" s="44" t="s">
        <v>67</v>
      </c>
      <c r="E9" s="45"/>
      <c r="F9" s="45"/>
      <c r="G9" s="46"/>
      <c r="H9" s="46"/>
      <c r="I9" s="46"/>
      <c r="J9" s="46"/>
      <c r="K9" s="46"/>
      <c r="L9" s="46"/>
      <c r="M9" s="46"/>
      <c r="N9" s="46"/>
      <c r="O9" s="46"/>
      <c r="P9" s="46">
        <f>19.9*1.18</f>
        <v>23.481999999999996</v>
      </c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7"/>
      <c r="AE9" s="47"/>
    </row>
    <row r="10" spans="1:31" ht="22.5" customHeight="1">
      <c r="A10" s="42">
        <v>43839</v>
      </c>
      <c r="B10" s="43"/>
      <c r="C10" s="44"/>
      <c r="D10" s="48" t="s">
        <v>68</v>
      </c>
      <c r="E10" s="45"/>
      <c r="F10" s="45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>
        <v>9.16</v>
      </c>
      <c r="AB10" s="46"/>
      <c r="AC10" s="46"/>
      <c r="AD10" s="47"/>
      <c r="AE10" s="47"/>
    </row>
    <row r="11" spans="1:31" ht="22.5" customHeight="1">
      <c r="A11" s="42">
        <v>43841</v>
      </c>
      <c r="B11" s="43"/>
      <c r="C11" s="44"/>
      <c r="D11" s="44" t="s">
        <v>69</v>
      </c>
      <c r="E11" s="45"/>
      <c r="F11" s="45"/>
      <c r="G11" s="46"/>
      <c r="H11" s="46"/>
      <c r="I11" s="46"/>
      <c r="J11" s="46"/>
      <c r="K11" s="46"/>
      <c r="L11" s="46"/>
      <c r="M11" s="46">
        <v>239.06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7"/>
      <c r="AE11" s="47"/>
    </row>
    <row r="12" spans="1:31" ht="22.5" customHeight="1">
      <c r="A12" s="42">
        <v>43842</v>
      </c>
      <c r="B12" s="43"/>
      <c r="C12" s="44"/>
      <c r="D12" s="44" t="s">
        <v>67</v>
      </c>
      <c r="E12" s="45"/>
      <c r="F12" s="45"/>
      <c r="G12" s="46"/>
      <c r="H12" s="46"/>
      <c r="I12" s="46"/>
      <c r="J12" s="46"/>
      <c r="K12" s="46"/>
      <c r="L12" s="46"/>
      <c r="M12" s="46"/>
      <c r="N12" s="46"/>
      <c r="O12" s="46"/>
      <c r="P12" s="46">
        <f>37.8*1.17</f>
        <v>44.225999999999992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7"/>
      <c r="AE12" s="47"/>
    </row>
    <row r="13" spans="1:31" ht="22.5" customHeight="1">
      <c r="A13" s="42">
        <v>43842</v>
      </c>
      <c r="B13" s="43"/>
      <c r="C13" s="44"/>
      <c r="D13" s="44" t="s">
        <v>70</v>
      </c>
      <c r="E13" s="45"/>
      <c r="F13" s="45"/>
      <c r="G13" s="46"/>
      <c r="H13" s="46"/>
      <c r="I13" s="46"/>
      <c r="J13" s="46"/>
      <c r="K13" s="46"/>
      <c r="L13" s="46"/>
      <c r="M13" s="46">
        <f>114.06+2</f>
        <v>116.06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7"/>
      <c r="AE13" s="47"/>
    </row>
    <row r="14" spans="1:31" ht="22.5" customHeight="1">
      <c r="A14" s="42">
        <v>43842</v>
      </c>
      <c r="B14" s="43"/>
      <c r="C14" s="44"/>
      <c r="D14" s="44" t="s">
        <v>71</v>
      </c>
      <c r="E14" s="45"/>
      <c r="F14" s="45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>
        <v>239</v>
      </c>
      <c r="X14" s="46"/>
      <c r="Y14" s="46"/>
      <c r="Z14" s="46"/>
      <c r="AA14" s="46"/>
      <c r="AB14" s="46"/>
      <c r="AC14" s="46"/>
      <c r="AD14" s="47"/>
      <c r="AE14" s="47"/>
    </row>
    <row r="15" spans="1:31" ht="22.5" customHeight="1">
      <c r="A15" s="42">
        <v>43843</v>
      </c>
      <c r="B15" s="43"/>
      <c r="C15" s="44"/>
      <c r="D15" s="44" t="s">
        <v>72</v>
      </c>
      <c r="E15" s="45"/>
      <c r="F15" s="45"/>
      <c r="G15" s="46"/>
      <c r="H15" s="46"/>
      <c r="I15" s="46"/>
      <c r="J15" s="46"/>
      <c r="K15" s="46"/>
      <c r="L15" s="46"/>
      <c r="M15" s="46"/>
      <c r="N15" s="46"/>
      <c r="O15" s="46"/>
      <c r="P15" s="46">
        <v>30.74</v>
      </c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7"/>
      <c r="AE15" s="47"/>
    </row>
    <row r="16" spans="1:31" ht="22.5" customHeight="1">
      <c r="A16" s="42">
        <v>43845</v>
      </c>
      <c r="B16" s="43"/>
      <c r="C16" s="44"/>
      <c r="D16" s="44" t="s">
        <v>73</v>
      </c>
      <c r="E16" s="45"/>
      <c r="F16" s="45"/>
      <c r="G16" s="46"/>
      <c r="H16" s="46">
        <v>1197.94</v>
      </c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7"/>
      <c r="AE16" s="47"/>
    </row>
    <row r="17" spans="1:31" ht="22.5" customHeight="1">
      <c r="A17" s="42">
        <v>43845</v>
      </c>
      <c r="B17" s="43"/>
      <c r="C17" s="44"/>
      <c r="D17" s="44" t="s">
        <v>74</v>
      </c>
      <c r="E17" s="45"/>
      <c r="F17" s="45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>
        <v>1608.68</v>
      </c>
      <c r="AA17" s="46"/>
      <c r="AB17" s="46"/>
      <c r="AC17" s="46"/>
      <c r="AD17" s="47"/>
      <c r="AE17" s="47"/>
    </row>
    <row r="18" spans="1:31" ht="22.5" customHeight="1">
      <c r="A18" s="42">
        <v>43845</v>
      </c>
      <c r="B18" s="49"/>
      <c r="C18" s="44"/>
      <c r="D18" s="44" t="s">
        <v>75</v>
      </c>
      <c r="E18" s="45"/>
      <c r="F18" s="45"/>
      <c r="G18" s="46"/>
      <c r="H18" s="46"/>
      <c r="I18" s="46"/>
      <c r="J18" s="46"/>
      <c r="K18" s="46"/>
      <c r="L18" s="46"/>
      <c r="M18" s="46"/>
      <c r="N18" s="46"/>
      <c r="O18" s="46"/>
      <c r="P18" s="46">
        <v>25.55</v>
      </c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7"/>
      <c r="AE18" s="47"/>
    </row>
    <row r="19" spans="1:31" ht="22.5" customHeight="1">
      <c r="A19" s="42">
        <v>43847</v>
      </c>
      <c r="B19" s="43"/>
      <c r="C19" s="44"/>
      <c r="D19" s="44" t="s">
        <v>76</v>
      </c>
      <c r="E19" s="45"/>
      <c r="F19" s="45"/>
      <c r="G19" s="46"/>
      <c r="H19" s="46"/>
      <c r="I19" s="46"/>
      <c r="J19" s="46">
        <v>29.99</v>
      </c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7"/>
      <c r="AE19" s="47"/>
    </row>
    <row r="20" spans="1:31" ht="22.5" customHeight="1">
      <c r="A20" s="42">
        <v>43847</v>
      </c>
      <c r="B20" s="43"/>
      <c r="C20" s="44"/>
      <c r="D20" s="44" t="s">
        <v>75</v>
      </c>
      <c r="E20" s="45"/>
      <c r="F20" s="45"/>
      <c r="G20" s="46"/>
      <c r="H20" s="46"/>
      <c r="I20" s="46"/>
      <c r="J20" s="46"/>
      <c r="K20" s="46"/>
      <c r="L20" s="46"/>
      <c r="M20" s="46"/>
      <c r="N20" s="46"/>
      <c r="O20" s="46"/>
      <c r="P20" s="46">
        <v>20.05</v>
      </c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7"/>
      <c r="AE20" s="47"/>
    </row>
    <row r="21" spans="1:31" ht="22.5" customHeight="1">
      <c r="A21" s="42">
        <v>43850</v>
      </c>
      <c r="B21" s="43"/>
      <c r="C21" s="44"/>
      <c r="D21" s="44" t="s">
        <v>77</v>
      </c>
      <c r="E21" s="45"/>
      <c r="F21" s="45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>
        <v>80</v>
      </c>
      <c r="Z21" s="46"/>
      <c r="AA21" s="46"/>
      <c r="AB21" s="46"/>
      <c r="AC21" s="46"/>
      <c r="AD21" s="47"/>
      <c r="AE21" s="47"/>
    </row>
    <row r="22" spans="1:31" ht="22.5" customHeight="1">
      <c r="A22" s="42">
        <v>43850</v>
      </c>
      <c r="B22" s="43"/>
      <c r="C22" s="44"/>
      <c r="D22" s="44" t="s">
        <v>78</v>
      </c>
      <c r="E22" s="45"/>
      <c r="F22" s="45"/>
      <c r="G22" s="46"/>
      <c r="H22" s="46"/>
      <c r="I22" s="46"/>
      <c r="J22" s="46">
        <v>23.17</v>
      </c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7"/>
      <c r="AE22" s="47"/>
    </row>
    <row r="23" spans="1:31" ht="22.5" customHeight="1">
      <c r="A23" s="42">
        <v>43850</v>
      </c>
      <c r="B23" s="43"/>
      <c r="C23" s="44"/>
      <c r="D23" s="44" t="s">
        <v>79</v>
      </c>
      <c r="E23" s="45"/>
      <c r="F23" s="45"/>
      <c r="G23" s="46"/>
      <c r="H23" s="46"/>
      <c r="I23" s="46"/>
      <c r="J23" s="46"/>
      <c r="K23" s="46"/>
      <c r="L23" s="46"/>
      <c r="M23" s="46"/>
      <c r="N23" s="46"/>
      <c r="O23" s="46"/>
      <c r="P23" s="46">
        <v>15.15</v>
      </c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7"/>
      <c r="AE23" s="47"/>
    </row>
    <row r="24" spans="1:31" ht="22.5" customHeight="1">
      <c r="A24" s="42">
        <v>43850</v>
      </c>
      <c r="B24" s="43"/>
      <c r="C24" s="44"/>
      <c r="D24" s="44" t="s">
        <v>80</v>
      </c>
      <c r="E24" s="45"/>
      <c r="F24" s="45"/>
      <c r="G24" s="46"/>
      <c r="H24" s="46"/>
      <c r="I24" s="46"/>
      <c r="J24" s="46"/>
      <c r="K24" s="46"/>
      <c r="L24" s="46"/>
      <c r="M24" s="46"/>
      <c r="N24" s="46"/>
      <c r="O24" s="46"/>
      <c r="P24" s="46">
        <v>30.89</v>
      </c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7"/>
      <c r="AE24" s="47"/>
    </row>
    <row r="25" spans="1:31" ht="22.5" customHeight="1">
      <c r="A25" s="42">
        <v>43857</v>
      </c>
      <c r="B25" s="43"/>
      <c r="C25" s="44"/>
      <c r="D25" s="44" t="s">
        <v>81</v>
      </c>
      <c r="E25" s="45"/>
      <c r="F25" s="45"/>
      <c r="G25" s="46"/>
      <c r="H25" s="46"/>
      <c r="I25" s="46"/>
      <c r="J25" s="46"/>
      <c r="K25" s="46"/>
      <c r="L25" s="46"/>
      <c r="M25" s="46">
        <f>38.05+0.67</f>
        <v>38.72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7"/>
      <c r="AE25" s="47"/>
    </row>
    <row r="26" spans="1:31" ht="22.5" customHeight="1">
      <c r="A26" s="42">
        <v>43857</v>
      </c>
      <c r="B26" s="43"/>
      <c r="C26" s="44"/>
      <c r="D26" s="44" t="s">
        <v>82</v>
      </c>
      <c r="E26" s="45"/>
      <c r="F26" s="45"/>
      <c r="G26" s="46"/>
      <c r="H26" s="46"/>
      <c r="I26" s="46"/>
      <c r="J26" s="46"/>
      <c r="K26" s="46"/>
      <c r="L26" s="46"/>
      <c r="M26" s="46">
        <v>100.06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7"/>
      <c r="AE26" s="47"/>
    </row>
    <row r="27" spans="1:31" ht="22.5" customHeight="1">
      <c r="A27" s="42">
        <v>43857</v>
      </c>
      <c r="B27" s="43"/>
      <c r="C27" s="44"/>
      <c r="D27" s="44" t="s">
        <v>83</v>
      </c>
      <c r="E27" s="45"/>
      <c r="F27" s="45"/>
      <c r="G27" s="46"/>
      <c r="H27" s="46"/>
      <c r="I27" s="46"/>
      <c r="J27" s="46"/>
      <c r="K27" s="46"/>
      <c r="L27" s="46"/>
      <c r="M27" s="46">
        <v>130.69999999999999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7"/>
      <c r="AE27" s="47"/>
    </row>
    <row r="28" spans="1:31" ht="22.5" customHeight="1">
      <c r="A28" s="42">
        <v>43858</v>
      </c>
      <c r="B28" s="43"/>
      <c r="C28" s="44"/>
      <c r="D28" s="44" t="s">
        <v>84</v>
      </c>
      <c r="E28" s="45"/>
      <c r="F28" s="45"/>
      <c r="G28" s="46"/>
      <c r="H28" s="46"/>
      <c r="I28" s="46"/>
      <c r="J28" s="46"/>
      <c r="K28" s="46"/>
      <c r="L28" s="46"/>
      <c r="M28" s="46"/>
      <c r="N28" s="46"/>
      <c r="O28" s="46"/>
      <c r="P28" s="46">
        <f>50.95*1.18</f>
        <v>60.121000000000002</v>
      </c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7"/>
      <c r="AE28" s="47"/>
    </row>
    <row r="29" spans="1:31" ht="22.5" customHeight="1">
      <c r="A29" s="42">
        <v>43858</v>
      </c>
      <c r="B29" s="43"/>
      <c r="C29" s="44"/>
      <c r="D29" s="44" t="s">
        <v>85</v>
      </c>
      <c r="E29" s="45"/>
      <c r="F29" s="45"/>
      <c r="G29" s="46"/>
      <c r="H29" s="46"/>
      <c r="I29" s="46"/>
      <c r="J29" s="46"/>
      <c r="K29" s="46"/>
      <c r="L29" s="46"/>
      <c r="M29" s="46"/>
      <c r="N29" s="46"/>
      <c r="O29" s="46"/>
      <c r="P29" s="46">
        <f>3.05*1.18</f>
        <v>3.5989999999999998</v>
      </c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7"/>
      <c r="AE29" s="47"/>
    </row>
    <row r="30" spans="1:31" ht="22.5" customHeight="1">
      <c r="A30" s="42">
        <v>43860</v>
      </c>
      <c r="B30" s="43"/>
      <c r="C30" s="44"/>
      <c r="D30" s="50" t="s">
        <v>86</v>
      </c>
      <c r="E30" s="45"/>
      <c r="F30" s="45">
        <v>696.1</v>
      </c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7"/>
      <c r="AE30" s="47"/>
    </row>
    <row r="31" spans="1:31" ht="22.5" customHeight="1">
      <c r="A31" s="42">
        <v>43860</v>
      </c>
      <c r="B31" s="43"/>
      <c r="C31" s="44"/>
      <c r="D31" s="44" t="s">
        <v>87</v>
      </c>
      <c r="E31" s="45"/>
      <c r="F31" s="45"/>
      <c r="G31" s="46"/>
      <c r="H31" s="46"/>
      <c r="I31" s="46"/>
      <c r="J31" s="46"/>
      <c r="K31" s="46"/>
      <c r="L31" s="46"/>
      <c r="M31" s="46"/>
      <c r="N31" s="46"/>
      <c r="O31" s="46"/>
      <c r="P31" s="46">
        <f>15.1*1.19</f>
        <v>17.968999999999998</v>
      </c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7"/>
      <c r="AE31" s="47"/>
    </row>
    <row r="32" spans="1:31" ht="22.5" customHeight="1">
      <c r="A32" s="42">
        <v>43861</v>
      </c>
      <c r="B32" s="43"/>
      <c r="C32" s="44"/>
      <c r="D32" s="50" t="s">
        <v>88</v>
      </c>
      <c r="E32" s="45">
        <v>178.09</v>
      </c>
      <c r="F32" s="45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7"/>
      <c r="AE32" s="47"/>
    </row>
    <row r="33" spans="1:31" ht="22.5" customHeight="1">
      <c r="A33" s="51">
        <v>43861</v>
      </c>
      <c r="B33" s="52"/>
      <c r="C33" s="53"/>
      <c r="D33" s="53" t="s">
        <v>89</v>
      </c>
      <c r="E33" s="54"/>
      <c r="F33" s="54"/>
      <c r="G33" s="55"/>
      <c r="H33" s="55"/>
      <c r="I33" s="55"/>
      <c r="J33" s="55"/>
      <c r="K33" s="55"/>
      <c r="L33" s="55">
        <f>800*1.19</f>
        <v>952</v>
      </c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6"/>
      <c r="AE33" s="56"/>
    </row>
    <row r="34" spans="1:31" ht="22.5" customHeight="1">
      <c r="A34" s="42">
        <v>43864</v>
      </c>
      <c r="B34" s="57" t="s">
        <v>90</v>
      </c>
      <c r="C34" s="44"/>
      <c r="D34" s="50" t="s">
        <v>91</v>
      </c>
      <c r="E34" s="45">
        <v>8885.51</v>
      </c>
      <c r="F34" s="45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7"/>
      <c r="AE34" s="47"/>
    </row>
    <row r="35" spans="1:31" ht="22.5" customHeight="1">
      <c r="A35" s="42">
        <v>43864</v>
      </c>
      <c r="B35" s="43"/>
      <c r="C35" s="44"/>
      <c r="D35" s="44" t="s">
        <v>62</v>
      </c>
      <c r="E35" s="45"/>
      <c r="F35" s="45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>
        <v>1036.55</v>
      </c>
      <c r="AC35" s="46"/>
      <c r="AD35" s="47"/>
      <c r="AE35" s="47"/>
    </row>
    <row r="36" spans="1:31" ht="22.5" customHeight="1">
      <c r="A36" s="42">
        <v>43864</v>
      </c>
      <c r="B36" s="43"/>
      <c r="C36" s="44"/>
      <c r="D36" s="44" t="s">
        <v>65</v>
      </c>
      <c r="E36" s="45"/>
      <c r="F36" s="45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>
        <v>18</v>
      </c>
      <c r="Z36" s="46"/>
      <c r="AA36" s="46"/>
      <c r="AB36" s="46"/>
      <c r="AC36" s="46"/>
      <c r="AD36" s="47"/>
      <c r="AE36" s="47"/>
    </row>
    <row r="37" spans="1:31" ht="22.5" customHeight="1">
      <c r="A37" s="42">
        <v>43864</v>
      </c>
      <c r="B37" s="43"/>
      <c r="C37" s="44"/>
      <c r="D37" s="44" t="s">
        <v>63</v>
      </c>
      <c r="E37" s="45"/>
      <c r="F37" s="45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>
        <v>237.2</v>
      </c>
      <c r="Z37" s="46"/>
      <c r="AA37" s="46"/>
      <c r="AB37" s="46"/>
      <c r="AC37" s="46"/>
      <c r="AD37" s="47"/>
      <c r="AE37" s="47"/>
    </row>
    <row r="38" spans="1:31" ht="22.5" customHeight="1">
      <c r="A38" s="42">
        <v>43864</v>
      </c>
      <c r="B38" s="43"/>
      <c r="C38" s="44"/>
      <c r="D38" s="48" t="s">
        <v>64</v>
      </c>
      <c r="E38" s="45"/>
      <c r="F38" s="45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>
        <v>700</v>
      </c>
      <c r="AA38" s="46"/>
      <c r="AB38" s="46"/>
      <c r="AC38" s="46"/>
      <c r="AD38" s="47"/>
      <c r="AE38" s="47"/>
    </row>
    <row r="39" spans="1:31" ht="22.5" customHeight="1">
      <c r="A39" s="42">
        <v>43865</v>
      </c>
      <c r="B39" s="43"/>
      <c r="C39" s="44"/>
      <c r="D39" s="44" t="s">
        <v>92</v>
      </c>
      <c r="E39" s="45"/>
      <c r="F39" s="45"/>
      <c r="G39" s="46"/>
      <c r="H39" s="46"/>
      <c r="I39" s="46">
        <v>52.77</v>
      </c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7"/>
      <c r="AE39" s="47"/>
    </row>
    <row r="40" spans="1:31" ht="22.5" customHeight="1">
      <c r="A40" s="42">
        <v>43866</v>
      </c>
      <c r="B40" s="43"/>
      <c r="C40" s="44"/>
      <c r="D40" s="44" t="s">
        <v>93</v>
      </c>
      <c r="E40" s="45"/>
      <c r="F40" s="45"/>
      <c r="G40" s="46"/>
      <c r="H40" s="46"/>
      <c r="I40" s="46"/>
      <c r="J40" s="46"/>
      <c r="K40" s="46"/>
      <c r="L40" s="46"/>
      <c r="M40" s="46"/>
      <c r="N40" s="46"/>
      <c r="O40" s="46"/>
      <c r="P40" s="46">
        <f>22.1*1.18</f>
        <v>26.077999999999999</v>
      </c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7"/>
      <c r="AE40" s="47"/>
    </row>
    <row r="41" spans="1:31" ht="22.5" customHeight="1">
      <c r="A41" s="42">
        <v>43867</v>
      </c>
      <c r="B41" s="43"/>
      <c r="C41" s="44"/>
      <c r="D41" s="50" t="s">
        <v>88</v>
      </c>
      <c r="E41" s="45">
        <v>13.16</v>
      </c>
      <c r="F41" s="45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7"/>
      <c r="AE41" s="47"/>
    </row>
    <row r="42" spans="1:31" ht="22.5" customHeight="1">
      <c r="A42" s="42">
        <v>43867</v>
      </c>
      <c r="B42" s="43"/>
      <c r="C42" s="44"/>
      <c r="D42" s="44" t="s">
        <v>64</v>
      </c>
      <c r="E42" s="45"/>
      <c r="F42" s="45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>
        <v>700</v>
      </c>
      <c r="AA42" s="46"/>
      <c r="AB42" s="46"/>
      <c r="AC42" s="46"/>
      <c r="AD42" s="47"/>
      <c r="AE42" s="47"/>
    </row>
    <row r="43" spans="1:31" ht="22.5" customHeight="1">
      <c r="A43" s="42">
        <v>43868</v>
      </c>
      <c r="B43" s="43"/>
      <c r="C43" s="44"/>
      <c r="D43" s="48" t="s">
        <v>68</v>
      </c>
      <c r="E43" s="45"/>
      <c r="F43" s="45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>
        <v>9.16</v>
      </c>
      <c r="AB43" s="46"/>
      <c r="AC43" s="46"/>
      <c r="AD43" s="47"/>
      <c r="AE43" s="47"/>
    </row>
    <row r="44" spans="1:31" ht="22.5" customHeight="1">
      <c r="A44" s="42">
        <v>43872</v>
      </c>
      <c r="B44" s="43"/>
      <c r="C44" s="44"/>
      <c r="D44" s="44" t="s">
        <v>94</v>
      </c>
      <c r="E44" s="45"/>
      <c r="F44" s="45"/>
      <c r="G44" s="46"/>
      <c r="H44" s="46"/>
      <c r="I44" s="46"/>
      <c r="J44" s="46"/>
      <c r="K44" s="46"/>
      <c r="L44" s="46"/>
      <c r="M44" s="46"/>
      <c r="N44" s="46"/>
      <c r="O44" s="46"/>
      <c r="P44" s="46">
        <f>22.97*1.18</f>
        <v>27.104599999999998</v>
      </c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7"/>
      <c r="AE44" s="47"/>
    </row>
    <row r="45" spans="1:31" ht="22.5" customHeight="1">
      <c r="A45" s="42">
        <v>43872</v>
      </c>
      <c r="B45" s="43"/>
      <c r="C45" s="44"/>
      <c r="D45" s="44" t="s">
        <v>95</v>
      </c>
      <c r="E45" s="45"/>
      <c r="F45" s="45"/>
      <c r="G45" s="46"/>
      <c r="H45" s="46"/>
      <c r="I45" s="46"/>
      <c r="J45" s="46"/>
      <c r="K45" s="46"/>
      <c r="L45" s="46"/>
      <c r="M45" s="46"/>
      <c r="N45" s="46"/>
      <c r="O45" s="46"/>
      <c r="P45" s="46">
        <f>9.94*1.18</f>
        <v>11.729199999999999</v>
      </c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7"/>
      <c r="AE45" s="47"/>
    </row>
    <row r="46" spans="1:31" ht="22.5" customHeight="1">
      <c r="A46" s="42">
        <v>43874</v>
      </c>
      <c r="B46" s="43"/>
      <c r="C46" s="44"/>
      <c r="D46" s="50" t="s">
        <v>88</v>
      </c>
      <c r="E46" s="45">
        <v>27.97</v>
      </c>
      <c r="F46" s="45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7"/>
      <c r="AE46" s="47"/>
    </row>
    <row r="47" spans="1:31" ht="22.5" customHeight="1">
      <c r="A47" s="42">
        <v>43877</v>
      </c>
      <c r="B47" s="43"/>
      <c r="C47" s="44"/>
      <c r="D47" s="44" t="s">
        <v>96</v>
      </c>
      <c r="E47" s="45"/>
      <c r="F47" s="45"/>
      <c r="G47" s="46"/>
      <c r="H47" s="46"/>
      <c r="I47" s="46"/>
      <c r="J47" s="46"/>
      <c r="K47" s="46"/>
      <c r="L47" s="46">
        <f>50.6+0.89</f>
        <v>51.49</v>
      </c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7"/>
      <c r="AE47" s="47"/>
    </row>
    <row r="48" spans="1:31" ht="22.5" customHeight="1">
      <c r="A48" s="42">
        <v>43878</v>
      </c>
      <c r="B48" s="43"/>
      <c r="C48" s="44"/>
      <c r="D48" s="44" t="s">
        <v>74</v>
      </c>
      <c r="E48" s="45"/>
      <c r="F48" s="45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>
        <v>1608.68</v>
      </c>
      <c r="Z48" s="46"/>
      <c r="AA48" s="46"/>
      <c r="AB48" s="46"/>
      <c r="AC48" s="46"/>
      <c r="AD48" s="47"/>
      <c r="AE48" s="47"/>
    </row>
    <row r="49" spans="1:31" ht="22.5" customHeight="1">
      <c r="A49" s="42">
        <v>43879</v>
      </c>
      <c r="B49" s="43"/>
      <c r="C49" s="44"/>
      <c r="D49" s="44" t="s">
        <v>76</v>
      </c>
      <c r="E49" s="45"/>
      <c r="F49" s="45"/>
      <c r="G49" s="46"/>
      <c r="H49" s="46"/>
      <c r="I49" s="46"/>
      <c r="J49" s="46">
        <v>29.99</v>
      </c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7"/>
      <c r="AE49" s="47"/>
    </row>
    <row r="50" spans="1:31" ht="22.5" customHeight="1">
      <c r="A50" s="42">
        <v>43880</v>
      </c>
      <c r="B50" s="43"/>
      <c r="C50" s="44"/>
      <c r="D50" s="44" t="s">
        <v>97</v>
      </c>
      <c r="E50" s="45"/>
      <c r="F50" s="45"/>
      <c r="G50" s="46"/>
      <c r="H50" s="46"/>
      <c r="I50" s="46"/>
      <c r="J50" s="46"/>
      <c r="K50" s="46"/>
      <c r="L50" s="46"/>
      <c r="M50" s="46">
        <f>165.84+2.9</f>
        <v>168.74</v>
      </c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7"/>
      <c r="AE50" s="47"/>
    </row>
    <row r="51" spans="1:31" ht="22.5" customHeight="1">
      <c r="A51" s="42">
        <v>43881</v>
      </c>
      <c r="B51" s="43"/>
      <c r="C51" s="44"/>
      <c r="D51" s="44" t="s">
        <v>77</v>
      </c>
      <c r="E51" s="45"/>
      <c r="F51" s="45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>
        <v>80</v>
      </c>
      <c r="Z51" s="46"/>
      <c r="AA51" s="46"/>
      <c r="AB51" s="46"/>
      <c r="AC51" s="46"/>
      <c r="AD51" s="47"/>
      <c r="AE51" s="47"/>
    </row>
    <row r="52" spans="1:31" ht="22.5" customHeight="1">
      <c r="A52" s="42">
        <v>43881</v>
      </c>
      <c r="B52" s="43"/>
      <c r="C52" s="44"/>
      <c r="D52" s="44" t="s">
        <v>78</v>
      </c>
      <c r="E52" s="45"/>
      <c r="F52" s="45"/>
      <c r="G52" s="46"/>
      <c r="H52" s="46"/>
      <c r="I52" s="46"/>
      <c r="J52" s="46">
        <v>29.68</v>
      </c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7"/>
      <c r="AE52" s="47"/>
    </row>
    <row r="53" spans="1:31" ht="22.5" customHeight="1">
      <c r="A53" s="42">
        <v>43882</v>
      </c>
      <c r="B53" s="43"/>
      <c r="C53" s="44"/>
      <c r="D53" s="44" t="s">
        <v>98</v>
      </c>
      <c r="E53" s="45"/>
      <c r="F53" s="45"/>
      <c r="G53" s="46"/>
      <c r="H53" s="46"/>
      <c r="I53" s="46"/>
      <c r="J53" s="46"/>
      <c r="K53" s="46"/>
      <c r="L53" s="46"/>
      <c r="M53" s="46"/>
      <c r="N53" s="46">
        <v>86.8</v>
      </c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7"/>
      <c r="AE53" s="47"/>
    </row>
    <row r="54" spans="1:31" ht="22.5" customHeight="1">
      <c r="A54" s="42">
        <v>43883</v>
      </c>
      <c r="B54" s="43"/>
      <c r="C54" s="44"/>
      <c r="D54" s="44" t="s">
        <v>99</v>
      </c>
      <c r="E54" s="45"/>
      <c r="F54" s="45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>
        <v>50</v>
      </c>
      <c r="AB54" s="46"/>
      <c r="AC54" s="46"/>
      <c r="AD54" s="47"/>
      <c r="AE54" s="47"/>
    </row>
    <row r="55" spans="1:31" ht="22.5" customHeight="1">
      <c r="A55" s="42">
        <v>43886</v>
      </c>
      <c r="B55" s="43"/>
      <c r="C55" s="44"/>
      <c r="D55" s="44" t="s">
        <v>88</v>
      </c>
      <c r="E55" s="45"/>
      <c r="F55" s="45"/>
      <c r="G55" s="46">
        <v>943</v>
      </c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7"/>
      <c r="AE55" s="47"/>
    </row>
    <row r="56" spans="1:31" ht="22.5" customHeight="1">
      <c r="A56" s="42">
        <v>43887</v>
      </c>
      <c r="B56" s="43"/>
      <c r="C56" s="44"/>
      <c r="D56" s="44" t="s">
        <v>100</v>
      </c>
      <c r="E56" s="45"/>
      <c r="F56" s="45"/>
      <c r="G56" s="46"/>
      <c r="H56" s="46"/>
      <c r="I56" s="46"/>
      <c r="J56" s="46"/>
      <c r="K56" s="46"/>
      <c r="L56" s="46"/>
      <c r="M56" s="46">
        <f>62.21+1.09</f>
        <v>63.300000000000004</v>
      </c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7"/>
      <c r="AE56" s="47"/>
    </row>
    <row r="57" spans="1:31" ht="22.5" customHeight="1">
      <c r="A57" s="42">
        <v>43888</v>
      </c>
      <c r="B57" s="43"/>
      <c r="C57" s="44"/>
      <c r="D57" s="50" t="s">
        <v>86</v>
      </c>
      <c r="E57" s="45"/>
      <c r="F57" s="45">
        <v>1113.76</v>
      </c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7"/>
      <c r="AE57" s="47"/>
    </row>
    <row r="58" spans="1:31" ht="22.5" customHeight="1">
      <c r="A58" s="51">
        <v>43888</v>
      </c>
      <c r="B58" s="52"/>
      <c r="C58" s="53"/>
      <c r="D58" s="53" t="s">
        <v>101</v>
      </c>
      <c r="E58" s="54"/>
      <c r="F58" s="54"/>
      <c r="G58" s="55"/>
      <c r="H58" s="55"/>
      <c r="I58" s="55"/>
      <c r="J58" s="55"/>
      <c r="K58" s="55"/>
      <c r="L58" s="55">
        <f>800*1.16</f>
        <v>927.99999999999989</v>
      </c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6"/>
      <c r="AE58" s="56"/>
    </row>
    <row r="59" spans="1:31" ht="22.5" customHeight="1">
      <c r="A59" s="42">
        <v>43891</v>
      </c>
      <c r="B59" s="43"/>
      <c r="C59" s="44"/>
      <c r="D59" s="44" t="s">
        <v>102</v>
      </c>
      <c r="E59" s="45"/>
      <c r="F59" s="45"/>
      <c r="G59" s="46"/>
      <c r="H59" s="46"/>
      <c r="I59" s="46"/>
      <c r="J59" s="46"/>
      <c r="K59" s="46"/>
      <c r="L59" s="46"/>
      <c r="M59" s="46"/>
      <c r="N59" s="46"/>
      <c r="O59" s="46">
        <v>83.9</v>
      </c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7"/>
      <c r="AE59" s="47"/>
    </row>
    <row r="60" spans="1:31" ht="22.5" customHeight="1">
      <c r="A60" s="42">
        <v>43892</v>
      </c>
      <c r="B60" s="43"/>
      <c r="C60" s="44"/>
      <c r="D60" s="44" t="s">
        <v>62</v>
      </c>
      <c r="E60" s="45"/>
      <c r="F60" s="45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>
        <v>1036.55</v>
      </c>
      <c r="AC60" s="46"/>
      <c r="AD60" s="47"/>
      <c r="AE60" s="47"/>
    </row>
    <row r="61" spans="1:31" ht="22.5" customHeight="1">
      <c r="A61" s="42">
        <v>43892</v>
      </c>
      <c r="B61" s="43"/>
      <c r="C61" s="44"/>
      <c r="D61" s="44" t="s">
        <v>63</v>
      </c>
      <c r="E61" s="45"/>
      <c r="F61" s="45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>
        <v>237.2</v>
      </c>
      <c r="Z61" s="46"/>
      <c r="AA61" s="46"/>
      <c r="AB61" s="46"/>
      <c r="AC61" s="46"/>
      <c r="AD61" s="47"/>
      <c r="AE61" s="47"/>
    </row>
    <row r="62" spans="1:31" ht="22.5" customHeight="1">
      <c r="A62" s="42">
        <v>43892</v>
      </c>
      <c r="B62" s="43"/>
      <c r="C62" s="44"/>
      <c r="D62" s="58" t="s">
        <v>64</v>
      </c>
      <c r="E62" s="45"/>
      <c r="F62" s="45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>
        <v>700</v>
      </c>
      <c r="AA62" s="46"/>
      <c r="AB62" s="46"/>
      <c r="AC62" s="46"/>
      <c r="AD62" s="47"/>
      <c r="AE62" s="47"/>
    </row>
    <row r="63" spans="1:31" ht="22.5" customHeight="1">
      <c r="A63" s="42">
        <v>43892</v>
      </c>
      <c r="B63" s="43"/>
      <c r="C63" s="44"/>
      <c r="D63" s="44" t="s">
        <v>103</v>
      </c>
      <c r="E63" s="45"/>
      <c r="F63" s="45"/>
      <c r="G63" s="46"/>
      <c r="H63" s="46"/>
      <c r="I63" s="46"/>
      <c r="J63" s="46"/>
      <c r="K63" s="46"/>
      <c r="L63" s="46"/>
      <c r="M63" s="46"/>
      <c r="N63" s="46"/>
      <c r="O63" s="46"/>
      <c r="P63" s="46">
        <v>14.6</v>
      </c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7"/>
      <c r="AE63" s="47"/>
    </row>
    <row r="64" spans="1:31" ht="22.5" customHeight="1">
      <c r="A64" s="42">
        <v>43892</v>
      </c>
      <c r="B64" s="43"/>
      <c r="C64" s="44"/>
      <c r="D64" s="44" t="s">
        <v>104</v>
      </c>
      <c r="E64" s="45"/>
      <c r="F64" s="45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>
        <v>198.02</v>
      </c>
      <c r="V64" s="46"/>
      <c r="W64" s="46"/>
      <c r="X64" s="46"/>
      <c r="Y64" s="46"/>
      <c r="Z64" s="46"/>
      <c r="AA64" s="46"/>
      <c r="AB64" s="46"/>
      <c r="AC64" s="46"/>
      <c r="AD64" s="47"/>
      <c r="AE64" s="47"/>
    </row>
    <row r="65" spans="1:31" ht="22.5" customHeight="1">
      <c r="A65" s="42">
        <v>43892</v>
      </c>
      <c r="B65" s="43"/>
      <c r="C65" s="44"/>
      <c r="D65" s="44" t="s">
        <v>88</v>
      </c>
      <c r="E65" s="45"/>
      <c r="F65" s="45"/>
      <c r="G65" s="46">
        <v>682</v>
      </c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7"/>
      <c r="AE65" s="47"/>
    </row>
    <row r="66" spans="1:31" ht="22.5" customHeight="1">
      <c r="A66" s="42">
        <v>43893</v>
      </c>
      <c r="B66" s="43"/>
      <c r="C66" s="44"/>
      <c r="D66" s="44" t="s">
        <v>65</v>
      </c>
      <c r="E66" s="45"/>
      <c r="F66" s="45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>
        <v>18</v>
      </c>
      <c r="Z66" s="46"/>
      <c r="AA66" s="46"/>
      <c r="AB66" s="46"/>
      <c r="AC66" s="46"/>
      <c r="AD66" s="47"/>
      <c r="AE66" s="47"/>
    </row>
    <row r="67" spans="1:31" ht="22.5" customHeight="1">
      <c r="A67" s="42">
        <v>43894</v>
      </c>
      <c r="B67" s="43"/>
      <c r="C67" s="44"/>
      <c r="D67" s="44" t="s">
        <v>105</v>
      </c>
      <c r="E67" s="45"/>
      <c r="F67" s="45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>
        <v>66</v>
      </c>
      <c r="Z67" s="46"/>
      <c r="AA67" s="46"/>
      <c r="AB67" s="46"/>
      <c r="AC67" s="46"/>
      <c r="AD67" s="47"/>
      <c r="AE67" s="47"/>
    </row>
    <row r="68" spans="1:31" ht="22.5" customHeight="1">
      <c r="A68" s="42">
        <v>43894</v>
      </c>
      <c r="B68" s="43"/>
      <c r="C68" s="44"/>
      <c r="D68" s="44" t="s">
        <v>105</v>
      </c>
      <c r="E68" s="45"/>
      <c r="F68" s="45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>
        <v>8.98</v>
      </c>
      <c r="Z68" s="46"/>
      <c r="AA68" s="46"/>
      <c r="AB68" s="46"/>
      <c r="AC68" s="46"/>
      <c r="AD68" s="47"/>
      <c r="AE68" s="47"/>
    </row>
    <row r="69" spans="1:31" ht="22.5" customHeight="1">
      <c r="A69" s="42">
        <v>43894</v>
      </c>
      <c r="B69" s="43"/>
      <c r="C69" s="44"/>
      <c r="D69" s="44" t="s">
        <v>65</v>
      </c>
      <c r="E69" s="45"/>
      <c r="F69" s="45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>
        <v>18</v>
      </c>
      <c r="Z69" s="46"/>
      <c r="AA69" s="46"/>
      <c r="AB69" s="46"/>
      <c r="AC69" s="46"/>
      <c r="AD69" s="47"/>
      <c r="AE69" s="47"/>
    </row>
    <row r="70" spans="1:31" ht="22.5" customHeight="1">
      <c r="A70" s="42">
        <v>43899</v>
      </c>
      <c r="B70" s="43"/>
      <c r="C70" s="44"/>
      <c r="D70" s="44" t="s">
        <v>106</v>
      </c>
      <c r="E70" s="45"/>
      <c r="F70" s="45"/>
      <c r="G70" s="46"/>
      <c r="H70" s="46"/>
      <c r="I70" s="46"/>
      <c r="J70" s="46"/>
      <c r="K70" s="46"/>
      <c r="L70" s="46"/>
      <c r="M70" s="46">
        <f>73.13+1.28</f>
        <v>74.41</v>
      </c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7"/>
      <c r="AE70" s="47"/>
    </row>
    <row r="71" spans="1:31" ht="22.5" customHeight="1">
      <c r="A71" s="42">
        <v>43899</v>
      </c>
      <c r="B71" s="43"/>
      <c r="C71" s="44"/>
      <c r="D71" s="44" t="s">
        <v>107</v>
      </c>
      <c r="E71" s="45"/>
      <c r="F71" s="45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>
        <v>9.16</v>
      </c>
      <c r="AB71" s="46"/>
      <c r="AC71" s="46"/>
      <c r="AD71" s="47"/>
      <c r="AE71" s="47"/>
    </row>
    <row r="72" spans="1:31" ht="22.5" customHeight="1">
      <c r="A72" s="42">
        <v>43899</v>
      </c>
      <c r="B72" s="43"/>
      <c r="C72" s="44"/>
      <c r="D72" s="44" t="s">
        <v>108</v>
      </c>
      <c r="E72" s="45"/>
      <c r="F72" s="45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>
        <v>70</v>
      </c>
      <c r="Z72" s="46"/>
      <c r="AA72" s="46"/>
      <c r="AB72" s="46"/>
      <c r="AC72" s="46"/>
      <c r="AD72" s="47"/>
      <c r="AE72" s="47"/>
    </row>
    <row r="73" spans="1:31" ht="22.5" customHeight="1">
      <c r="A73" s="42">
        <v>43900</v>
      </c>
      <c r="B73" s="43"/>
      <c r="C73" s="44"/>
      <c r="D73" s="44" t="s">
        <v>109</v>
      </c>
      <c r="E73" s="45"/>
      <c r="F73" s="45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>
        <f>313.96+5.49</f>
        <v>319.45</v>
      </c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7"/>
      <c r="AE73" s="47"/>
    </row>
    <row r="74" spans="1:31" ht="22.5" customHeight="1">
      <c r="A74" s="42">
        <v>43900</v>
      </c>
      <c r="B74" s="43"/>
      <c r="C74" s="44"/>
      <c r="D74" s="44" t="s">
        <v>110</v>
      </c>
      <c r="E74" s="45"/>
      <c r="F74" s="45"/>
      <c r="G74" s="46"/>
      <c r="H74" s="46"/>
      <c r="I74" s="46">
        <v>44.5</v>
      </c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7"/>
      <c r="AE74" s="47"/>
    </row>
    <row r="75" spans="1:31" ht="22.5" customHeight="1">
      <c r="A75" s="42">
        <v>43906</v>
      </c>
      <c r="B75" s="43"/>
      <c r="C75" s="44"/>
      <c r="D75" s="44" t="s">
        <v>74</v>
      </c>
      <c r="E75" s="45"/>
      <c r="F75" s="45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>
        <v>1608.68</v>
      </c>
      <c r="AA75" s="46"/>
      <c r="AB75" s="46"/>
      <c r="AC75" s="46"/>
      <c r="AD75" s="47"/>
      <c r="AE75" s="47"/>
    </row>
    <row r="76" spans="1:31" ht="22.5" customHeight="1">
      <c r="A76" s="42">
        <v>43906</v>
      </c>
      <c r="B76" s="43"/>
      <c r="C76" s="44"/>
      <c r="D76" s="50" t="s">
        <v>88</v>
      </c>
      <c r="E76" s="45">
        <v>1886</v>
      </c>
      <c r="F76" s="45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7"/>
      <c r="AE76" s="47"/>
    </row>
    <row r="77" spans="1:31" ht="22.5" customHeight="1">
      <c r="A77" s="42">
        <v>43906</v>
      </c>
      <c r="B77" s="43"/>
      <c r="C77" s="44"/>
      <c r="D77" s="44" t="s">
        <v>73</v>
      </c>
      <c r="E77" s="45"/>
      <c r="F77" s="45"/>
      <c r="G77" s="46"/>
      <c r="H77" s="46">
        <v>776.72</v>
      </c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7"/>
      <c r="AE77" s="47"/>
    </row>
    <row r="78" spans="1:31" ht="22.5" customHeight="1">
      <c r="A78" s="42">
        <v>43906</v>
      </c>
      <c r="B78" s="43"/>
      <c r="C78" s="44"/>
      <c r="D78" s="44" t="s">
        <v>73</v>
      </c>
      <c r="E78" s="45"/>
      <c r="F78" s="45"/>
      <c r="G78" s="46"/>
      <c r="H78" s="46">
        <v>281.26</v>
      </c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7"/>
      <c r="AE78" s="47"/>
    </row>
    <row r="79" spans="1:31" ht="22.5" customHeight="1">
      <c r="A79" s="42">
        <v>43907</v>
      </c>
      <c r="B79" s="43"/>
      <c r="C79" s="44"/>
      <c r="D79" s="44" t="s">
        <v>111</v>
      </c>
      <c r="E79" s="45"/>
      <c r="F79" s="45"/>
      <c r="G79" s="46"/>
      <c r="H79" s="46"/>
      <c r="I79" s="46"/>
      <c r="J79" s="46">
        <v>29.99</v>
      </c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7"/>
      <c r="AE79" s="47"/>
    </row>
    <row r="80" spans="1:31" ht="22.5" customHeight="1">
      <c r="A80" s="42">
        <v>43907</v>
      </c>
      <c r="B80" s="43"/>
      <c r="C80" s="44"/>
      <c r="D80" s="44" t="s">
        <v>92</v>
      </c>
      <c r="E80" s="45"/>
      <c r="F80" s="45"/>
      <c r="G80" s="46"/>
      <c r="H80" s="46"/>
      <c r="I80" s="46">
        <v>23.14</v>
      </c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7"/>
      <c r="AE80" s="47"/>
    </row>
    <row r="81" spans="1:31" ht="22.5" customHeight="1">
      <c r="A81" s="42">
        <v>43909</v>
      </c>
      <c r="B81" s="43"/>
      <c r="C81" s="44"/>
      <c r="D81" s="44" t="s">
        <v>78</v>
      </c>
      <c r="E81" s="45"/>
      <c r="F81" s="45"/>
      <c r="G81" s="46"/>
      <c r="H81" s="46"/>
      <c r="I81" s="46"/>
      <c r="J81" s="46">
        <v>24.62</v>
      </c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7"/>
      <c r="AE81" s="47"/>
    </row>
    <row r="82" spans="1:31" ht="22.5" customHeight="1">
      <c r="A82" s="42">
        <v>43910</v>
      </c>
      <c r="B82" s="43"/>
      <c r="C82" s="44"/>
      <c r="D82" s="44" t="s">
        <v>77</v>
      </c>
      <c r="E82" s="45"/>
      <c r="F82" s="45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>
        <v>80</v>
      </c>
      <c r="Z82" s="46"/>
      <c r="AA82" s="46"/>
      <c r="AB82" s="46"/>
      <c r="AC82" s="46"/>
      <c r="AD82" s="47"/>
      <c r="AE82" s="47"/>
    </row>
    <row r="83" spans="1:31" ht="22.5" customHeight="1">
      <c r="A83" s="42">
        <v>43913</v>
      </c>
      <c r="B83" s="43"/>
      <c r="C83" s="44"/>
      <c r="D83" s="44" t="s">
        <v>92</v>
      </c>
      <c r="E83" s="45"/>
      <c r="F83" s="45"/>
      <c r="G83" s="46"/>
      <c r="H83" s="46"/>
      <c r="I83" s="46">
        <v>29.02</v>
      </c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7"/>
      <c r="AE83" s="47"/>
    </row>
    <row r="84" spans="1:31" ht="22.5" customHeight="1">
      <c r="A84" s="42">
        <v>43920</v>
      </c>
      <c r="B84" s="43"/>
      <c r="C84" s="44"/>
      <c r="D84" s="50" t="s">
        <v>86</v>
      </c>
      <c r="E84" s="45"/>
      <c r="F84" s="45">
        <v>2088.3000000000002</v>
      </c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7"/>
      <c r="AE84" s="47"/>
    </row>
    <row r="85" spans="1:31" ht="22.5" customHeight="1">
      <c r="A85" s="51">
        <v>43921</v>
      </c>
      <c r="B85" s="52"/>
      <c r="C85" s="53"/>
      <c r="D85" s="53" t="s">
        <v>112</v>
      </c>
      <c r="E85" s="54"/>
      <c r="F85" s="54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>
        <v>17.7</v>
      </c>
      <c r="AB85" s="55"/>
      <c r="AC85" s="55"/>
      <c r="AD85" s="56"/>
      <c r="AE85" s="56"/>
    </row>
    <row r="86" spans="1:31" ht="22.5" customHeight="1">
      <c r="A86" s="42">
        <v>43922</v>
      </c>
      <c r="B86" s="43"/>
      <c r="C86" s="44"/>
      <c r="D86" s="44" t="s">
        <v>62</v>
      </c>
      <c r="E86" s="45"/>
      <c r="F86" s="45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>
        <v>1036.55</v>
      </c>
      <c r="AC86" s="46"/>
      <c r="AD86" s="47"/>
      <c r="AE86" s="47"/>
    </row>
    <row r="87" spans="1:31" ht="22.5" customHeight="1">
      <c r="A87" s="42">
        <v>43922</v>
      </c>
      <c r="B87" s="43"/>
      <c r="C87" s="44"/>
      <c r="D87" s="44" t="s">
        <v>64</v>
      </c>
      <c r="E87" s="45"/>
      <c r="F87" s="45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>
        <v>700</v>
      </c>
      <c r="AA87" s="46"/>
      <c r="AB87" s="46"/>
      <c r="AC87" s="46"/>
      <c r="AD87" s="47"/>
      <c r="AE87" s="47"/>
    </row>
    <row r="88" spans="1:31" ht="22.5" customHeight="1">
      <c r="A88" s="42">
        <v>43922</v>
      </c>
      <c r="B88" s="43"/>
      <c r="C88" s="44"/>
      <c r="D88" s="44" t="s">
        <v>63</v>
      </c>
      <c r="E88" s="45"/>
      <c r="F88" s="45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>
        <v>237.2</v>
      </c>
      <c r="Z88" s="46"/>
      <c r="AA88" s="46"/>
      <c r="AB88" s="46"/>
      <c r="AC88" s="46"/>
      <c r="AD88" s="47"/>
      <c r="AE88" s="47"/>
    </row>
    <row r="89" spans="1:31" ht="22.5" customHeight="1">
      <c r="A89" s="42">
        <v>43923</v>
      </c>
      <c r="B89" s="59" t="s">
        <v>113</v>
      </c>
      <c r="C89" s="60"/>
      <c r="D89" s="48" t="s">
        <v>114</v>
      </c>
      <c r="E89" s="45">
        <v>12900</v>
      </c>
      <c r="F89" s="45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7"/>
      <c r="AE89" s="47"/>
    </row>
    <row r="90" spans="1:31" ht="22.5" customHeight="1">
      <c r="A90" s="42">
        <v>43923</v>
      </c>
      <c r="B90" s="59">
        <v>20200302</v>
      </c>
      <c r="C90" s="44"/>
      <c r="D90" s="48" t="s">
        <v>114</v>
      </c>
      <c r="E90" s="45">
        <v>3418.5</v>
      </c>
      <c r="F90" s="45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7"/>
      <c r="AE90" s="47"/>
    </row>
    <row r="91" spans="1:31" ht="22.5" customHeight="1">
      <c r="A91" s="42">
        <v>43924</v>
      </c>
      <c r="B91" s="43"/>
      <c r="C91" s="44"/>
      <c r="D91" s="44" t="s">
        <v>115</v>
      </c>
      <c r="E91" s="45"/>
      <c r="F91" s="45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>
        <v>1000</v>
      </c>
      <c r="AC91" s="46"/>
      <c r="AD91" s="47"/>
      <c r="AE91" s="47"/>
    </row>
    <row r="92" spans="1:31" ht="22.5" customHeight="1">
      <c r="A92" s="42">
        <v>43930</v>
      </c>
      <c r="B92" s="43"/>
      <c r="C92" s="44"/>
      <c r="D92" s="48" t="s">
        <v>68</v>
      </c>
      <c r="E92" s="45"/>
      <c r="F92" s="45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>
        <v>9.16</v>
      </c>
      <c r="AB92" s="46"/>
      <c r="AC92" s="46"/>
      <c r="AD92" s="47"/>
      <c r="AE92" s="47"/>
    </row>
    <row r="93" spans="1:31" ht="22.5" customHeight="1">
      <c r="A93" s="42">
        <v>43930</v>
      </c>
      <c r="B93" s="43"/>
      <c r="C93" s="44"/>
      <c r="D93" s="44" t="s">
        <v>116</v>
      </c>
      <c r="E93" s="45"/>
      <c r="F93" s="45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>
        <v>398.41</v>
      </c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7"/>
      <c r="AE93" s="47"/>
    </row>
    <row r="94" spans="1:31" ht="22.5" customHeight="1">
      <c r="A94" s="42">
        <v>43937</v>
      </c>
      <c r="B94" s="43"/>
      <c r="C94" s="44"/>
      <c r="D94" s="44" t="s">
        <v>117</v>
      </c>
      <c r="E94" s="45"/>
      <c r="F94" s="45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>
        <f>2249*0.049</f>
        <v>110.20100000000001</v>
      </c>
      <c r="V94" s="46"/>
      <c r="W94" s="46"/>
      <c r="X94" s="46"/>
      <c r="Y94" s="46"/>
      <c r="Z94" s="46"/>
      <c r="AA94" s="46"/>
      <c r="AB94" s="46"/>
      <c r="AC94" s="46"/>
      <c r="AD94" s="47"/>
      <c r="AE94" s="47"/>
    </row>
    <row r="95" spans="1:31" ht="22.5" customHeight="1">
      <c r="A95" s="42">
        <v>43937</v>
      </c>
      <c r="B95" s="43"/>
      <c r="C95" s="44"/>
      <c r="D95" s="44" t="s">
        <v>74</v>
      </c>
      <c r="E95" s="45"/>
      <c r="F95" s="45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>
        <v>1608.68</v>
      </c>
      <c r="AA95" s="46"/>
      <c r="AB95" s="46"/>
      <c r="AC95" s="46"/>
      <c r="AD95" s="47"/>
      <c r="AE95" s="47"/>
    </row>
    <row r="96" spans="1:31" ht="22.5" customHeight="1">
      <c r="A96" s="42">
        <v>43938</v>
      </c>
      <c r="B96" s="43"/>
      <c r="C96" s="44"/>
      <c r="D96" s="44" t="s">
        <v>111</v>
      </c>
      <c r="E96" s="45"/>
      <c r="F96" s="45"/>
      <c r="G96" s="46"/>
      <c r="H96" s="46"/>
      <c r="I96" s="46"/>
      <c r="J96" s="46">
        <v>29.99</v>
      </c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7"/>
      <c r="AE96" s="47"/>
    </row>
    <row r="97" spans="1:31" ht="22.5" customHeight="1">
      <c r="A97" s="42">
        <v>43941</v>
      </c>
      <c r="B97" s="43"/>
      <c r="C97" s="44"/>
      <c r="D97" s="44" t="s">
        <v>77</v>
      </c>
      <c r="E97" s="45"/>
      <c r="F97" s="45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>
        <v>80</v>
      </c>
      <c r="Z97" s="46"/>
      <c r="AA97" s="46"/>
      <c r="AB97" s="46"/>
      <c r="AC97" s="46"/>
      <c r="AD97" s="47"/>
      <c r="AE97" s="47"/>
    </row>
    <row r="98" spans="1:31" ht="22.5" customHeight="1">
      <c r="A98" s="42">
        <v>43942</v>
      </c>
      <c r="B98" s="43"/>
      <c r="C98" s="44"/>
      <c r="D98" s="50" t="s">
        <v>88</v>
      </c>
      <c r="E98" s="45">
        <v>27.09</v>
      </c>
      <c r="F98" s="45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7"/>
      <c r="AE98" s="47"/>
    </row>
    <row r="99" spans="1:31" ht="22.5" customHeight="1">
      <c r="A99" s="42">
        <v>43943</v>
      </c>
      <c r="B99" s="43"/>
      <c r="C99" s="44"/>
      <c r="D99" s="44" t="s">
        <v>78</v>
      </c>
      <c r="E99" s="45"/>
      <c r="F99" s="45"/>
      <c r="G99" s="46"/>
      <c r="H99" s="46"/>
      <c r="I99" s="46"/>
      <c r="J99" s="46">
        <v>20.27</v>
      </c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7"/>
      <c r="AE99" s="47"/>
    </row>
    <row r="100" spans="1:31" ht="22.5" customHeight="1">
      <c r="A100" s="51">
        <v>43950</v>
      </c>
      <c r="B100" s="52"/>
      <c r="C100" s="53"/>
      <c r="D100" s="61" t="s">
        <v>86</v>
      </c>
      <c r="E100" s="54"/>
      <c r="F100" s="54">
        <v>1740.25</v>
      </c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6"/>
      <c r="AE100" s="56"/>
    </row>
    <row r="101" spans="1:31" ht="22.5" customHeight="1">
      <c r="A101" s="42">
        <v>43955</v>
      </c>
      <c r="B101" s="43"/>
      <c r="C101" s="44"/>
      <c r="D101" s="44" t="s">
        <v>62</v>
      </c>
      <c r="E101" s="45"/>
      <c r="F101" s="45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>
        <v>1036.55</v>
      </c>
      <c r="AC101" s="46"/>
      <c r="AD101" s="47"/>
      <c r="AE101" s="47"/>
    </row>
    <row r="102" spans="1:31" ht="22.5" customHeight="1">
      <c r="A102" s="42">
        <v>43955</v>
      </c>
      <c r="B102" s="43"/>
      <c r="C102" s="44"/>
      <c r="D102" s="44" t="s">
        <v>64</v>
      </c>
      <c r="E102" s="45"/>
      <c r="F102" s="45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>
        <v>700</v>
      </c>
      <c r="AA102" s="46"/>
      <c r="AB102" s="46"/>
      <c r="AC102" s="46"/>
      <c r="AD102" s="47"/>
      <c r="AE102" s="47"/>
    </row>
    <row r="103" spans="1:31" ht="22.5" customHeight="1">
      <c r="A103" s="42">
        <v>43955</v>
      </c>
      <c r="B103" s="43"/>
      <c r="C103" s="44"/>
      <c r="D103" s="44" t="s">
        <v>63</v>
      </c>
      <c r="E103" s="45"/>
      <c r="F103" s="45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>
        <v>237.2</v>
      </c>
      <c r="Z103" s="46"/>
      <c r="AA103" s="46"/>
      <c r="AB103" s="46"/>
      <c r="AC103" s="46"/>
      <c r="AD103" s="47"/>
      <c r="AE103" s="47"/>
    </row>
    <row r="104" spans="1:31" ht="22.5" customHeight="1">
      <c r="A104" s="42">
        <v>43955</v>
      </c>
      <c r="B104" s="43"/>
      <c r="C104" s="44"/>
      <c r="D104" s="44" t="s">
        <v>65</v>
      </c>
      <c r="E104" s="45"/>
      <c r="F104" s="45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>
        <v>18</v>
      </c>
      <c r="Z104" s="46"/>
      <c r="AA104" s="46"/>
      <c r="AB104" s="46"/>
      <c r="AC104" s="46"/>
      <c r="AD104" s="47"/>
      <c r="AE104" s="47"/>
    </row>
    <row r="105" spans="1:31" ht="22.5" customHeight="1">
      <c r="A105" s="42">
        <v>43955</v>
      </c>
      <c r="B105" s="43"/>
      <c r="C105" s="44"/>
      <c r="D105" s="44" t="s">
        <v>112</v>
      </c>
      <c r="E105" s="45"/>
      <c r="F105" s="45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>
        <v>20</v>
      </c>
      <c r="AB105" s="46"/>
      <c r="AC105" s="46"/>
      <c r="AD105" s="47"/>
      <c r="AE105" s="47"/>
    </row>
    <row r="106" spans="1:31" ht="22.5" customHeight="1">
      <c r="A106" s="42">
        <v>43959</v>
      </c>
      <c r="B106" s="43"/>
      <c r="C106" s="44"/>
      <c r="D106" s="48" t="s">
        <v>68</v>
      </c>
      <c r="E106" s="45"/>
      <c r="F106" s="45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>
        <v>9.16</v>
      </c>
      <c r="AB106" s="46"/>
      <c r="AC106" s="46"/>
      <c r="AD106" s="47"/>
      <c r="AE106" s="47"/>
    </row>
    <row r="107" spans="1:31" ht="22.5" customHeight="1">
      <c r="A107" s="42">
        <v>43964</v>
      </c>
      <c r="B107" s="62">
        <v>20191201</v>
      </c>
      <c r="C107" s="44"/>
      <c r="D107" s="48" t="s">
        <v>91</v>
      </c>
      <c r="E107" s="45"/>
      <c r="F107" s="45">
        <v>5400</v>
      </c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7"/>
      <c r="AE107" s="47"/>
    </row>
    <row r="108" spans="1:31" ht="22.5" customHeight="1">
      <c r="A108" s="42">
        <v>43966</v>
      </c>
      <c r="B108" s="43"/>
      <c r="C108" s="44"/>
      <c r="D108" s="44" t="s">
        <v>74</v>
      </c>
      <c r="E108" s="45"/>
      <c r="F108" s="45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>
        <v>1608.68</v>
      </c>
      <c r="AA108" s="46"/>
      <c r="AB108" s="46"/>
      <c r="AC108" s="46"/>
      <c r="AD108" s="47"/>
      <c r="AE108" s="47"/>
    </row>
    <row r="109" spans="1:31" ht="22.5" customHeight="1">
      <c r="A109" s="42">
        <v>43970</v>
      </c>
      <c r="B109" s="43"/>
      <c r="C109" s="44"/>
      <c r="D109" s="44" t="s">
        <v>111</v>
      </c>
      <c r="E109" s="45"/>
      <c r="F109" s="45"/>
      <c r="G109" s="46"/>
      <c r="H109" s="46"/>
      <c r="I109" s="46"/>
      <c r="J109" s="46">
        <v>29.99</v>
      </c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7"/>
      <c r="AE109" s="47"/>
    </row>
    <row r="110" spans="1:31" ht="22.5" customHeight="1">
      <c r="A110" s="42">
        <v>43971</v>
      </c>
      <c r="B110" s="63"/>
      <c r="C110" s="63"/>
      <c r="D110" s="48" t="s">
        <v>77</v>
      </c>
      <c r="E110" s="64"/>
      <c r="F110" s="64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46">
        <v>80</v>
      </c>
      <c r="Z110" s="65"/>
      <c r="AA110" s="65"/>
      <c r="AB110" s="65"/>
      <c r="AC110" s="65"/>
      <c r="AD110" s="66"/>
      <c r="AE110" s="66"/>
    </row>
    <row r="111" spans="1:31" ht="22.5" customHeight="1">
      <c r="A111" s="42">
        <v>43971</v>
      </c>
      <c r="B111" s="63"/>
      <c r="C111" s="63"/>
      <c r="D111" s="48" t="s">
        <v>78</v>
      </c>
      <c r="E111" s="64"/>
      <c r="F111" s="64"/>
      <c r="G111" s="65"/>
      <c r="H111" s="65"/>
      <c r="I111" s="65"/>
      <c r="J111" s="65">
        <v>19.98</v>
      </c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6"/>
      <c r="AE111" s="66"/>
    </row>
    <row r="112" spans="1:31" ht="22.5" customHeight="1">
      <c r="A112" s="42">
        <v>43976</v>
      </c>
      <c r="B112" s="43"/>
      <c r="C112" s="44"/>
      <c r="D112" s="50" t="s">
        <v>88</v>
      </c>
      <c r="E112" s="45">
        <v>943</v>
      </c>
      <c r="F112" s="45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7"/>
      <c r="AE112" s="47"/>
    </row>
    <row r="113" spans="1:31" ht="22.5" customHeight="1">
      <c r="A113" s="51">
        <v>43979</v>
      </c>
      <c r="B113" s="52"/>
      <c r="C113" s="53"/>
      <c r="D113" s="61" t="s">
        <v>86</v>
      </c>
      <c r="E113" s="54"/>
      <c r="F113" s="54">
        <v>1879.47</v>
      </c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6"/>
      <c r="AE113" s="56"/>
    </row>
    <row r="114" spans="1:31" ht="22.5" customHeight="1">
      <c r="A114" s="42">
        <v>43983</v>
      </c>
      <c r="B114" s="43"/>
      <c r="C114" s="44"/>
      <c r="D114" s="44" t="s">
        <v>62</v>
      </c>
      <c r="E114" s="45"/>
      <c r="F114" s="45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>
        <v>1036.55</v>
      </c>
      <c r="AC114" s="46"/>
      <c r="AD114" s="47"/>
      <c r="AE114" s="47"/>
    </row>
    <row r="115" spans="1:31" ht="22.5" customHeight="1">
      <c r="A115" s="42">
        <v>43984</v>
      </c>
      <c r="B115" s="43"/>
      <c r="C115" s="44"/>
      <c r="D115" s="44" t="s">
        <v>63</v>
      </c>
      <c r="E115" s="45"/>
      <c r="F115" s="45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>
        <v>237.2</v>
      </c>
      <c r="Z115" s="46"/>
      <c r="AA115" s="46"/>
      <c r="AB115" s="46"/>
      <c r="AC115" s="46"/>
      <c r="AD115" s="47"/>
      <c r="AE115" s="47"/>
    </row>
    <row r="116" spans="1:31" ht="22.5" customHeight="1">
      <c r="A116" s="42">
        <v>43985</v>
      </c>
      <c r="B116" s="43"/>
      <c r="C116" s="44"/>
      <c r="D116" s="44" t="s">
        <v>65</v>
      </c>
      <c r="E116" s="45"/>
      <c r="F116" s="45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>
        <v>18</v>
      </c>
      <c r="Z116" s="46"/>
      <c r="AA116" s="46"/>
      <c r="AB116" s="46"/>
      <c r="AC116" s="46"/>
      <c r="AD116" s="47"/>
      <c r="AE116" s="47"/>
    </row>
    <row r="117" spans="1:31" ht="22.5" customHeight="1">
      <c r="A117" s="42">
        <v>43985</v>
      </c>
      <c r="B117" s="43"/>
      <c r="C117" s="44"/>
      <c r="D117" s="44" t="s">
        <v>65</v>
      </c>
      <c r="E117" s="45"/>
      <c r="F117" s="45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>
        <v>18</v>
      </c>
      <c r="Z117" s="46"/>
      <c r="AA117" s="46"/>
      <c r="AB117" s="46"/>
      <c r="AC117" s="46"/>
      <c r="AD117" s="47"/>
      <c r="AE117" s="47"/>
    </row>
    <row r="118" spans="1:31" ht="22.5" customHeight="1">
      <c r="A118" s="42">
        <v>43986</v>
      </c>
      <c r="B118" s="43"/>
      <c r="C118" s="44"/>
      <c r="D118" s="50" t="s">
        <v>118</v>
      </c>
      <c r="E118" s="45"/>
      <c r="F118" s="45">
        <v>261</v>
      </c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7"/>
      <c r="AE118" s="47"/>
    </row>
    <row r="119" spans="1:31" ht="22.5" customHeight="1">
      <c r="A119" s="42">
        <v>43986</v>
      </c>
      <c r="B119" s="43"/>
      <c r="C119" s="44"/>
      <c r="D119" s="50" t="s">
        <v>88</v>
      </c>
      <c r="E119" s="45">
        <v>261</v>
      </c>
      <c r="F119" s="45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7"/>
      <c r="AE119" s="47"/>
    </row>
    <row r="120" spans="1:31" ht="22.5" customHeight="1">
      <c r="A120" s="42">
        <v>43991</v>
      </c>
      <c r="B120" s="43"/>
      <c r="C120" s="44"/>
      <c r="D120" s="48" t="s">
        <v>68</v>
      </c>
      <c r="E120" s="45"/>
      <c r="F120" s="45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>
        <v>9.16</v>
      </c>
      <c r="AB120" s="46"/>
      <c r="AC120" s="46"/>
      <c r="AD120" s="47"/>
      <c r="AE120" s="47"/>
    </row>
    <row r="121" spans="1:31" ht="22.5" customHeight="1">
      <c r="A121" s="42">
        <v>43997</v>
      </c>
      <c r="B121" s="43"/>
      <c r="C121" s="44"/>
      <c r="D121" s="44" t="s">
        <v>74</v>
      </c>
      <c r="E121" s="45"/>
      <c r="F121" s="45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>
        <v>1608.68</v>
      </c>
      <c r="AA121" s="46"/>
      <c r="AB121" s="46"/>
      <c r="AC121" s="46"/>
      <c r="AD121" s="47"/>
      <c r="AE121" s="47"/>
    </row>
    <row r="122" spans="1:31" ht="22.5" customHeight="1">
      <c r="A122" s="42">
        <v>43999</v>
      </c>
      <c r="B122" s="43"/>
      <c r="C122" s="44"/>
      <c r="D122" s="50" t="s">
        <v>88</v>
      </c>
      <c r="E122" s="45">
        <v>54.82</v>
      </c>
      <c r="F122" s="45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7"/>
      <c r="AE122" s="47"/>
    </row>
    <row r="123" spans="1:31" ht="22.5" customHeight="1">
      <c r="A123" s="42">
        <v>43999</v>
      </c>
      <c r="B123" s="43"/>
      <c r="C123" s="44"/>
      <c r="D123" s="44" t="s">
        <v>111</v>
      </c>
      <c r="E123" s="45"/>
      <c r="F123" s="45"/>
      <c r="G123" s="46"/>
      <c r="H123" s="46"/>
      <c r="I123" s="46"/>
      <c r="J123" s="46">
        <v>29.99</v>
      </c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7"/>
      <c r="AE123" s="47"/>
    </row>
    <row r="124" spans="1:31" ht="22.5" customHeight="1">
      <c r="A124" s="42">
        <v>44001</v>
      </c>
      <c r="B124" s="63"/>
      <c r="C124" s="63"/>
      <c r="D124" s="48" t="s">
        <v>78</v>
      </c>
      <c r="E124" s="64"/>
      <c r="F124" s="64"/>
      <c r="G124" s="65"/>
      <c r="H124" s="65"/>
      <c r="I124" s="65"/>
      <c r="J124" s="65">
        <v>19.98</v>
      </c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6"/>
      <c r="AE124" s="66"/>
    </row>
    <row r="125" spans="1:31" ht="22.5" customHeight="1">
      <c r="A125" s="42">
        <v>44002</v>
      </c>
      <c r="B125" s="63"/>
      <c r="C125" s="63"/>
      <c r="D125" s="48" t="s">
        <v>77</v>
      </c>
      <c r="E125" s="64"/>
      <c r="F125" s="64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46">
        <v>80</v>
      </c>
      <c r="Z125" s="65"/>
      <c r="AA125" s="65"/>
      <c r="AB125" s="65"/>
      <c r="AC125" s="65"/>
      <c r="AD125" s="66"/>
      <c r="AE125" s="66"/>
    </row>
    <row r="126" spans="1:31" ht="22.5" customHeight="1">
      <c r="A126" s="42">
        <v>44004</v>
      </c>
      <c r="B126" s="63"/>
      <c r="C126" s="63"/>
      <c r="D126" s="48" t="s">
        <v>77</v>
      </c>
      <c r="E126" s="64"/>
      <c r="F126" s="64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46">
        <v>80</v>
      </c>
      <c r="Z126" s="65"/>
      <c r="AA126" s="65"/>
      <c r="AB126" s="65"/>
      <c r="AC126" s="65"/>
      <c r="AD126" s="66"/>
      <c r="AE126" s="66"/>
    </row>
    <row r="127" spans="1:31" ht="22.5" customHeight="1">
      <c r="A127" s="42">
        <v>44005</v>
      </c>
      <c r="B127" s="43"/>
      <c r="C127" s="44"/>
      <c r="D127" s="44" t="s">
        <v>63</v>
      </c>
      <c r="E127" s="45">
        <v>87.18</v>
      </c>
      <c r="F127" s="45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7"/>
      <c r="AE127" s="47"/>
    </row>
    <row r="128" spans="1:31" ht="22.5" customHeight="1">
      <c r="A128" s="42">
        <v>44009</v>
      </c>
      <c r="B128" s="43"/>
      <c r="C128" s="44"/>
      <c r="D128" s="44" t="s">
        <v>119</v>
      </c>
      <c r="E128" s="45"/>
      <c r="F128" s="45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>
        <v>172.99</v>
      </c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7"/>
      <c r="AE128" s="47"/>
    </row>
    <row r="129" spans="1:31" ht="22.5" customHeight="1">
      <c r="A129" s="51">
        <v>44011</v>
      </c>
      <c r="B129" s="52"/>
      <c r="C129" s="53"/>
      <c r="D129" s="61" t="s">
        <v>86</v>
      </c>
      <c r="E129" s="54"/>
      <c r="F129" s="54">
        <v>1809.86</v>
      </c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6"/>
      <c r="AE129" s="56"/>
    </row>
    <row r="130" spans="1:31" ht="22.5" customHeight="1">
      <c r="A130" s="42">
        <v>44013</v>
      </c>
      <c r="B130" s="43"/>
      <c r="C130" s="44"/>
      <c r="D130" s="44" t="s">
        <v>62</v>
      </c>
      <c r="E130" s="45"/>
      <c r="F130" s="45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>
        <v>1036.55</v>
      </c>
      <c r="AC130" s="46"/>
      <c r="AD130" s="47"/>
      <c r="AE130" s="47"/>
    </row>
    <row r="131" spans="1:31" ht="22.5" customHeight="1">
      <c r="A131" s="42">
        <v>44013</v>
      </c>
      <c r="B131" s="43"/>
      <c r="C131" s="44"/>
      <c r="D131" s="44" t="s">
        <v>63</v>
      </c>
      <c r="E131" s="45"/>
      <c r="F131" s="45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>
        <v>241.2</v>
      </c>
      <c r="Z131" s="46"/>
      <c r="AA131" s="46"/>
      <c r="AB131" s="46"/>
      <c r="AC131" s="46"/>
      <c r="AD131" s="47"/>
      <c r="AE131" s="47"/>
    </row>
    <row r="132" spans="1:31" ht="22.5" customHeight="1">
      <c r="A132" s="42">
        <v>44013</v>
      </c>
      <c r="B132" s="43"/>
      <c r="C132" s="44"/>
      <c r="D132" s="44" t="s">
        <v>64</v>
      </c>
      <c r="E132" s="45"/>
      <c r="F132" s="45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>
        <v>700</v>
      </c>
      <c r="AA132" s="46"/>
      <c r="AB132" s="46"/>
      <c r="AC132" s="46"/>
      <c r="AD132" s="47"/>
      <c r="AE132" s="47"/>
    </row>
    <row r="133" spans="1:31" ht="22.5" customHeight="1">
      <c r="A133" s="42">
        <v>44015</v>
      </c>
      <c r="B133" s="43"/>
      <c r="C133" s="44"/>
      <c r="D133" s="44" t="s">
        <v>65</v>
      </c>
      <c r="E133" s="45"/>
      <c r="F133" s="45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>
        <v>18</v>
      </c>
      <c r="Z133" s="46"/>
      <c r="AA133" s="46"/>
      <c r="AB133" s="46"/>
      <c r="AC133" s="46"/>
      <c r="AD133" s="47"/>
      <c r="AE133" s="47"/>
    </row>
    <row r="134" spans="1:31" ht="22.5" customHeight="1">
      <c r="A134" s="42">
        <v>44018</v>
      </c>
      <c r="B134" s="43"/>
      <c r="C134" s="44"/>
      <c r="D134" s="44" t="s">
        <v>92</v>
      </c>
      <c r="E134" s="45"/>
      <c r="F134" s="45"/>
      <c r="G134" s="46"/>
      <c r="H134" s="46"/>
      <c r="I134" s="46">
        <v>29.97</v>
      </c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7"/>
      <c r="AE134" s="47"/>
    </row>
    <row r="135" spans="1:31" ht="22.5" customHeight="1">
      <c r="A135" s="42">
        <v>44020</v>
      </c>
      <c r="B135" s="43"/>
      <c r="C135" s="44"/>
      <c r="D135" s="44" t="s">
        <v>120</v>
      </c>
      <c r="E135" s="45"/>
      <c r="F135" s="45"/>
      <c r="G135" s="46"/>
      <c r="H135" s="46"/>
      <c r="I135" s="46"/>
      <c r="J135" s="46"/>
      <c r="K135" s="46"/>
      <c r="L135" s="46"/>
      <c r="M135" s="46"/>
      <c r="N135" s="46"/>
      <c r="O135" s="46"/>
      <c r="P135" s="46">
        <v>10.6</v>
      </c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7"/>
      <c r="AE135" s="47"/>
    </row>
    <row r="136" spans="1:31" ht="22.5" customHeight="1">
      <c r="A136" s="42">
        <v>44021</v>
      </c>
      <c r="B136" s="43"/>
      <c r="C136" s="44"/>
      <c r="D136" s="48" t="s">
        <v>68</v>
      </c>
      <c r="E136" s="45"/>
      <c r="F136" s="45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>
        <v>9.16</v>
      </c>
      <c r="AB136" s="46"/>
      <c r="AC136" s="46"/>
      <c r="AD136" s="47"/>
      <c r="AE136" s="47"/>
    </row>
    <row r="137" spans="1:31" ht="22.5" customHeight="1">
      <c r="A137" s="42">
        <v>44022</v>
      </c>
      <c r="B137" s="57" t="s">
        <v>121</v>
      </c>
      <c r="C137" s="44"/>
      <c r="D137" s="50" t="s">
        <v>91</v>
      </c>
      <c r="E137" s="45">
        <v>6691.8</v>
      </c>
      <c r="F137" s="45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7"/>
      <c r="AE137" s="47"/>
    </row>
    <row r="138" spans="1:31" ht="22.5" customHeight="1">
      <c r="A138" s="42">
        <v>44027</v>
      </c>
      <c r="B138" s="43"/>
      <c r="C138" s="44"/>
      <c r="D138" s="50" t="s">
        <v>88</v>
      </c>
      <c r="E138" s="45">
        <v>7.98</v>
      </c>
      <c r="F138" s="45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7"/>
      <c r="AE138" s="47"/>
    </row>
    <row r="139" spans="1:31" ht="22.5" customHeight="1">
      <c r="A139" s="42">
        <v>44027</v>
      </c>
      <c r="B139" s="43"/>
      <c r="C139" s="44"/>
      <c r="D139" s="44" t="s">
        <v>74</v>
      </c>
      <c r="E139" s="45"/>
      <c r="F139" s="45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>
        <v>1608.68</v>
      </c>
      <c r="AA139" s="46"/>
      <c r="AB139" s="46"/>
      <c r="AC139" s="46"/>
      <c r="AD139" s="47"/>
      <c r="AE139" s="47"/>
    </row>
    <row r="140" spans="1:31" ht="22.5" customHeight="1">
      <c r="A140" s="42">
        <v>44029</v>
      </c>
      <c r="B140" s="43"/>
      <c r="C140" s="44"/>
      <c r="D140" s="44" t="s">
        <v>111</v>
      </c>
      <c r="E140" s="45"/>
      <c r="F140" s="45"/>
      <c r="G140" s="46"/>
      <c r="H140" s="46"/>
      <c r="I140" s="46"/>
      <c r="J140" s="46">
        <v>29.99</v>
      </c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7"/>
      <c r="AE140" s="47"/>
    </row>
    <row r="141" spans="1:31" ht="22.5" customHeight="1">
      <c r="A141" s="42">
        <v>44032</v>
      </c>
      <c r="B141" s="63"/>
      <c r="C141" s="63"/>
      <c r="D141" s="48" t="s">
        <v>78</v>
      </c>
      <c r="E141" s="64"/>
      <c r="F141" s="64"/>
      <c r="G141" s="65"/>
      <c r="H141" s="65"/>
      <c r="I141" s="65"/>
      <c r="J141" s="65">
        <v>19.760000000000002</v>
      </c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6"/>
      <c r="AE141" s="66"/>
    </row>
    <row r="142" spans="1:31" ht="22.5" customHeight="1">
      <c r="A142" s="42">
        <v>44041</v>
      </c>
      <c r="B142" s="63"/>
      <c r="C142" s="63"/>
      <c r="D142" s="67" t="s">
        <v>122</v>
      </c>
      <c r="E142" s="64"/>
      <c r="F142" s="64"/>
      <c r="G142" s="65"/>
      <c r="H142" s="65"/>
      <c r="I142" s="65"/>
      <c r="J142" s="65"/>
      <c r="K142" s="65"/>
      <c r="L142" s="65"/>
      <c r="M142" s="65">
        <f>(35.4+0.69)</f>
        <v>36.089999999999996</v>
      </c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6"/>
      <c r="AE142" s="66"/>
    </row>
    <row r="143" spans="1:31" ht="22.5" customHeight="1">
      <c r="A143" s="51">
        <v>44042</v>
      </c>
      <c r="B143" s="52"/>
      <c r="C143" s="53"/>
      <c r="D143" s="61" t="s">
        <v>86</v>
      </c>
      <c r="E143" s="54"/>
      <c r="F143" s="54">
        <v>1809.86</v>
      </c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6"/>
      <c r="AE143" s="56"/>
    </row>
    <row r="144" spans="1:31" ht="22.5" customHeight="1">
      <c r="A144" s="42">
        <v>44046</v>
      </c>
      <c r="B144" s="43"/>
      <c r="C144" s="44"/>
      <c r="D144" s="44" t="s">
        <v>62</v>
      </c>
      <c r="E144" s="45"/>
      <c r="F144" s="45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>
        <v>1036.55</v>
      </c>
      <c r="AC144" s="46"/>
      <c r="AD144" s="47"/>
      <c r="AE144" s="47"/>
    </row>
    <row r="145" spans="1:31" ht="22.5" customHeight="1">
      <c r="A145" s="42">
        <v>44046</v>
      </c>
      <c r="B145" s="43"/>
      <c r="C145" s="44"/>
      <c r="D145" s="44" t="s">
        <v>64</v>
      </c>
      <c r="E145" s="45"/>
      <c r="F145" s="45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>
        <v>700</v>
      </c>
      <c r="AA145" s="46"/>
      <c r="AB145" s="46"/>
      <c r="AC145" s="46"/>
      <c r="AD145" s="47"/>
      <c r="AE145" s="47"/>
    </row>
    <row r="146" spans="1:31" ht="22.5" customHeight="1">
      <c r="A146" s="42">
        <v>44046</v>
      </c>
      <c r="B146" s="43"/>
      <c r="C146" s="44"/>
      <c r="D146" s="44" t="s">
        <v>63</v>
      </c>
      <c r="E146" s="45"/>
      <c r="F146" s="45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>
        <v>241.2</v>
      </c>
      <c r="Z146" s="46"/>
      <c r="AA146" s="46"/>
      <c r="AB146" s="46"/>
      <c r="AC146" s="46"/>
      <c r="AD146" s="47"/>
      <c r="AE146" s="47"/>
    </row>
    <row r="147" spans="1:31" ht="22.5" customHeight="1">
      <c r="A147" s="42">
        <v>44046</v>
      </c>
      <c r="B147" s="43"/>
      <c r="C147" s="44"/>
      <c r="D147" s="44" t="s">
        <v>65</v>
      </c>
      <c r="E147" s="45"/>
      <c r="F147" s="45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>
        <v>18</v>
      </c>
      <c r="Z147" s="46"/>
      <c r="AA147" s="46"/>
      <c r="AB147" s="46"/>
      <c r="AC147" s="46"/>
      <c r="AD147" s="47"/>
      <c r="AE147" s="47"/>
    </row>
    <row r="148" spans="1:31" ht="22.5" customHeight="1">
      <c r="A148" s="42">
        <v>44046</v>
      </c>
      <c r="B148" s="43"/>
      <c r="C148" s="44"/>
      <c r="D148" s="44" t="s">
        <v>120</v>
      </c>
      <c r="E148" s="45"/>
      <c r="F148" s="45"/>
      <c r="G148" s="46"/>
      <c r="H148" s="46"/>
      <c r="I148" s="46"/>
      <c r="J148" s="46"/>
      <c r="K148" s="46"/>
      <c r="L148" s="46"/>
      <c r="M148" s="46"/>
      <c r="N148" s="46"/>
      <c r="O148" s="46"/>
      <c r="P148" s="46">
        <v>8.9</v>
      </c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7"/>
      <c r="AE148" s="47"/>
    </row>
    <row r="149" spans="1:31" ht="22.5" customHeight="1">
      <c r="A149" s="42">
        <v>44050</v>
      </c>
      <c r="B149" s="43"/>
      <c r="C149" s="44"/>
      <c r="D149" s="48" t="s">
        <v>68</v>
      </c>
      <c r="E149" s="45"/>
      <c r="F149" s="45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>
        <v>9.16</v>
      </c>
      <c r="AB149" s="46"/>
      <c r="AC149" s="46"/>
      <c r="AD149" s="47"/>
      <c r="AE149" s="47"/>
    </row>
    <row r="150" spans="1:31" ht="22.5" customHeight="1">
      <c r="A150" s="42">
        <v>44053</v>
      </c>
      <c r="B150" s="57" t="s">
        <v>123</v>
      </c>
      <c r="C150" s="44"/>
      <c r="D150" s="50" t="s">
        <v>91</v>
      </c>
      <c r="E150" s="45">
        <v>6640.8</v>
      </c>
      <c r="F150" s="45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7"/>
      <c r="AE150" s="47"/>
    </row>
    <row r="151" spans="1:31" ht="22.5" customHeight="1">
      <c r="A151" s="42">
        <v>44053</v>
      </c>
      <c r="B151" s="43"/>
      <c r="C151" s="44"/>
      <c r="D151" s="44" t="s">
        <v>124</v>
      </c>
      <c r="E151" s="45"/>
      <c r="F151" s="45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>
        <v>2041.55</v>
      </c>
      <c r="AC151" s="46"/>
      <c r="AD151" s="47"/>
      <c r="AE151" s="47"/>
    </row>
    <row r="152" spans="1:31" ht="22.5" customHeight="1">
      <c r="A152" s="42">
        <v>44056</v>
      </c>
      <c r="B152" s="43"/>
      <c r="C152" s="44"/>
      <c r="D152" s="50" t="s">
        <v>86</v>
      </c>
      <c r="E152" s="45"/>
      <c r="F152" s="45">
        <v>624.49</v>
      </c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7"/>
      <c r="AE152" s="47"/>
    </row>
    <row r="153" spans="1:31" ht="22.5" customHeight="1">
      <c r="A153" s="42">
        <v>44060</v>
      </c>
      <c r="B153" s="43"/>
      <c r="C153" s="44"/>
      <c r="D153" s="44" t="s">
        <v>74</v>
      </c>
      <c r="E153" s="45"/>
      <c r="F153" s="45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>
        <v>1608.68</v>
      </c>
      <c r="AA153" s="46"/>
      <c r="AB153" s="46"/>
      <c r="AC153" s="46"/>
      <c r="AD153" s="47"/>
      <c r="AE153" s="47"/>
    </row>
    <row r="154" spans="1:31" ht="22.5" customHeight="1">
      <c r="A154" s="42">
        <v>44061</v>
      </c>
      <c r="B154" s="43"/>
      <c r="C154" s="44"/>
      <c r="D154" s="44" t="s">
        <v>111</v>
      </c>
      <c r="E154" s="45"/>
      <c r="F154" s="45"/>
      <c r="G154" s="46"/>
      <c r="H154" s="46"/>
      <c r="I154" s="46"/>
      <c r="J154" s="46">
        <v>29.23</v>
      </c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7"/>
      <c r="AE154" s="47"/>
    </row>
    <row r="155" spans="1:31" ht="22.5" customHeight="1">
      <c r="A155" s="42">
        <v>44063</v>
      </c>
      <c r="B155" s="63"/>
      <c r="C155" s="63"/>
      <c r="D155" s="48" t="s">
        <v>77</v>
      </c>
      <c r="E155" s="64"/>
      <c r="F155" s="64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46">
        <v>80</v>
      </c>
      <c r="Z155" s="65"/>
      <c r="AA155" s="65"/>
      <c r="AB155" s="65"/>
      <c r="AC155" s="65"/>
      <c r="AD155" s="66"/>
      <c r="AE155" s="66"/>
    </row>
    <row r="156" spans="1:31" ht="22.5" customHeight="1">
      <c r="A156" s="42">
        <v>44064</v>
      </c>
      <c r="B156" s="63"/>
      <c r="C156" s="63"/>
      <c r="D156" s="48" t="s">
        <v>78</v>
      </c>
      <c r="E156" s="64"/>
      <c r="F156" s="64"/>
      <c r="G156" s="65"/>
      <c r="H156" s="65"/>
      <c r="I156" s="65"/>
      <c r="J156" s="65">
        <v>19.760000000000002</v>
      </c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6"/>
      <c r="AE156" s="66"/>
    </row>
    <row r="157" spans="1:31" ht="22.5" customHeight="1">
      <c r="A157" s="42">
        <v>44068</v>
      </c>
      <c r="B157" s="43"/>
      <c r="C157" s="44"/>
      <c r="D157" s="48" t="s">
        <v>88</v>
      </c>
      <c r="E157" s="45"/>
      <c r="F157" s="45"/>
      <c r="G157" s="46">
        <v>943</v>
      </c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7"/>
      <c r="AE157" s="47"/>
    </row>
    <row r="158" spans="1:31" ht="22.5" customHeight="1">
      <c r="A158" s="42">
        <v>44071</v>
      </c>
      <c r="B158" s="43"/>
      <c r="C158" s="44"/>
      <c r="D158" s="50" t="s">
        <v>88</v>
      </c>
      <c r="E158" s="45">
        <v>7.98</v>
      </c>
      <c r="F158" s="45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7"/>
      <c r="AE158" s="47"/>
    </row>
    <row r="159" spans="1:31" ht="22.5" customHeight="1">
      <c r="A159" s="42">
        <v>44071</v>
      </c>
      <c r="B159" s="43"/>
      <c r="C159" s="44"/>
      <c r="D159" s="50" t="s">
        <v>86</v>
      </c>
      <c r="E159" s="45"/>
      <c r="F159" s="45">
        <v>1183.3699999999999</v>
      </c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7"/>
      <c r="AE159" s="47"/>
    </row>
    <row r="160" spans="1:31" ht="22.5" customHeight="1">
      <c r="A160" s="51">
        <v>44074</v>
      </c>
      <c r="B160" s="52"/>
      <c r="C160" s="53"/>
      <c r="D160" s="53" t="s">
        <v>122</v>
      </c>
      <c r="E160" s="54"/>
      <c r="F160" s="54"/>
      <c r="G160" s="55"/>
      <c r="H160" s="55"/>
      <c r="I160" s="55"/>
      <c r="J160" s="55"/>
      <c r="K160" s="55"/>
      <c r="L160" s="55"/>
      <c r="M160" s="55">
        <f>(81.01+1.58)</f>
        <v>82.59</v>
      </c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6"/>
      <c r="AE160" s="56"/>
    </row>
    <row r="161" spans="1:31" ht="22.5" customHeight="1">
      <c r="A161" s="42">
        <v>44075</v>
      </c>
      <c r="B161" s="43"/>
      <c r="C161" s="44"/>
      <c r="D161" s="44" t="s">
        <v>62</v>
      </c>
      <c r="E161" s="45"/>
      <c r="F161" s="45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>
        <v>1036.55</v>
      </c>
      <c r="AC161" s="46"/>
      <c r="AD161" s="47"/>
      <c r="AE161" s="47"/>
    </row>
    <row r="162" spans="1:31" ht="22.5" customHeight="1">
      <c r="A162" s="42">
        <v>44075</v>
      </c>
      <c r="B162" s="43"/>
      <c r="C162" s="44"/>
      <c r="D162" s="44" t="s">
        <v>63</v>
      </c>
      <c r="E162" s="45"/>
      <c r="F162" s="45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>
        <v>241.2</v>
      </c>
      <c r="Z162" s="46"/>
      <c r="AA162" s="46"/>
      <c r="AB162" s="46"/>
      <c r="AC162" s="46"/>
      <c r="AD162" s="47"/>
      <c r="AE162" s="47"/>
    </row>
    <row r="163" spans="1:31" ht="22.5" customHeight="1">
      <c r="A163" s="42">
        <v>44075</v>
      </c>
      <c r="B163" s="43"/>
      <c r="C163" s="44"/>
      <c r="D163" s="44" t="s">
        <v>64</v>
      </c>
      <c r="E163" s="45"/>
      <c r="F163" s="45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>
        <v>700</v>
      </c>
      <c r="AA163" s="46"/>
      <c r="AB163" s="46"/>
      <c r="AC163" s="46"/>
      <c r="AD163" s="47"/>
      <c r="AE163" s="47"/>
    </row>
    <row r="164" spans="1:31" ht="22.5" customHeight="1">
      <c r="A164" s="42">
        <v>44077</v>
      </c>
      <c r="B164" s="43"/>
      <c r="C164" s="44"/>
      <c r="D164" s="50" t="s">
        <v>88</v>
      </c>
      <c r="E164" s="45">
        <v>261</v>
      </c>
      <c r="F164" s="45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7"/>
      <c r="AE164" s="47"/>
    </row>
    <row r="165" spans="1:31" ht="22.5" customHeight="1">
      <c r="A165" s="42">
        <v>44077</v>
      </c>
      <c r="B165" s="43"/>
      <c r="C165" s="44"/>
      <c r="D165" s="44" t="s">
        <v>65</v>
      </c>
      <c r="E165" s="45"/>
      <c r="F165" s="45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>
        <v>18</v>
      </c>
      <c r="Z165" s="46"/>
      <c r="AA165" s="46"/>
      <c r="AB165" s="46"/>
      <c r="AC165" s="46"/>
      <c r="AD165" s="47"/>
      <c r="AE165" s="47"/>
    </row>
    <row r="166" spans="1:31" ht="22.5" customHeight="1">
      <c r="A166" s="42">
        <v>44081</v>
      </c>
      <c r="B166" s="43"/>
      <c r="C166" s="44"/>
      <c r="D166" s="48" t="s">
        <v>125</v>
      </c>
      <c r="E166" s="45"/>
      <c r="F166" s="45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>
        <v>193.02</v>
      </c>
      <c r="V166" s="46"/>
      <c r="W166" s="46"/>
      <c r="X166" s="46"/>
      <c r="Y166" s="46"/>
      <c r="Z166" s="46"/>
      <c r="AA166" s="46"/>
      <c r="AB166" s="46"/>
      <c r="AC166" s="46"/>
      <c r="AD166" s="47"/>
      <c r="AE166" s="47"/>
    </row>
    <row r="167" spans="1:31" ht="22.5" customHeight="1">
      <c r="A167" s="42">
        <v>44081</v>
      </c>
      <c r="B167" s="43"/>
      <c r="C167" s="44"/>
      <c r="D167" s="48" t="s">
        <v>88</v>
      </c>
      <c r="E167" s="45"/>
      <c r="F167" s="45"/>
      <c r="G167" s="46">
        <v>682</v>
      </c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7"/>
      <c r="AE167" s="47"/>
    </row>
    <row r="168" spans="1:31" ht="22.5" customHeight="1">
      <c r="A168" s="42">
        <v>44083</v>
      </c>
      <c r="B168" s="43"/>
      <c r="C168" s="44"/>
      <c r="D168" s="48" t="s">
        <v>68</v>
      </c>
      <c r="E168" s="45"/>
      <c r="F168" s="45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>
        <v>9.16</v>
      </c>
      <c r="AB168" s="46"/>
      <c r="AC168" s="46"/>
      <c r="AD168" s="47"/>
      <c r="AE168" s="47"/>
    </row>
    <row r="169" spans="1:31" ht="22.5" customHeight="1">
      <c r="A169" s="42">
        <v>44083</v>
      </c>
      <c r="B169" s="43"/>
      <c r="C169" s="44"/>
      <c r="D169" s="48" t="s">
        <v>68</v>
      </c>
      <c r="E169" s="45"/>
      <c r="F169" s="45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>
        <v>9.16</v>
      </c>
      <c r="AB169" s="46"/>
      <c r="AC169" s="46"/>
      <c r="AD169" s="47"/>
      <c r="AE169" s="47"/>
    </row>
    <row r="170" spans="1:31" ht="22.5" customHeight="1">
      <c r="A170" s="42">
        <v>44085</v>
      </c>
      <c r="B170" s="68">
        <v>20200901</v>
      </c>
      <c r="C170" s="44"/>
      <c r="D170" s="50" t="s">
        <v>91</v>
      </c>
      <c r="E170" s="45">
        <v>3291.9</v>
      </c>
      <c r="F170" s="45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7"/>
      <c r="AE170" s="47"/>
    </row>
    <row r="171" spans="1:31" ht="22.5" customHeight="1">
      <c r="A171" s="42">
        <v>44089</v>
      </c>
      <c r="B171" s="43"/>
      <c r="C171" s="44"/>
      <c r="D171" s="44" t="s">
        <v>74</v>
      </c>
      <c r="E171" s="45"/>
      <c r="F171" s="45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>
        <v>1608.68</v>
      </c>
      <c r="AA171" s="46"/>
      <c r="AB171" s="46"/>
      <c r="AC171" s="46"/>
      <c r="AD171" s="47"/>
      <c r="AE171" s="47"/>
    </row>
    <row r="172" spans="1:31" ht="22.5" customHeight="1">
      <c r="A172" s="42">
        <v>44089</v>
      </c>
      <c r="B172" s="43"/>
      <c r="C172" s="44"/>
      <c r="D172" s="48" t="s">
        <v>88</v>
      </c>
      <c r="E172" s="45">
        <v>7.37</v>
      </c>
      <c r="F172" s="45"/>
      <c r="G172" s="46">
        <v>682</v>
      </c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7"/>
      <c r="AE172" s="47"/>
    </row>
    <row r="173" spans="1:31" ht="22.5" customHeight="1">
      <c r="A173" s="42">
        <v>44089</v>
      </c>
      <c r="B173" s="43"/>
      <c r="C173" s="44"/>
      <c r="D173" s="48" t="s">
        <v>88</v>
      </c>
      <c r="E173" s="45">
        <v>682</v>
      </c>
      <c r="F173" s="45"/>
      <c r="G173" s="46">
        <v>682</v>
      </c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7"/>
      <c r="AE173" s="47"/>
    </row>
    <row r="174" spans="1:31" ht="22.5" customHeight="1">
      <c r="A174" s="42">
        <v>44092</v>
      </c>
      <c r="B174" s="43"/>
      <c r="C174" s="44"/>
      <c r="D174" s="44" t="s">
        <v>111</v>
      </c>
      <c r="E174" s="45"/>
      <c r="F174" s="45"/>
      <c r="G174" s="46"/>
      <c r="H174" s="46"/>
      <c r="I174" s="46"/>
      <c r="J174" s="46">
        <v>29.23</v>
      </c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7"/>
      <c r="AE174" s="47"/>
    </row>
    <row r="175" spans="1:31" ht="22.5" customHeight="1">
      <c r="A175" s="42">
        <v>44094</v>
      </c>
      <c r="B175" s="63"/>
      <c r="C175" s="63"/>
      <c r="D175" s="48" t="s">
        <v>77</v>
      </c>
      <c r="E175" s="64"/>
      <c r="F175" s="64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46">
        <v>80</v>
      </c>
      <c r="Z175" s="65"/>
      <c r="AA175" s="65"/>
      <c r="AB175" s="65"/>
      <c r="AC175" s="65"/>
      <c r="AD175" s="66"/>
      <c r="AE175" s="66"/>
    </row>
    <row r="176" spans="1:31" ht="22.5" customHeight="1">
      <c r="A176" s="42">
        <v>44095</v>
      </c>
      <c r="B176" s="63"/>
      <c r="C176" s="63"/>
      <c r="D176" s="48" t="s">
        <v>78</v>
      </c>
      <c r="E176" s="64"/>
      <c r="F176" s="64"/>
      <c r="G176" s="65"/>
      <c r="H176" s="65"/>
      <c r="I176" s="65"/>
      <c r="J176" s="65">
        <v>19.829999999999998</v>
      </c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6"/>
      <c r="AE176" s="66"/>
    </row>
    <row r="177" spans="1:31" ht="22.5" customHeight="1">
      <c r="A177" s="42">
        <v>44096</v>
      </c>
      <c r="B177" s="43"/>
      <c r="C177" s="44"/>
      <c r="D177" s="48" t="s">
        <v>125</v>
      </c>
      <c r="E177" s="45"/>
      <c r="F177" s="45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>
        <v>203.02</v>
      </c>
      <c r="V177" s="46"/>
      <c r="W177" s="46"/>
      <c r="X177" s="46"/>
      <c r="Y177" s="46"/>
      <c r="Z177" s="46"/>
      <c r="AA177" s="46"/>
      <c r="AB177" s="46"/>
      <c r="AC177" s="46"/>
      <c r="AD177" s="47"/>
      <c r="AE177" s="47"/>
    </row>
    <row r="178" spans="1:31" ht="22.5" customHeight="1">
      <c r="A178" s="42">
        <v>44103</v>
      </c>
      <c r="B178" s="43"/>
      <c r="C178" s="44"/>
      <c r="D178" s="50" t="s">
        <v>86</v>
      </c>
      <c r="E178" s="45"/>
      <c r="F178" s="45">
        <v>1461.81</v>
      </c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7"/>
      <c r="AE178" s="47"/>
    </row>
    <row r="179" spans="1:31" ht="22.5" customHeight="1">
      <c r="A179" s="69">
        <v>44104</v>
      </c>
      <c r="B179" s="70"/>
      <c r="C179" s="71"/>
      <c r="D179" s="71" t="s">
        <v>126</v>
      </c>
      <c r="E179" s="72"/>
      <c r="F179" s="72"/>
      <c r="G179" s="73"/>
      <c r="H179" s="73"/>
      <c r="I179" s="73"/>
      <c r="J179" s="73"/>
      <c r="K179" s="73"/>
      <c r="L179" s="73"/>
      <c r="M179" s="73">
        <v>94</v>
      </c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4"/>
      <c r="AE179" s="74"/>
    </row>
    <row r="180" spans="1:31" ht="22.5" customHeight="1">
      <c r="A180" s="42">
        <v>44105</v>
      </c>
      <c r="B180" s="43"/>
      <c r="C180" s="44"/>
      <c r="D180" s="44" t="s">
        <v>62</v>
      </c>
      <c r="E180" s="45"/>
      <c r="F180" s="45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>
        <v>1036.55</v>
      </c>
      <c r="AC180" s="46"/>
      <c r="AD180" s="47"/>
      <c r="AE180" s="47"/>
    </row>
    <row r="181" spans="1:31" ht="22.5" customHeight="1">
      <c r="A181" s="42">
        <v>44105</v>
      </c>
      <c r="B181" s="43"/>
      <c r="C181" s="44"/>
      <c r="D181" s="44" t="s">
        <v>63</v>
      </c>
      <c r="E181" s="45"/>
      <c r="F181" s="45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>
        <v>241.2</v>
      </c>
      <c r="Z181" s="46"/>
      <c r="AA181" s="46"/>
      <c r="AB181" s="46"/>
      <c r="AC181" s="46"/>
      <c r="AD181" s="47"/>
      <c r="AE181" s="47"/>
    </row>
    <row r="182" spans="1:31" ht="22.5" customHeight="1">
      <c r="A182" s="42">
        <v>44105</v>
      </c>
      <c r="B182" s="43"/>
      <c r="C182" s="44"/>
      <c r="D182" s="44" t="s">
        <v>64</v>
      </c>
      <c r="E182" s="45"/>
      <c r="F182" s="45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>
        <v>700</v>
      </c>
      <c r="AA182" s="46"/>
      <c r="AB182" s="46"/>
      <c r="AC182" s="46"/>
      <c r="AD182" s="47"/>
      <c r="AE182" s="47"/>
    </row>
    <row r="183" spans="1:31" ht="22.5" customHeight="1">
      <c r="A183" s="42">
        <v>44109</v>
      </c>
      <c r="B183" s="43"/>
      <c r="C183" s="44"/>
      <c r="D183" s="44" t="s">
        <v>65</v>
      </c>
      <c r="E183" s="45"/>
      <c r="F183" s="45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>
        <v>18</v>
      </c>
      <c r="Z183" s="46"/>
      <c r="AA183" s="46"/>
      <c r="AB183" s="46"/>
      <c r="AC183" s="46"/>
      <c r="AD183" s="47"/>
      <c r="AE183" s="47"/>
    </row>
    <row r="184" spans="1:31" ht="22.5" customHeight="1">
      <c r="A184" s="42">
        <v>44109</v>
      </c>
      <c r="B184" s="43"/>
      <c r="C184" s="44"/>
      <c r="D184" s="44" t="s">
        <v>127</v>
      </c>
      <c r="E184" s="45"/>
      <c r="F184" s="45"/>
      <c r="G184" s="46"/>
      <c r="H184" s="46"/>
      <c r="I184" s="46"/>
      <c r="J184" s="46"/>
      <c r="K184" s="46"/>
      <c r="L184" s="46"/>
      <c r="M184" s="46"/>
      <c r="N184" s="46"/>
      <c r="O184" s="46"/>
      <c r="P184" s="46">
        <v>8.9</v>
      </c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7"/>
      <c r="AE184" s="47"/>
    </row>
    <row r="185" spans="1:31" ht="22.5" customHeight="1">
      <c r="A185" s="42">
        <v>44113</v>
      </c>
      <c r="B185" s="43"/>
      <c r="C185" s="44"/>
      <c r="D185" s="48" t="s">
        <v>68</v>
      </c>
      <c r="E185" s="45"/>
      <c r="F185" s="45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>
        <v>9.16</v>
      </c>
      <c r="AB185" s="46"/>
      <c r="AC185" s="46"/>
      <c r="AD185" s="47"/>
      <c r="AE185" s="47"/>
    </row>
    <row r="186" spans="1:31" ht="22.5" customHeight="1">
      <c r="A186" s="42">
        <v>44119</v>
      </c>
      <c r="B186" s="43"/>
      <c r="C186" s="44"/>
      <c r="D186" s="50" t="s">
        <v>88</v>
      </c>
      <c r="E186" s="45">
        <v>7.18</v>
      </c>
      <c r="F186" s="45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7"/>
      <c r="AE186" s="47"/>
    </row>
    <row r="187" spans="1:31" ht="22.5" customHeight="1">
      <c r="A187" s="42">
        <v>44119</v>
      </c>
      <c r="B187" s="43"/>
      <c r="C187" s="44"/>
      <c r="D187" s="44" t="s">
        <v>73</v>
      </c>
      <c r="E187" s="45"/>
      <c r="F187" s="45"/>
      <c r="G187" s="46"/>
      <c r="H187" s="46">
        <v>703.16</v>
      </c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7"/>
      <c r="AE187" s="47"/>
    </row>
    <row r="188" spans="1:31" ht="22.5" customHeight="1">
      <c r="A188" s="42">
        <v>44119</v>
      </c>
      <c r="B188" s="43"/>
      <c r="C188" s="44"/>
      <c r="D188" s="44" t="s">
        <v>74</v>
      </c>
      <c r="E188" s="45"/>
      <c r="F188" s="45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>
        <v>1608.68</v>
      </c>
      <c r="AA188" s="46"/>
      <c r="AB188" s="46"/>
      <c r="AC188" s="46"/>
      <c r="AD188" s="47"/>
      <c r="AE188" s="47"/>
    </row>
    <row r="189" spans="1:31" ht="22.5" customHeight="1">
      <c r="A189" s="42">
        <v>44123</v>
      </c>
      <c r="B189" s="43"/>
      <c r="C189" s="44"/>
      <c r="D189" s="44" t="s">
        <v>111</v>
      </c>
      <c r="E189" s="45"/>
      <c r="F189" s="45"/>
      <c r="G189" s="46"/>
      <c r="H189" s="46"/>
      <c r="I189" s="46"/>
      <c r="J189" s="46">
        <v>29.23</v>
      </c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7"/>
      <c r="AE189" s="47"/>
    </row>
    <row r="190" spans="1:31" ht="22.5" customHeight="1">
      <c r="A190" s="42">
        <v>44124</v>
      </c>
      <c r="B190" s="63"/>
      <c r="C190" s="63"/>
      <c r="D190" s="48" t="s">
        <v>77</v>
      </c>
      <c r="E190" s="64"/>
      <c r="F190" s="64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46">
        <v>80</v>
      </c>
      <c r="Z190" s="65"/>
      <c r="AA190" s="65"/>
      <c r="AB190" s="65"/>
      <c r="AC190" s="65"/>
      <c r="AD190" s="66"/>
      <c r="AE190" s="66"/>
    </row>
    <row r="191" spans="1:31" ht="22.5" customHeight="1">
      <c r="A191" s="42">
        <v>44125</v>
      </c>
      <c r="B191" s="63"/>
      <c r="C191" s="63"/>
      <c r="D191" s="48" t="s">
        <v>78</v>
      </c>
      <c r="E191" s="64"/>
      <c r="F191" s="64"/>
      <c r="G191" s="65"/>
      <c r="H191" s="65"/>
      <c r="I191" s="65"/>
      <c r="J191" s="65">
        <v>20.89</v>
      </c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5"/>
      <c r="AC191" s="65"/>
      <c r="AD191" s="66"/>
      <c r="AE191" s="66"/>
    </row>
    <row r="192" spans="1:31" ht="22.5" customHeight="1">
      <c r="A192" s="42">
        <v>44126</v>
      </c>
      <c r="B192" s="43"/>
      <c r="C192" s="44"/>
      <c r="D192" s="48" t="s">
        <v>128</v>
      </c>
      <c r="E192" s="45"/>
      <c r="F192" s="45"/>
      <c r="G192" s="46"/>
      <c r="H192" s="46"/>
      <c r="I192" s="46"/>
      <c r="J192" s="46"/>
      <c r="K192" s="46"/>
      <c r="L192" s="46"/>
      <c r="M192" s="46"/>
      <c r="N192" s="46"/>
      <c r="O192" s="46">
        <v>8.9</v>
      </c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7"/>
      <c r="AE192" s="47"/>
    </row>
    <row r="193" spans="1:31" ht="22.5" customHeight="1">
      <c r="A193" s="42">
        <v>44129</v>
      </c>
      <c r="B193" s="43"/>
      <c r="C193" s="44"/>
      <c r="D193" s="44" t="s">
        <v>100</v>
      </c>
      <c r="E193" s="45"/>
      <c r="F193" s="45"/>
      <c r="G193" s="46"/>
      <c r="H193" s="46"/>
      <c r="I193" s="46"/>
      <c r="J193" s="46"/>
      <c r="K193" s="46"/>
      <c r="L193" s="46"/>
      <c r="M193" s="46">
        <v>35.26</v>
      </c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7"/>
      <c r="AE193" s="47"/>
    </row>
    <row r="194" spans="1:31" ht="22.5" customHeight="1">
      <c r="A194" s="51">
        <v>44133</v>
      </c>
      <c r="B194" s="52"/>
      <c r="C194" s="53"/>
      <c r="D194" s="61" t="s">
        <v>86</v>
      </c>
      <c r="E194" s="54"/>
      <c r="F194" s="54">
        <v>1601.03</v>
      </c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6"/>
      <c r="AE194" s="56"/>
    </row>
    <row r="195" spans="1:31" ht="22.5" customHeight="1">
      <c r="A195" s="42">
        <v>44136</v>
      </c>
      <c r="B195" s="43"/>
      <c r="C195" s="44"/>
      <c r="D195" s="44" t="s">
        <v>62</v>
      </c>
      <c r="E195" s="45"/>
      <c r="F195" s="45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>
        <v>1036.55</v>
      </c>
      <c r="AC195" s="46"/>
      <c r="AD195" s="47"/>
      <c r="AE195" s="47"/>
    </row>
    <row r="196" spans="1:31" ht="22.5" customHeight="1">
      <c r="A196" s="42">
        <v>44136</v>
      </c>
      <c r="B196" s="43"/>
      <c r="C196" s="44"/>
      <c r="D196" s="44" t="s">
        <v>63</v>
      </c>
      <c r="E196" s="45"/>
      <c r="F196" s="45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>
        <v>241.2</v>
      </c>
      <c r="Z196" s="46"/>
      <c r="AA196" s="46"/>
      <c r="AB196" s="46"/>
      <c r="AC196" s="46"/>
      <c r="AD196" s="47"/>
      <c r="AE196" s="47"/>
    </row>
    <row r="197" spans="1:31" ht="22.5" customHeight="1">
      <c r="A197" s="42">
        <v>44136</v>
      </c>
      <c r="B197" s="43"/>
      <c r="C197" s="44"/>
      <c r="D197" s="44" t="s">
        <v>64</v>
      </c>
      <c r="E197" s="45"/>
      <c r="F197" s="45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>
        <v>700</v>
      </c>
      <c r="AA197" s="46"/>
      <c r="AB197" s="46"/>
      <c r="AC197" s="46"/>
      <c r="AD197" s="47"/>
      <c r="AE197" s="47"/>
    </row>
    <row r="198" spans="1:31" ht="22.5" customHeight="1">
      <c r="A198" s="42">
        <v>44137</v>
      </c>
      <c r="B198" s="43"/>
      <c r="C198" s="44"/>
      <c r="D198" s="44" t="s">
        <v>127</v>
      </c>
      <c r="E198" s="45"/>
      <c r="F198" s="45"/>
      <c r="G198" s="46"/>
      <c r="H198" s="46"/>
      <c r="I198" s="46"/>
      <c r="J198" s="46"/>
      <c r="K198" s="46"/>
      <c r="L198" s="46"/>
      <c r="M198" s="46"/>
      <c r="N198" s="46"/>
      <c r="O198" s="46"/>
      <c r="P198" s="46">
        <v>8.9</v>
      </c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7"/>
      <c r="AE198" s="47"/>
    </row>
    <row r="199" spans="1:31" ht="22.5" customHeight="1">
      <c r="A199" s="42">
        <v>44137</v>
      </c>
      <c r="B199" s="43"/>
      <c r="C199" s="44"/>
      <c r="D199" s="44" t="s">
        <v>129</v>
      </c>
      <c r="E199" s="45"/>
      <c r="F199" s="45"/>
      <c r="G199" s="46"/>
      <c r="H199" s="46"/>
      <c r="I199" s="46">
        <v>60</v>
      </c>
      <c r="J199" s="46"/>
      <c r="K199" s="46"/>
      <c r="L199" s="46"/>
      <c r="M199" s="46"/>
      <c r="N199" s="46"/>
      <c r="O199" s="46"/>
      <c r="P199" s="46">
        <v>8.9</v>
      </c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7"/>
      <c r="AE199" s="47"/>
    </row>
    <row r="200" spans="1:31" ht="22.5" customHeight="1">
      <c r="A200" s="42">
        <v>44137</v>
      </c>
      <c r="B200" s="43"/>
      <c r="C200" s="44"/>
      <c r="D200" s="44" t="s">
        <v>65</v>
      </c>
      <c r="E200" s="45"/>
      <c r="F200" s="45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>
        <v>18</v>
      </c>
      <c r="Z200" s="46"/>
      <c r="AA200" s="46"/>
      <c r="AB200" s="46"/>
      <c r="AC200" s="46"/>
      <c r="AD200" s="47"/>
      <c r="AE200" s="47"/>
    </row>
    <row r="201" spans="1:31" ht="22.5" customHeight="1">
      <c r="A201" s="42">
        <v>44141</v>
      </c>
      <c r="B201" s="43"/>
      <c r="C201" s="44"/>
      <c r="D201" s="50" t="s">
        <v>86</v>
      </c>
      <c r="E201" s="45"/>
      <c r="F201" s="45">
        <v>139.22</v>
      </c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7"/>
      <c r="AE201" s="47"/>
    </row>
    <row r="202" spans="1:31" ht="22.5" customHeight="1">
      <c r="A202" s="42">
        <v>44144</v>
      </c>
      <c r="B202" s="43"/>
      <c r="C202" s="44"/>
      <c r="D202" s="44" t="s">
        <v>130</v>
      </c>
      <c r="E202" s="45"/>
      <c r="F202" s="45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>
        <v>139.22</v>
      </c>
      <c r="U202" s="46"/>
      <c r="V202" s="46"/>
      <c r="W202" s="46"/>
      <c r="X202" s="46"/>
      <c r="Y202" s="46"/>
      <c r="Z202" s="46"/>
      <c r="AA202" s="46"/>
      <c r="AB202" s="46"/>
      <c r="AC202" s="46"/>
      <c r="AD202" s="47"/>
      <c r="AE202" s="47"/>
    </row>
    <row r="203" spans="1:31" ht="22.5" customHeight="1">
      <c r="A203" s="42">
        <v>44144</v>
      </c>
      <c r="B203" s="43"/>
      <c r="C203" s="44"/>
      <c r="D203" s="48" t="s">
        <v>68</v>
      </c>
      <c r="E203" s="45"/>
      <c r="F203" s="45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>
        <v>9.16</v>
      </c>
      <c r="AB203" s="46"/>
      <c r="AC203" s="46"/>
      <c r="AD203" s="47"/>
      <c r="AE203" s="47"/>
    </row>
    <row r="204" spans="1:31" ht="22.5" customHeight="1">
      <c r="A204" s="42">
        <v>44145</v>
      </c>
      <c r="B204" s="43"/>
      <c r="C204" s="44"/>
      <c r="D204" s="48" t="s">
        <v>131</v>
      </c>
      <c r="E204" s="45"/>
      <c r="F204" s="45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>
        <v>152.55000000000001</v>
      </c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7"/>
      <c r="AE204" s="47"/>
    </row>
    <row r="205" spans="1:31" ht="22.5" customHeight="1">
      <c r="A205" s="42">
        <v>44145</v>
      </c>
      <c r="B205" s="43"/>
      <c r="C205" s="44"/>
      <c r="D205" s="48" t="s">
        <v>68</v>
      </c>
      <c r="E205" s="45"/>
      <c r="F205" s="45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>
        <v>2.97</v>
      </c>
      <c r="AB205" s="46"/>
      <c r="AC205" s="46"/>
      <c r="AD205" s="47"/>
      <c r="AE205" s="47"/>
    </row>
    <row r="206" spans="1:31" ht="22.5" customHeight="1">
      <c r="A206" s="42">
        <v>44146</v>
      </c>
      <c r="B206" s="43"/>
      <c r="C206" s="44"/>
      <c r="D206" s="48" t="s">
        <v>132</v>
      </c>
      <c r="E206" s="45"/>
      <c r="F206" s="45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>
        <v>58.47</v>
      </c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7"/>
      <c r="AE206" s="47"/>
    </row>
    <row r="207" spans="1:31" ht="22.5" customHeight="1">
      <c r="A207" s="42">
        <v>44151</v>
      </c>
      <c r="B207" s="43"/>
      <c r="C207" s="44"/>
      <c r="D207" s="44" t="s">
        <v>74</v>
      </c>
      <c r="E207" s="45"/>
      <c r="F207" s="45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>
        <v>1608.68</v>
      </c>
      <c r="AA207" s="46"/>
      <c r="AB207" s="46"/>
      <c r="AC207" s="46"/>
      <c r="AD207" s="47"/>
      <c r="AE207" s="47"/>
    </row>
    <row r="208" spans="1:31" ht="22.5" customHeight="1">
      <c r="A208" s="42">
        <v>44152</v>
      </c>
      <c r="B208" s="43"/>
      <c r="C208" s="44"/>
      <c r="D208" s="44" t="s">
        <v>111</v>
      </c>
      <c r="E208" s="45"/>
      <c r="F208" s="45"/>
      <c r="G208" s="46"/>
      <c r="H208" s="46"/>
      <c r="I208" s="46"/>
      <c r="J208" s="46">
        <v>28.55</v>
      </c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7"/>
      <c r="AE208" s="47"/>
    </row>
    <row r="209" spans="1:31" ht="22.5" customHeight="1">
      <c r="A209" s="42">
        <v>44154</v>
      </c>
      <c r="B209" s="43"/>
      <c r="C209" s="44"/>
      <c r="D209" s="48" t="s">
        <v>133</v>
      </c>
      <c r="E209" s="45">
        <v>800</v>
      </c>
      <c r="F209" s="45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7"/>
      <c r="AE209" s="47"/>
    </row>
    <row r="210" spans="1:31" ht="15.75" customHeight="1">
      <c r="A210" s="42">
        <v>44155</v>
      </c>
      <c r="B210" s="63"/>
      <c r="C210" s="63"/>
      <c r="D210" s="48" t="s">
        <v>77</v>
      </c>
      <c r="E210" s="64"/>
      <c r="F210" s="64"/>
      <c r="G210" s="65"/>
      <c r="H210" s="65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46">
        <v>80</v>
      </c>
      <c r="Z210" s="65"/>
      <c r="AA210" s="65"/>
      <c r="AB210" s="65"/>
      <c r="AC210" s="65"/>
      <c r="AD210" s="66"/>
      <c r="AE210" s="66"/>
    </row>
    <row r="211" spans="1:31" ht="22.5" customHeight="1">
      <c r="A211" s="42">
        <v>44155</v>
      </c>
      <c r="B211" s="63"/>
      <c r="C211" s="63"/>
      <c r="D211" s="48" t="s">
        <v>78</v>
      </c>
      <c r="E211" s="64"/>
      <c r="F211" s="64"/>
      <c r="G211" s="65"/>
      <c r="H211" s="65"/>
      <c r="I211" s="65"/>
      <c r="J211" s="65">
        <v>30.02</v>
      </c>
      <c r="K211" s="65"/>
      <c r="L211" s="65"/>
      <c r="M211" s="65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5"/>
      <c r="AC211" s="65"/>
      <c r="AD211" s="66"/>
      <c r="AE211" s="66"/>
    </row>
    <row r="212" spans="1:31" ht="15.75" customHeight="1">
      <c r="A212" s="42">
        <v>44160</v>
      </c>
      <c r="B212" s="43"/>
      <c r="C212" s="44"/>
      <c r="D212" s="50" t="s">
        <v>88</v>
      </c>
      <c r="E212" s="45"/>
      <c r="F212" s="45"/>
      <c r="G212" s="46">
        <v>943</v>
      </c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7"/>
      <c r="AE212" s="47"/>
    </row>
    <row r="213" spans="1:31" ht="22.5" customHeight="1">
      <c r="A213" s="42">
        <v>44165</v>
      </c>
      <c r="B213" s="43"/>
      <c r="C213" s="44"/>
      <c r="D213" s="48" t="s">
        <v>68</v>
      </c>
      <c r="E213" s="45"/>
      <c r="F213" s="45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>
        <v>3.3</v>
      </c>
      <c r="AB213" s="46"/>
      <c r="AC213" s="46"/>
      <c r="AD213" s="47"/>
      <c r="AE213" s="47"/>
    </row>
    <row r="214" spans="1:31" ht="22.5" customHeight="1">
      <c r="A214" s="51">
        <v>44165</v>
      </c>
      <c r="B214" s="52"/>
      <c r="C214" s="53"/>
      <c r="D214" s="61" t="s">
        <v>88</v>
      </c>
      <c r="E214" s="54">
        <v>682</v>
      </c>
      <c r="F214" s="54"/>
      <c r="G214" s="55">
        <v>682</v>
      </c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6"/>
      <c r="AE214" s="56"/>
    </row>
    <row r="215" spans="1:31" ht="22.5" customHeight="1">
      <c r="A215" s="42">
        <v>44166</v>
      </c>
      <c r="B215" s="43"/>
      <c r="C215" s="44"/>
      <c r="D215" s="44" t="s">
        <v>62</v>
      </c>
      <c r="E215" s="45"/>
      <c r="F215" s="45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>
        <v>1036.55</v>
      </c>
      <c r="AC215" s="46"/>
      <c r="AD215" s="47"/>
      <c r="AE215" s="47"/>
    </row>
    <row r="216" spans="1:31" ht="15.75" customHeight="1">
      <c r="A216" s="42">
        <v>44166</v>
      </c>
      <c r="B216" s="43"/>
      <c r="C216" s="44"/>
      <c r="D216" s="48" t="s">
        <v>134</v>
      </c>
      <c r="E216" s="45"/>
      <c r="F216" s="45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>
        <v>101.96</v>
      </c>
      <c r="Z216" s="46"/>
      <c r="AA216" s="46"/>
      <c r="AB216" s="46"/>
      <c r="AC216" s="46"/>
      <c r="AD216" s="47"/>
      <c r="AE216" s="47"/>
    </row>
    <row r="217" spans="1:31" ht="22.5" customHeight="1">
      <c r="A217" s="42">
        <v>44166</v>
      </c>
      <c r="B217" s="43"/>
      <c r="C217" s="44"/>
      <c r="D217" s="44" t="s">
        <v>63</v>
      </c>
      <c r="E217" s="45"/>
      <c r="F217" s="45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>
        <v>241.2</v>
      </c>
      <c r="Z217" s="46"/>
      <c r="AA217" s="46"/>
      <c r="AB217" s="46"/>
      <c r="AC217" s="46"/>
      <c r="AD217" s="47"/>
      <c r="AE217" s="47"/>
    </row>
    <row r="218" spans="1:31" ht="22.5" customHeight="1">
      <c r="A218" s="42">
        <v>44168</v>
      </c>
      <c r="B218" s="43"/>
      <c r="C218" s="44"/>
      <c r="D218" s="44" t="s">
        <v>64</v>
      </c>
      <c r="E218" s="45"/>
      <c r="F218" s="45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>
        <v>700</v>
      </c>
      <c r="AA218" s="46"/>
      <c r="AB218" s="46"/>
      <c r="AC218" s="46"/>
      <c r="AD218" s="47"/>
      <c r="AE218" s="47"/>
    </row>
    <row r="219" spans="1:31" ht="22.5" customHeight="1">
      <c r="A219" s="42">
        <v>44168</v>
      </c>
      <c r="B219" s="43"/>
      <c r="C219" s="44"/>
      <c r="D219" s="44" t="s">
        <v>65</v>
      </c>
      <c r="E219" s="45"/>
      <c r="F219" s="45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>
        <v>18</v>
      </c>
      <c r="Z219" s="46"/>
      <c r="AA219" s="46"/>
      <c r="AB219" s="46"/>
      <c r="AC219" s="46"/>
      <c r="AD219" s="47"/>
      <c r="AE219" s="47"/>
    </row>
    <row r="220" spans="1:31" ht="15.75" customHeight="1">
      <c r="A220" s="42">
        <v>44168</v>
      </c>
      <c r="B220" s="43"/>
      <c r="C220" s="44"/>
      <c r="D220" s="48" t="s">
        <v>88</v>
      </c>
      <c r="E220" s="45"/>
      <c r="F220" s="45"/>
      <c r="G220" s="46">
        <v>230</v>
      </c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7"/>
      <c r="AE220" s="47"/>
    </row>
    <row r="221" spans="1:31" ht="15.75" customHeight="1">
      <c r="A221" s="42">
        <v>44172</v>
      </c>
      <c r="B221" s="63"/>
      <c r="C221" s="63"/>
      <c r="D221" s="48" t="s">
        <v>135</v>
      </c>
      <c r="E221" s="64"/>
      <c r="F221" s="64"/>
      <c r="G221" s="65"/>
      <c r="H221" s="65"/>
      <c r="I221" s="65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46">
        <v>-284.99</v>
      </c>
      <c r="Z221" s="65"/>
      <c r="AA221" s="65"/>
      <c r="AB221" s="65"/>
      <c r="AC221" s="65"/>
      <c r="AD221" s="66"/>
      <c r="AE221" s="66"/>
    </row>
    <row r="222" spans="1:31" ht="15.75" customHeight="1">
      <c r="A222" s="42">
        <v>44172</v>
      </c>
      <c r="B222" s="43"/>
      <c r="C222" s="44"/>
      <c r="D222" s="48" t="s">
        <v>136</v>
      </c>
      <c r="E222" s="45"/>
      <c r="F222" s="45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>
        <v>22.09</v>
      </c>
      <c r="Z222" s="46"/>
      <c r="AA222" s="46"/>
      <c r="AB222" s="46"/>
      <c r="AC222" s="46"/>
      <c r="AD222" s="47"/>
      <c r="AE222" s="47"/>
    </row>
    <row r="223" spans="1:31" ht="22.5" customHeight="1">
      <c r="A223" s="42">
        <v>44172</v>
      </c>
      <c r="B223" s="43"/>
      <c r="C223" s="44"/>
      <c r="D223" s="44" t="s">
        <v>63</v>
      </c>
      <c r="E223" s="45"/>
      <c r="F223" s="45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>
        <v>68.819999999999993</v>
      </c>
      <c r="Z223" s="46"/>
      <c r="AA223" s="46"/>
      <c r="AB223" s="46"/>
      <c r="AC223" s="46"/>
      <c r="AD223" s="47"/>
      <c r="AE223" s="47"/>
    </row>
    <row r="224" spans="1:31" ht="22.5" customHeight="1">
      <c r="A224" s="42">
        <v>44172</v>
      </c>
      <c r="B224" s="43"/>
      <c r="C224" s="44"/>
      <c r="D224" s="44" t="s">
        <v>63</v>
      </c>
      <c r="E224" s="45"/>
      <c r="F224" s="45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>
        <v>208.83</v>
      </c>
      <c r="Z224" s="46"/>
      <c r="AA224" s="46"/>
      <c r="AB224" s="46"/>
      <c r="AC224" s="46"/>
      <c r="AD224" s="47"/>
      <c r="AE224" s="47"/>
    </row>
    <row r="225" spans="1:31" ht="22.5" customHeight="1">
      <c r="A225" s="42">
        <v>44172</v>
      </c>
      <c r="B225" s="43"/>
      <c r="C225" s="44"/>
      <c r="D225" s="48" t="s">
        <v>125</v>
      </c>
      <c r="E225" s="45"/>
      <c r="F225" s="45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>
        <v>678.3</v>
      </c>
      <c r="V225" s="46"/>
      <c r="W225" s="46"/>
      <c r="X225" s="46"/>
      <c r="Y225" s="46"/>
      <c r="Z225" s="46"/>
      <c r="AA225" s="46"/>
      <c r="AB225" s="46"/>
      <c r="AC225" s="46"/>
      <c r="AD225" s="47"/>
      <c r="AE225" s="47"/>
    </row>
    <row r="226" spans="1:31" ht="15.75" customHeight="1">
      <c r="A226" s="42">
        <v>44173</v>
      </c>
      <c r="B226" s="48" t="s">
        <v>137</v>
      </c>
      <c r="C226" s="44"/>
      <c r="D226" s="48" t="s">
        <v>138</v>
      </c>
      <c r="E226" s="45">
        <v>431.22</v>
      </c>
      <c r="F226" s="45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7"/>
      <c r="AE226" s="47"/>
    </row>
    <row r="227" spans="1:31" ht="22.5" customHeight="1">
      <c r="A227" s="42">
        <v>44173</v>
      </c>
      <c r="B227" s="43"/>
      <c r="C227" s="44"/>
      <c r="D227" s="50" t="s">
        <v>86</v>
      </c>
      <c r="E227" s="45"/>
      <c r="F227" s="45">
        <v>1462.6</v>
      </c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7"/>
      <c r="AE227" s="47"/>
    </row>
    <row r="228" spans="1:31" ht="15.75" customHeight="1">
      <c r="A228" s="42">
        <v>44179</v>
      </c>
      <c r="B228" s="75" t="s">
        <v>139</v>
      </c>
      <c r="C228" s="44"/>
      <c r="D228" s="48" t="s">
        <v>91</v>
      </c>
      <c r="E228" s="45">
        <v>13500</v>
      </c>
      <c r="F228" s="45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7"/>
      <c r="AE228" s="47"/>
    </row>
    <row r="229" spans="1:31" ht="22.5" customHeight="1">
      <c r="A229" s="42">
        <v>44179</v>
      </c>
      <c r="B229" s="43"/>
      <c r="C229" s="44"/>
      <c r="D229" s="48" t="s">
        <v>125</v>
      </c>
      <c r="E229" s="45"/>
      <c r="F229" s="45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>
        <v>193.02</v>
      </c>
      <c r="V229" s="46"/>
      <c r="W229" s="46"/>
      <c r="X229" s="46"/>
      <c r="Y229" s="46"/>
      <c r="Z229" s="46"/>
      <c r="AA229" s="46"/>
      <c r="AB229" s="46"/>
      <c r="AC229" s="46"/>
      <c r="AD229" s="47"/>
      <c r="AE229" s="47"/>
    </row>
    <row r="230" spans="1:31" ht="22.5" customHeight="1">
      <c r="A230" s="42">
        <v>44180</v>
      </c>
      <c r="B230" s="43"/>
      <c r="C230" s="44"/>
      <c r="D230" s="44" t="s">
        <v>73</v>
      </c>
      <c r="E230" s="45"/>
      <c r="F230" s="45"/>
      <c r="G230" s="46"/>
      <c r="H230" s="46">
        <v>506.27</v>
      </c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7"/>
      <c r="AE230" s="47"/>
    </row>
    <row r="231" spans="1:31" ht="22.5" customHeight="1">
      <c r="A231" s="42">
        <v>44180</v>
      </c>
      <c r="B231" s="43"/>
      <c r="C231" s="44"/>
      <c r="D231" s="44" t="s">
        <v>74</v>
      </c>
      <c r="E231" s="45"/>
      <c r="F231" s="45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>
        <v>1608.68</v>
      </c>
      <c r="AA231" s="46"/>
      <c r="AB231" s="46"/>
      <c r="AC231" s="46"/>
      <c r="AD231" s="47"/>
      <c r="AE231" s="47"/>
    </row>
    <row r="232" spans="1:31" ht="15.75" customHeight="1">
      <c r="A232" s="42">
        <v>44182</v>
      </c>
      <c r="B232" s="43"/>
      <c r="C232" s="44"/>
      <c r="D232" s="50" t="s">
        <v>118</v>
      </c>
      <c r="E232" s="45"/>
      <c r="F232" s="45">
        <v>1243.02</v>
      </c>
      <c r="G232" s="46">
        <v>230</v>
      </c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7"/>
      <c r="AE232" s="47"/>
    </row>
    <row r="233" spans="1:31" ht="22.5" customHeight="1">
      <c r="A233" s="42">
        <v>44182</v>
      </c>
      <c r="B233" s="43"/>
      <c r="C233" s="44"/>
      <c r="D233" s="44" t="s">
        <v>111</v>
      </c>
      <c r="E233" s="45"/>
      <c r="F233" s="45"/>
      <c r="G233" s="46"/>
      <c r="H233" s="46"/>
      <c r="I233" s="46"/>
      <c r="J233" s="46">
        <v>29.23</v>
      </c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7"/>
      <c r="AE233" s="47"/>
    </row>
    <row r="234" spans="1:31" ht="22.5" customHeight="1">
      <c r="A234" s="42">
        <v>44182</v>
      </c>
      <c r="B234" s="63"/>
      <c r="C234" s="63"/>
      <c r="D234" s="48" t="s">
        <v>78</v>
      </c>
      <c r="E234" s="64"/>
      <c r="F234" s="64"/>
      <c r="G234" s="65"/>
      <c r="H234" s="65"/>
      <c r="I234" s="65"/>
      <c r="J234" s="65">
        <v>35.56</v>
      </c>
      <c r="K234" s="65"/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5"/>
      <c r="AC234" s="65"/>
      <c r="AD234" s="66"/>
      <c r="AE234" s="66"/>
    </row>
    <row r="235" spans="1:31" ht="15.75" customHeight="1">
      <c r="A235" s="42">
        <v>44186</v>
      </c>
      <c r="B235" s="63"/>
      <c r="C235" s="63"/>
      <c r="D235" s="48" t="s">
        <v>77</v>
      </c>
      <c r="E235" s="64"/>
      <c r="F235" s="64"/>
      <c r="G235" s="65"/>
      <c r="H235" s="65"/>
      <c r="I235" s="65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46">
        <v>80</v>
      </c>
      <c r="Z235" s="65"/>
      <c r="AA235" s="65"/>
      <c r="AB235" s="65"/>
      <c r="AC235" s="65"/>
      <c r="AD235" s="66"/>
      <c r="AE235" s="66"/>
    </row>
    <row r="236" spans="1:31" ht="22.5" customHeight="1">
      <c r="A236" s="42">
        <v>44186</v>
      </c>
      <c r="B236" s="43"/>
      <c r="C236" s="44"/>
      <c r="D236" s="48" t="s">
        <v>68</v>
      </c>
      <c r="E236" s="45"/>
      <c r="F236" s="45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>
        <v>9.16</v>
      </c>
      <c r="AB236" s="46"/>
      <c r="AC236" s="46"/>
      <c r="AD236" s="47"/>
      <c r="AE236" s="47"/>
    </row>
    <row r="237" spans="1:31" ht="15.75" customHeight="1">
      <c r="A237" s="76">
        <v>44186</v>
      </c>
      <c r="B237" s="43"/>
      <c r="C237" s="44"/>
      <c r="D237" s="48" t="s">
        <v>140</v>
      </c>
      <c r="E237" s="45"/>
      <c r="F237" s="45"/>
      <c r="G237" s="65"/>
      <c r="H237" s="65"/>
      <c r="I237" s="63"/>
      <c r="J237" s="65"/>
      <c r="K237" s="65"/>
      <c r="L237" s="65">
        <v>250</v>
      </c>
      <c r="M237" s="65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18"/>
      <c r="AE237" s="18"/>
    </row>
    <row r="238" spans="1:31" ht="22.5" customHeight="1">
      <c r="A238" s="42">
        <v>44194</v>
      </c>
      <c r="B238" s="43"/>
      <c r="C238" s="44"/>
      <c r="D238" s="50" t="s">
        <v>86</v>
      </c>
      <c r="E238" s="45"/>
      <c r="F238" s="45">
        <v>1809.86</v>
      </c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7"/>
      <c r="AE238" s="47"/>
    </row>
    <row r="239" spans="1:31" ht="15.75" customHeight="1">
      <c r="A239" s="77">
        <v>44196</v>
      </c>
      <c r="B239" s="52"/>
      <c r="C239" s="53"/>
      <c r="D239" s="78" t="s">
        <v>141</v>
      </c>
      <c r="E239" s="54"/>
      <c r="F239" s="54"/>
      <c r="G239" s="79"/>
      <c r="H239" s="79"/>
      <c r="I239" s="80"/>
      <c r="J239" s="79"/>
      <c r="K239" s="79"/>
      <c r="L239" s="79"/>
      <c r="M239" s="79"/>
      <c r="N239" s="80"/>
      <c r="O239" s="80"/>
      <c r="P239" s="80"/>
      <c r="Q239" s="80"/>
      <c r="R239" s="80"/>
      <c r="S239" s="80"/>
      <c r="T239" s="80"/>
      <c r="U239" s="80"/>
      <c r="V239" s="80"/>
      <c r="W239" s="80"/>
      <c r="X239" s="80"/>
      <c r="Y239" s="80"/>
      <c r="Z239" s="80"/>
      <c r="AA239" s="55">
        <v>20.7</v>
      </c>
      <c r="AB239" s="80"/>
      <c r="AC239" s="80"/>
      <c r="AD239" s="81"/>
      <c r="AE239" s="81"/>
    </row>
    <row r="240" spans="1:31" ht="15.75" customHeight="1">
      <c r="A240" s="76"/>
      <c r="B240" s="43"/>
      <c r="C240" s="44"/>
      <c r="D240" s="48"/>
      <c r="E240" s="45"/>
      <c r="F240" s="45"/>
      <c r="G240" s="65"/>
      <c r="H240" s="65"/>
      <c r="I240" s="63"/>
      <c r="J240" s="65"/>
      <c r="K240" s="65"/>
      <c r="L240" s="65"/>
      <c r="M240" s="65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18"/>
      <c r="AE240" s="18"/>
    </row>
    <row r="241" spans="1:31" ht="15.75" customHeight="1">
      <c r="A241" s="76"/>
      <c r="B241" s="43"/>
      <c r="C241" s="44"/>
      <c r="D241" s="48"/>
      <c r="E241" s="45"/>
      <c r="F241" s="45"/>
      <c r="G241" s="65"/>
      <c r="H241" s="65"/>
      <c r="I241" s="63"/>
      <c r="J241" s="65"/>
      <c r="K241" s="65"/>
      <c r="L241" s="65"/>
      <c r="M241" s="65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18"/>
      <c r="AE241" s="18"/>
    </row>
    <row r="242" spans="1:31" ht="15.75" customHeight="1">
      <c r="A242" s="76"/>
      <c r="B242" s="43"/>
      <c r="C242" s="44"/>
      <c r="D242" s="48"/>
      <c r="E242" s="45"/>
      <c r="F242" s="45"/>
      <c r="G242" s="65"/>
      <c r="H242" s="65"/>
      <c r="I242" s="63"/>
      <c r="J242" s="65"/>
      <c r="K242" s="65"/>
      <c r="L242" s="65"/>
      <c r="M242" s="65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18"/>
      <c r="AE242" s="18"/>
    </row>
    <row r="243" spans="1:31" ht="15.75" customHeight="1">
      <c r="A243" s="76"/>
      <c r="B243" s="43"/>
      <c r="C243" s="44"/>
      <c r="D243" s="48"/>
      <c r="E243" s="45"/>
      <c r="F243" s="45"/>
      <c r="G243" s="65"/>
      <c r="H243" s="65"/>
      <c r="I243" s="63"/>
      <c r="J243" s="65"/>
      <c r="K243" s="65"/>
      <c r="L243" s="65"/>
      <c r="M243" s="65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18"/>
      <c r="AE243" s="18"/>
    </row>
    <row r="244" spans="1:31" ht="15.75" customHeight="1">
      <c r="A244" s="76"/>
      <c r="B244" s="43"/>
      <c r="C244" s="44"/>
      <c r="D244" s="48"/>
      <c r="E244" s="45"/>
      <c r="F244" s="45"/>
      <c r="G244" s="65"/>
      <c r="H244" s="65"/>
      <c r="I244" s="63"/>
      <c r="J244" s="65"/>
      <c r="K244" s="65"/>
      <c r="L244" s="65"/>
      <c r="M244" s="65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18"/>
      <c r="AE244" s="18"/>
    </row>
    <row r="245" spans="1:31" ht="15.75" customHeight="1">
      <c r="A245" s="76"/>
      <c r="B245" s="43"/>
      <c r="C245" s="44"/>
      <c r="D245" s="48"/>
      <c r="E245" s="45"/>
      <c r="F245" s="45"/>
      <c r="G245" s="65"/>
      <c r="H245" s="65"/>
      <c r="I245" s="63"/>
      <c r="J245" s="65"/>
      <c r="K245" s="65"/>
      <c r="L245" s="65"/>
      <c r="M245" s="65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18"/>
      <c r="AE245" s="18"/>
    </row>
    <row r="246" spans="1:31" ht="15.75" customHeight="1">
      <c r="A246" s="76"/>
      <c r="B246" s="43"/>
      <c r="C246" s="44"/>
      <c r="D246" s="48"/>
      <c r="E246" s="45"/>
      <c r="F246" s="45"/>
      <c r="G246" s="65"/>
      <c r="H246" s="65"/>
      <c r="I246" s="63"/>
      <c r="J246" s="65"/>
      <c r="K246" s="65"/>
      <c r="L246" s="65"/>
      <c r="M246" s="65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18"/>
      <c r="AE246" s="18"/>
    </row>
    <row r="247" spans="1:31" ht="15.75" customHeight="1">
      <c r="A247" s="76"/>
      <c r="B247" s="43"/>
      <c r="C247" s="44"/>
      <c r="D247" s="48"/>
      <c r="E247" s="45"/>
      <c r="F247" s="45"/>
      <c r="G247" s="65"/>
      <c r="H247" s="65"/>
      <c r="I247" s="63"/>
      <c r="J247" s="65"/>
      <c r="K247" s="65"/>
      <c r="L247" s="65"/>
      <c r="M247" s="65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18"/>
      <c r="AE247" s="18"/>
    </row>
    <row r="248" spans="1:31" ht="15.75" customHeight="1">
      <c r="A248" s="76"/>
      <c r="B248" s="43"/>
      <c r="C248" s="44"/>
      <c r="D248" s="48"/>
      <c r="E248" s="45"/>
      <c r="F248" s="45"/>
      <c r="G248" s="65"/>
      <c r="H248" s="65"/>
      <c r="I248" s="63"/>
      <c r="J248" s="65"/>
      <c r="K248" s="65"/>
      <c r="L248" s="65"/>
      <c r="M248" s="65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18"/>
      <c r="AE248" s="18"/>
    </row>
    <row r="249" spans="1:31" ht="15.75" customHeight="1">
      <c r="A249" s="76"/>
      <c r="B249" s="43"/>
      <c r="C249" s="44"/>
      <c r="D249" s="48"/>
      <c r="E249" s="45"/>
      <c r="F249" s="45"/>
      <c r="G249" s="65"/>
      <c r="H249" s="65"/>
      <c r="I249" s="63"/>
      <c r="J249" s="65"/>
      <c r="K249" s="65"/>
      <c r="L249" s="65"/>
      <c r="M249" s="65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18"/>
      <c r="AE249" s="18"/>
    </row>
    <row r="250" spans="1:31" ht="15.75" customHeight="1">
      <c r="A250" s="76"/>
      <c r="B250" s="43"/>
      <c r="C250" s="44"/>
      <c r="D250" s="48"/>
      <c r="E250" s="45"/>
      <c r="F250" s="45"/>
      <c r="G250" s="65"/>
      <c r="H250" s="65"/>
      <c r="I250" s="63"/>
      <c r="J250" s="65"/>
      <c r="K250" s="65"/>
      <c r="L250" s="65"/>
      <c r="M250" s="65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18"/>
      <c r="AE250" s="18"/>
    </row>
    <row r="251" spans="1:31" ht="15.75" customHeight="1">
      <c r="A251" s="76"/>
      <c r="B251" s="43"/>
      <c r="C251" s="44"/>
      <c r="D251" s="48"/>
      <c r="E251" s="45"/>
      <c r="F251" s="45"/>
      <c r="G251" s="65"/>
      <c r="H251" s="65"/>
      <c r="I251" s="63"/>
      <c r="J251" s="65"/>
      <c r="K251" s="65"/>
      <c r="L251" s="65"/>
      <c r="M251" s="65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18"/>
      <c r="AE251" s="18"/>
    </row>
    <row r="252" spans="1:31" ht="15.75" customHeight="1">
      <c r="A252" s="76"/>
      <c r="B252" s="43"/>
      <c r="C252" s="44"/>
      <c r="D252" s="48"/>
      <c r="E252" s="45"/>
      <c r="F252" s="45"/>
      <c r="G252" s="65"/>
      <c r="H252" s="65"/>
      <c r="I252" s="63"/>
      <c r="J252" s="65"/>
      <c r="K252" s="65"/>
      <c r="L252" s="65"/>
      <c r="M252" s="65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18"/>
      <c r="AE252" s="18"/>
    </row>
    <row r="253" spans="1:31" ht="15.75" customHeight="1">
      <c r="A253" s="76"/>
      <c r="B253" s="43"/>
      <c r="C253" s="44"/>
      <c r="D253" s="48"/>
      <c r="E253" s="45"/>
      <c r="F253" s="45"/>
      <c r="G253" s="65"/>
      <c r="H253" s="65"/>
      <c r="I253" s="63"/>
      <c r="J253" s="65"/>
      <c r="K253" s="65"/>
      <c r="L253" s="65"/>
      <c r="M253" s="65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18"/>
      <c r="AE253" s="18"/>
    </row>
    <row r="254" spans="1:31" ht="15.75" customHeight="1">
      <c r="A254" s="76"/>
      <c r="B254" s="43"/>
      <c r="C254" s="44"/>
      <c r="D254" s="48"/>
      <c r="E254" s="45"/>
      <c r="F254" s="45"/>
      <c r="G254" s="65"/>
      <c r="H254" s="65"/>
      <c r="I254" s="63"/>
      <c r="J254" s="65"/>
      <c r="K254" s="65"/>
      <c r="L254" s="65"/>
      <c r="M254" s="65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18"/>
      <c r="AE254" s="18"/>
    </row>
    <row r="255" spans="1:31" ht="15.75" customHeight="1">
      <c r="A255" s="76"/>
      <c r="B255" s="43"/>
      <c r="C255" s="44"/>
      <c r="D255" s="48"/>
      <c r="E255" s="45"/>
      <c r="F255" s="45"/>
      <c r="G255" s="65"/>
      <c r="H255" s="65"/>
      <c r="I255" s="63"/>
      <c r="J255" s="65"/>
      <c r="K255" s="65"/>
      <c r="L255" s="65"/>
      <c r="M255" s="65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18"/>
      <c r="AE255" s="18"/>
    </row>
    <row r="256" spans="1:31" ht="15.75" customHeight="1">
      <c r="A256" s="76"/>
      <c r="B256" s="43"/>
      <c r="C256" s="44"/>
      <c r="D256" s="48"/>
      <c r="E256" s="45"/>
      <c r="F256" s="45"/>
      <c r="G256" s="65"/>
      <c r="H256" s="65"/>
      <c r="I256" s="63"/>
      <c r="J256" s="65"/>
      <c r="K256" s="65"/>
      <c r="L256" s="65"/>
      <c r="M256" s="65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18"/>
      <c r="AE256" s="18"/>
    </row>
    <row r="257" spans="1:31" ht="15.75" customHeight="1">
      <c r="A257" s="76"/>
      <c r="B257" s="43"/>
      <c r="C257" s="44"/>
      <c r="D257" s="48"/>
      <c r="E257" s="45"/>
      <c r="F257" s="45"/>
      <c r="G257" s="65"/>
      <c r="H257" s="65"/>
      <c r="I257" s="63"/>
      <c r="J257" s="65"/>
      <c r="K257" s="65"/>
      <c r="L257" s="65"/>
      <c r="M257" s="65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18"/>
      <c r="AE257" s="18"/>
    </row>
    <row r="258" spans="1:31" ht="15.75" customHeight="1">
      <c r="A258" s="76"/>
      <c r="B258" s="43"/>
      <c r="C258" s="44"/>
      <c r="D258" s="48"/>
      <c r="E258" s="45"/>
      <c r="F258" s="45"/>
      <c r="G258" s="65"/>
      <c r="H258" s="65"/>
      <c r="I258" s="63"/>
      <c r="J258" s="65"/>
      <c r="K258" s="65"/>
      <c r="L258" s="65"/>
      <c r="M258" s="65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18"/>
      <c r="AE258" s="18"/>
    </row>
    <row r="259" spans="1:31" ht="15.75" customHeight="1">
      <c r="A259" s="76"/>
      <c r="B259" s="43"/>
      <c r="C259" s="44"/>
      <c r="D259" s="48"/>
      <c r="E259" s="45"/>
      <c r="F259" s="45"/>
      <c r="G259" s="65"/>
      <c r="H259" s="65"/>
      <c r="I259" s="63"/>
      <c r="J259" s="65"/>
      <c r="K259" s="65"/>
      <c r="L259" s="65"/>
      <c r="M259" s="65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18"/>
      <c r="AE259" s="18"/>
    </row>
    <row r="260" spans="1:31" ht="15.75" customHeight="1">
      <c r="A260" s="76"/>
      <c r="B260" s="43"/>
      <c r="C260" s="44"/>
      <c r="D260" s="48"/>
      <c r="E260" s="45"/>
      <c r="F260" s="45"/>
      <c r="G260" s="65"/>
      <c r="H260" s="65"/>
      <c r="I260" s="63"/>
      <c r="J260" s="65"/>
      <c r="K260" s="65"/>
      <c r="L260" s="65"/>
      <c r="M260" s="65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18"/>
      <c r="AE260" s="18"/>
    </row>
    <row r="261" spans="1:31" ht="15.75" customHeight="1">
      <c r="A261" s="76"/>
      <c r="B261" s="43"/>
      <c r="C261" s="44"/>
      <c r="D261" s="48"/>
      <c r="E261" s="45"/>
      <c r="F261" s="45"/>
      <c r="G261" s="65"/>
      <c r="H261" s="65"/>
      <c r="I261" s="63"/>
      <c r="J261" s="65"/>
      <c r="K261" s="65"/>
      <c r="L261" s="65"/>
      <c r="M261" s="65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18"/>
      <c r="AE261" s="18"/>
    </row>
    <row r="262" spans="1:31" ht="15.75" customHeight="1">
      <c r="A262" s="76"/>
      <c r="B262" s="43"/>
      <c r="C262" s="44"/>
      <c r="D262" s="48"/>
      <c r="E262" s="45"/>
      <c r="F262" s="45"/>
      <c r="G262" s="65"/>
      <c r="H262" s="65"/>
      <c r="I262" s="63"/>
      <c r="J262" s="65"/>
      <c r="K262" s="65"/>
      <c r="L262" s="65"/>
      <c r="M262" s="65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18"/>
      <c r="AE262" s="18"/>
    </row>
    <row r="263" spans="1:31" ht="15.75" customHeight="1">
      <c r="A263" s="76"/>
      <c r="B263" s="43"/>
      <c r="C263" s="44"/>
      <c r="D263" s="48"/>
      <c r="E263" s="45"/>
      <c r="F263" s="45"/>
      <c r="G263" s="65"/>
      <c r="H263" s="65"/>
      <c r="I263" s="63"/>
      <c r="J263" s="65"/>
      <c r="K263" s="65"/>
      <c r="L263" s="65"/>
      <c r="M263" s="65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18"/>
      <c r="AE263" s="18"/>
    </row>
    <row r="264" spans="1:31" ht="15.75" customHeight="1">
      <c r="A264" s="76"/>
      <c r="B264" s="43"/>
      <c r="C264" s="44"/>
      <c r="D264" s="48"/>
      <c r="E264" s="45"/>
      <c r="F264" s="45"/>
      <c r="G264" s="65"/>
      <c r="H264" s="65"/>
      <c r="I264" s="63"/>
      <c r="J264" s="65"/>
      <c r="K264" s="65"/>
      <c r="L264" s="65"/>
      <c r="M264" s="65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18"/>
      <c r="AE264" s="18"/>
    </row>
    <row r="265" spans="1:31" ht="15.75" customHeight="1">
      <c r="A265" s="76"/>
      <c r="B265" s="43"/>
      <c r="C265" s="44"/>
      <c r="D265" s="48"/>
      <c r="E265" s="45"/>
      <c r="F265" s="45"/>
      <c r="G265" s="65"/>
      <c r="H265" s="65"/>
      <c r="I265" s="63"/>
      <c r="J265" s="65"/>
      <c r="K265" s="65"/>
      <c r="L265" s="65"/>
      <c r="M265" s="65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18"/>
      <c r="AE265" s="18"/>
    </row>
    <row r="266" spans="1:31" ht="15.75" customHeight="1">
      <c r="A266" s="76"/>
      <c r="B266" s="43"/>
      <c r="C266" s="44"/>
      <c r="D266" s="48"/>
      <c r="E266" s="45"/>
      <c r="F266" s="45"/>
      <c r="G266" s="65"/>
      <c r="H266" s="65"/>
      <c r="I266" s="63"/>
      <c r="J266" s="65"/>
      <c r="K266" s="65"/>
      <c r="L266" s="65"/>
      <c r="M266" s="65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18"/>
      <c r="AE266" s="18"/>
    </row>
    <row r="267" spans="1:31" ht="15.75" customHeight="1">
      <c r="A267" s="76"/>
      <c r="B267" s="43"/>
      <c r="C267" s="44"/>
      <c r="D267" s="48"/>
      <c r="E267" s="45"/>
      <c r="F267" s="45"/>
      <c r="G267" s="65"/>
      <c r="H267" s="65"/>
      <c r="I267" s="63"/>
      <c r="J267" s="65"/>
      <c r="K267" s="65"/>
      <c r="L267" s="65"/>
      <c r="M267" s="65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18"/>
      <c r="AE267" s="18"/>
    </row>
    <row r="268" spans="1:31" ht="15.75" customHeight="1">
      <c r="A268" s="76"/>
      <c r="B268" s="43"/>
      <c r="C268" s="44"/>
      <c r="D268" s="48"/>
      <c r="E268" s="45"/>
      <c r="F268" s="45"/>
      <c r="G268" s="65"/>
      <c r="H268" s="65"/>
      <c r="I268" s="63"/>
      <c r="J268" s="65"/>
      <c r="K268" s="65"/>
      <c r="L268" s="65"/>
      <c r="M268" s="65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18"/>
      <c r="AE268" s="18"/>
    </row>
    <row r="269" spans="1:31" ht="15.75" customHeight="1">
      <c r="A269" s="76"/>
      <c r="B269" s="43"/>
      <c r="C269" s="44"/>
      <c r="D269" s="48"/>
      <c r="E269" s="45"/>
      <c r="F269" s="45"/>
      <c r="G269" s="65"/>
      <c r="H269" s="65"/>
      <c r="I269" s="63"/>
      <c r="J269" s="65"/>
      <c r="K269" s="65"/>
      <c r="L269" s="65"/>
      <c r="M269" s="65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18"/>
      <c r="AE269" s="18"/>
    </row>
    <row r="270" spans="1:31" ht="15.75" customHeight="1">
      <c r="A270" s="76"/>
      <c r="B270" s="43"/>
      <c r="C270" s="44"/>
      <c r="D270" s="48"/>
      <c r="E270" s="45"/>
      <c r="F270" s="45"/>
      <c r="G270" s="65"/>
      <c r="H270" s="65"/>
      <c r="I270" s="63"/>
      <c r="J270" s="65"/>
      <c r="K270" s="65"/>
      <c r="L270" s="65"/>
      <c r="M270" s="65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18"/>
      <c r="AE270" s="18"/>
    </row>
    <row r="271" spans="1:31" ht="15.75" customHeight="1">
      <c r="A271" s="76"/>
      <c r="B271" s="43"/>
      <c r="C271" s="44"/>
      <c r="D271" s="48"/>
      <c r="E271" s="45"/>
      <c r="F271" s="45"/>
      <c r="G271" s="65"/>
      <c r="H271" s="65"/>
      <c r="I271" s="63"/>
      <c r="J271" s="65"/>
      <c r="K271" s="65"/>
      <c r="L271" s="65"/>
      <c r="M271" s="65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18"/>
      <c r="AE271" s="18"/>
    </row>
    <row r="272" spans="1:31" ht="15.75" customHeight="1">
      <c r="A272" s="76"/>
      <c r="B272" s="43"/>
      <c r="C272" s="44"/>
      <c r="D272" s="48"/>
      <c r="E272" s="45"/>
      <c r="F272" s="45"/>
      <c r="G272" s="65"/>
      <c r="H272" s="65"/>
      <c r="I272" s="63"/>
      <c r="J272" s="65"/>
      <c r="K272" s="65"/>
      <c r="L272" s="65"/>
      <c r="M272" s="65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18"/>
      <c r="AE272" s="18"/>
    </row>
    <row r="273" spans="1:31" ht="15.75" customHeight="1">
      <c r="A273" s="76"/>
      <c r="B273" s="43"/>
      <c r="C273" s="44"/>
      <c r="D273" s="48"/>
      <c r="E273" s="45"/>
      <c r="F273" s="45"/>
      <c r="G273" s="65"/>
      <c r="H273" s="65"/>
      <c r="I273" s="63"/>
      <c r="J273" s="65"/>
      <c r="K273" s="65"/>
      <c r="L273" s="65"/>
      <c r="M273" s="65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18"/>
      <c r="AE273" s="18"/>
    </row>
    <row r="274" spans="1:31" ht="15.75" customHeight="1">
      <c r="A274" s="76"/>
      <c r="B274" s="43"/>
      <c r="C274" s="44"/>
      <c r="D274" s="48"/>
      <c r="E274" s="45"/>
      <c r="F274" s="45"/>
      <c r="G274" s="65"/>
      <c r="H274" s="65"/>
      <c r="I274" s="63"/>
      <c r="J274" s="65"/>
      <c r="K274" s="65"/>
      <c r="L274" s="65"/>
      <c r="M274" s="65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18"/>
      <c r="AE274" s="18"/>
    </row>
    <row r="275" spans="1:31" ht="15.75" customHeight="1">
      <c r="A275" s="76"/>
      <c r="B275" s="43"/>
      <c r="C275" s="44"/>
      <c r="D275" s="48"/>
      <c r="E275" s="45"/>
      <c r="F275" s="45"/>
      <c r="G275" s="65"/>
      <c r="H275" s="65"/>
      <c r="I275" s="63"/>
      <c r="J275" s="65"/>
      <c r="K275" s="65"/>
      <c r="L275" s="65"/>
      <c r="M275" s="65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18"/>
      <c r="AE275" s="18"/>
    </row>
    <row r="276" spans="1:31" ht="15.75" customHeight="1">
      <c r="A276" s="76"/>
      <c r="B276" s="43"/>
      <c r="C276" s="44"/>
      <c r="D276" s="48"/>
      <c r="E276" s="45"/>
      <c r="F276" s="45"/>
      <c r="G276" s="65"/>
      <c r="H276" s="65"/>
      <c r="I276" s="63"/>
      <c r="J276" s="65"/>
      <c r="K276" s="65"/>
      <c r="L276" s="65"/>
      <c r="M276" s="65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18"/>
      <c r="AE276" s="18"/>
    </row>
    <row r="277" spans="1:31" ht="15.75" customHeight="1">
      <c r="A277" s="76"/>
      <c r="B277" s="43"/>
      <c r="C277" s="44"/>
      <c r="D277" s="48"/>
      <c r="E277" s="45"/>
      <c r="F277" s="45"/>
      <c r="G277" s="65"/>
      <c r="H277" s="65"/>
      <c r="I277" s="63"/>
      <c r="J277" s="65"/>
      <c r="K277" s="65"/>
      <c r="L277" s="65"/>
      <c r="M277" s="65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18"/>
      <c r="AE277" s="18"/>
    </row>
    <row r="278" spans="1:31" ht="15.75" customHeight="1">
      <c r="A278" s="76"/>
      <c r="B278" s="43"/>
      <c r="C278" s="44"/>
      <c r="D278" s="48"/>
      <c r="E278" s="45"/>
      <c r="F278" s="45"/>
      <c r="G278" s="65"/>
      <c r="H278" s="65"/>
      <c r="I278" s="63"/>
      <c r="J278" s="65"/>
      <c r="K278" s="65"/>
      <c r="L278" s="65"/>
      <c r="M278" s="65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18"/>
      <c r="AE278" s="18"/>
    </row>
    <row r="279" spans="1:31" ht="15.75" customHeight="1">
      <c r="A279" s="76"/>
      <c r="B279" s="43"/>
      <c r="C279" s="44"/>
      <c r="D279" s="48"/>
      <c r="E279" s="45"/>
      <c r="F279" s="45"/>
      <c r="G279" s="65"/>
      <c r="H279" s="65"/>
      <c r="I279" s="63"/>
      <c r="J279" s="65"/>
      <c r="K279" s="65"/>
      <c r="L279" s="65"/>
      <c r="M279" s="65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18"/>
      <c r="AE279" s="18"/>
    </row>
    <row r="280" spans="1:31" ht="15.75" customHeight="1">
      <c r="A280" s="76"/>
      <c r="B280" s="43"/>
      <c r="C280" s="44"/>
      <c r="D280" s="48"/>
      <c r="E280" s="45"/>
      <c r="F280" s="45"/>
      <c r="G280" s="65"/>
      <c r="H280" s="65"/>
      <c r="I280" s="63"/>
      <c r="J280" s="65"/>
      <c r="K280" s="65"/>
      <c r="L280" s="65"/>
      <c r="M280" s="65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18"/>
      <c r="AE280" s="18"/>
    </row>
    <row r="281" spans="1:31" ht="15.75" customHeight="1">
      <c r="A281" s="76"/>
      <c r="B281" s="43"/>
      <c r="C281" s="44"/>
      <c r="D281" s="48"/>
      <c r="E281" s="45"/>
      <c r="F281" s="45"/>
      <c r="G281" s="65"/>
      <c r="H281" s="65"/>
      <c r="I281" s="63"/>
      <c r="J281" s="65"/>
      <c r="K281" s="65"/>
      <c r="L281" s="65"/>
      <c r="M281" s="65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18"/>
      <c r="AE281" s="18"/>
    </row>
    <row r="282" spans="1:31" ht="15.75" customHeight="1">
      <c r="A282" s="76"/>
      <c r="B282" s="43"/>
      <c r="C282" s="44"/>
      <c r="D282" s="48"/>
      <c r="E282" s="45"/>
      <c r="F282" s="45"/>
      <c r="G282" s="65"/>
      <c r="H282" s="65"/>
      <c r="I282" s="63"/>
      <c r="J282" s="65"/>
      <c r="K282" s="65"/>
      <c r="L282" s="65"/>
      <c r="M282" s="65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18"/>
      <c r="AE282" s="18"/>
    </row>
    <row r="283" spans="1:31" ht="15.75" customHeight="1">
      <c r="A283" s="76"/>
      <c r="B283" s="43"/>
      <c r="C283" s="44"/>
      <c r="D283" s="48"/>
      <c r="E283" s="45"/>
      <c r="F283" s="45"/>
      <c r="G283" s="65"/>
      <c r="H283" s="65"/>
      <c r="I283" s="63"/>
      <c r="J283" s="65"/>
      <c r="K283" s="65"/>
      <c r="L283" s="65"/>
      <c r="M283" s="65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18"/>
      <c r="AE283" s="18"/>
    </row>
    <row r="284" spans="1:31" ht="15.75" customHeight="1">
      <c r="A284" s="76"/>
      <c r="B284" s="43"/>
      <c r="C284" s="44"/>
      <c r="D284" s="48"/>
      <c r="E284" s="45"/>
      <c r="F284" s="45"/>
      <c r="G284" s="65"/>
      <c r="H284" s="65"/>
      <c r="I284" s="63"/>
      <c r="J284" s="65"/>
      <c r="K284" s="65"/>
      <c r="L284" s="65"/>
      <c r="M284" s="65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18"/>
      <c r="AE284" s="18"/>
    </row>
    <row r="285" spans="1:31" ht="15.75" customHeight="1">
      <c r="A285" s="76"/>
      <c r="B285" s="43"/>
      <c r="C285" s="44"/>
      <c r="D285" s="48"/>
      <c r="E285" s="45"/>
      <c r="F285" s="45"/>
      <c r="G285" s="65"/>
      <c r="H285" s="65"/>
      <c r="I285" s="63"/>
      <c r="J285" s="65"/>
      <c r="K285" s="65"/>
      <c r="L285" s="65"/>
      <c r="M285" s="65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18"/>
      <c r="AE285" s="18"/>
    </row>
    <row r="286" spans="1:31" ht="15.75" customHeight="1">
      <c r="A286" s="76"/>
      <c r="B286" s="43"/>
      <c r="C286" s="44"/>
      <c r="D286" s="48"/>
      <c r="E286" s="45"/>
      <c r="F286" s="45"/>
      <c r="G286" s="65"/>
      <c r="H286" s="65"/>
      <c r="I286" s="63"/>
      <c r="J286" s="65"/>
      <c r="K286" s="65"/>
      <c r="L286" s="65"/>
      <c r="M286" s="65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18"/>
      <c r="AE286" s="18"/>
    </row>
    <row r="287" spans="1:31" ht="15.75" customHeight="1">
      <c r="A287" s="76"/>
      <c r="B287" s="43"/>
      <c r="C287" s="44"/>
      <c r="D287" s="48"/>
      <c r="E287" s="45"/>
      <c r="F287" s="45"/>
      <c r="G287" s="65"/>
      <c r="H287" s="65"/>
      <c r="I287" s="63"/>
      <c r="J287" s="65"/>
      <c r="K287" s="65"/>
      <c r="L287" s="65"/>
      <c r="M287" s="65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18"/>
      <c r="AE287" s="18"/>
    </row>
    <row r="288" spans="1:31" ht="15.75" customHeight="1">
      <c r="A288" s="76"/>
      <c r="B288" s="43"/>
      <c r="C288" s="44"/>
      <c r="D288" s="48"/>
      <c r="E288" s="45"/>
      <c r="F288" s="45"/>
      <c r="G288" s="65"/>
      <c r="H288" s="65"/>
      <c r="I288" s="63"/>
      <c r="J288" s="65"/>
      <c r="K288" s="65"/>
      <c r="L288" s="65"/>
      <c r="M288" s="65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18"/>
      <c r="AE288" s="18"/>
    </row>
    <row r="289" spans="1:31" ht="15.75" customHeight="1">
      <c r="A289" s="76"/>
      <c r="B289" s="43"/>
      <c r="C289" s="44"/>
      <c r="D289" s="48"/>
      <c r="E289" s="45"/>
      <c r="F289" s="45"/>
      <c r="G289" s="65"/>
      <c r="H289" s="65"/>
      <c r="I289" s="63"/>
      <c r="J289" s="65"/>
      <c r="K289" s="65"/>
      <c r="L289" s="65"/>
      <c r="M289" s="65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18"/>
      <c r="AE289" s="18"/>
    </row>
    <row r="290" spans="1:31" ht="15.75" customHeight="1">
      <c r="A290" s="76"/>
      <c r="B290" s="43"/>
      <c r="C290" s="44"/>
      <c r="D290" s="48"/>
      <c r="E290" s="45"/>
      <c r="F290" s="45"/>
      <c r="G290" s="65"/>
      <c r="H290" s="65"/>
      <c r="I290" s="63"/>
      <c r="J290" s="65"/>
      <c r="K290" s="65"/>
      <c r="L290" s="65"/>
      <c r="M290" s="65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18"/>
      <c r="AE290" s="18"/>
    </row>
    <row r="291" spans="1:31" ht="15.75" customHeight="1">
      <c r="A291" s="76"/>
      <c r="B291" s="43"/>
      <c r="C291" s="44"/>
      <c r="D291" s="48"/>
      <c r="E291" s="45"/>
      <c r="F291" s="45"/>
      <c r="G291" s="65"/>
      <c r="H291" s="65"/>
      <c r="I291" s="63"/>
      <c r="J291" s="65"/>
      <c r="K291" s="65"/>
      <c r="L291" s="65"/>
      <c r="M291" s="65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18"/>
      <c r="AE291" s="18"/>
    </row>
    <row r="292" spans="1:31" ht="15.75" customHeight="1">
      <c r="A292" s="76"/>
      <c r="B292" s="43"/>
      <c r="C292" s="44"/>
      <c r="D292" s="48"/>
      <c r="E292" s="45"/>
      <c r="F292" s="45"/>
      <c r="G292" s="65"/>
      <c r="H292" s="65"/>
      <c r="I292" s="63"/>
      <c r="J292" s="65"/>
      <c r="K292" s="65"/>
      <c r="L292" s="65"/>
      <c r="M292" s="65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18"/>
      <c r="AE292" s="18"/>
    </row>
    <row r="293" spans="1:31" ht="15.75" customHeight="1">
      <c r="A293" s="76"/>
      <c r="B293" s="43"/>
      <c r="C293" s="44"/>
      <c r="D293" s="48"/>
      <c r="E293" s="45"/>
      <c r="F293" s="45"/>
      <c r="G293" s="65"/>
      <c r="H293" s="65"/>
      <c r="I293" s="63"/>
      <c r="J293" s="65"/>
      <c r="K293" s="65"/>
      <c r="L293" s="65"/>
      <c r="M293" s="65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18"/>
      <c r="AE293" s="18"/>
    </row>
    <row r="294" spans="1:31" ht="15.75" customHeight="1">
      <c r="A294" s="76"/>
      <c r="B294" s="43"/>
      <c r="C294" s="44"/>
      <c r="D294" s="48"/>
      <c r="E294" s="45"/>
      <c r="F294" s="45"/>
      <c r="G294" s="65"/>
      <c r="H294" s="65"/>
      <c r="I294" s="63"/>
      <c r="J294" s="65"/>
      <c r="K294" s="65"/>
      <c r="L294" s="65"/>
      <c r="M294" s="65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18"/>
      <c r="AE294" s="18"/>
    </row>
    <row r="295" spans="1:31" ht="15.75" customHeight="1">
      <c r="A295" s="76"/>
      <c r="B295" s="43"/>
      <c r="C295" s="44"/>
      <c r="D295" s="48"/>
      <c r="E295" s="45"/>
      <c r="F295" s="45"/>
      <c r="G295" s="65"/>
      <c r="H295" s="65"/>
      <c r="I295" s="63"/>
      <c r="J295" s="65"/>
      <c r="K295" s="65"/>
      <c r="L295" s="65"/>
      <c r="M295" s="65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18"/>
      <c r="AE295" s="18"/>
    </row>
    <row r="296" spans="1:31" ht="15.75" customHeight="1">
      <c r="A296" s="76"/>
      <c r="B296" s="43"/>
      <c r="C296" s="44"/>
      <c r="D296" s="48"/>
      <c r="E296" s="45"/>
      <c r="F296" s="45"/>
      <c r="G296" s="65"/>
      <c r="H296" s="65"/>
      <c r="I296" s="63"/>
      <c r="J296" s="65"/>
      <c r="K296" s="65"/>
      <c r="L296" s="65"/>
      <c r="M296" s="65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18"/>
      <c r="AE296" s="18"/>
    </row>
    <row r="297" spans="1:31" ht="15.75" customHeight="1">
      <c r="A297" s="76"/>
      <c r="B297" s="43"/>
      <c r="C297" s="44"/>
      <c r="D297" s="48"/>
      <c r="E297" s="45"/>
      <c r="F297" s="45"/>
      <c r="G297" s="65"/>
      <c r="H297" s="65"/>
      <c r="I297" s="63"/>
      <c r="J297" s="65"/>
      <c r="K297" s="65"/>
      <c r="L297" s="65"/>
      <c r="M297" s="65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18"/>
      <c r="AE297" s="18"/>
    </row>
    <row r="298" spans="1:31" ht="15.75" customHeight="1">
      <c r="A298" s="76"/>
      <c r="B298" s="43"/>
      <c r="C298" s="44"/>
      <c r="D298" s="48"/>
      <c r="E298" s="45"/>
      <c r="F298" s="45"/>
      <c r="G298" s="65"/>
      <c r="H298" s="65"/>
      <c r="I298" s="63"/>
      <c r="J298" s="65"/>
      <c r="K298" s="65"/>
      <c r="L298" s="65"/>
      <c r="M298" s="65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18"/>
      <c r="AE298" s="18"/>
    </row>
    <row r="299" spans="1:31" ht="15.75" customHeight="1">
      <c r="A299" s="76"/>
      <c r="B299" s="43"/>
      <c r="C299" s="44"/>
      <c r="D299" s="48"/>
      <c r="E299" s="45"/>
      <c r="F299" s="45"/>
      <c r="G299" s="65"/>
      <c r="H299" s="65"/>
      <c r="I299" s="63"/>
      <c r="J299" s="65"/>
      <c r="K299" s="65"/>
      <c r="L299" s="65"/>
      <c r="M299" s="65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18"/>
      <c r="AE299" s="18"/>
    </row>
    <row r="300" spans="1:31" ht="15.75" customHeight="1">
      <c r="A300" s="76"/>
      <c r="B300" s="43"/>
      <c r="C300" s="44"/>
      <c r="D300" s="48"/>
      <c r="E300" s="45"/>
      <c r="F300" s="45"/>
      <c r="G300" s="65"/>
      <c r="H300" s="65"/>
      <c r="I300" s="63"/>
      <c r="J300" s="65"/>
      <c r="K300" s="65"/>
      <c r="L300" s="65"/>
      <c r="M300" s="65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18"/>
      <c r="AE300" s="18"/>
    </row>
    <row r="301" spans="1:31" ht="15.75" customHeight="1">
      <c r="A301" s="76"/>
      <c r="B301" s="43"/>
      <c r="C301" s="44"/>
      <c r="D301" s="48"/>
      <c r="E301" s="45"/>
      <c r="F301" s="45"/>
      <c r="G301" s="65"/>
      <c r="H301" s="65"/>
      <c r="I301" s="63"/>
      <c r="J301" s="65"/>
      <c r="K301" s="65"/>
      <c r="L301" s="65"/>
      <c r="M301" s="65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18"/>
      <c r="AE301" s="18"/>
    </row>
    <row r="302" spans="1:31" ht="15.75" customHeight="1">
      <c r="A302" s="76"/>
      <c r="B302" s="43"/>
      <c r="C302" s="44"/>
      <c r="D302" s="48"/>
      <c r="E302" s="45"/>
      <c r="F302" s="45"/>
      <c r="G302" s="65"/>
      <c r="H302" s="65"/>
      <c r="I302" s="63"/>
      <c r="J302" s="65"/>
      <c r="K302" s="65"/>
      <c r="L302" s="65"/>
      <c r="M302" s="65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18"/>
      <c r="AE302" s="18"/>
    </row>
    <row r="303" spans="1:31" ht="15.75" customHeight="1">
      <c r="A303" s="76"/>
      <c r="B303" s="43"/>
      <c r="C303" s="44"/>
      <c r="D303" s="48"/>
      <c r="E303" s="45"/>
      <c r="F303" s="45"/>
      <c r="G303" s="65"/>
      <c r="H303" s="65"/>
      <c r="I303" s="63"/>
      <c r="J303" s="65"/>
      <c r="K303" s="65"/>
      <c r="L303" s="65"/>
      <c r="M303" s="65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18"/>
      <c r="AE303" s="18"/>
    </row>
    <row r="304" spans="1:31" ht="15.75" customHeight="1">
      <c r="A304" s="76"/>
      <c r="B304" s="43"/>
      <c r="C304" s="44"/>
      <c r="D304" s="48"/>
      <c r="E304" s="45"/>
      <c r="F304" s="45"/>
      <c r="G304" s="65"/>
      <c r="H304" s="65"/>
      <c r="I304" s="63"/>
      <c r="J304" s="65"/>
      <c r="K304" s="65"/>
      <c r="L304" s="65"/>
      <c r="M304" s="65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18"/>
      <c r="AE304" s="18"/>
    </row>
    <row r="305" spans="1:31" ht="15.75" customHeight="1">
      <c r="A305" s="76"/>
      <c r="B305" s="43"/>
      <c r="C305" s="44"/>
      <c r="D305" s="48"/>
      <c r="E305" s="45"/>
      <c r="F305" s="45"/>
      <c r="G305" s="65"/>
      <c r="H305" s="65"/>
      <c r="I305" s="63"/>
      <c r="J305" s="65"/>
      <c r="K305" s="65"/>
      <c r="L305" s="65"/>
      <c r="M305" s="65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18"/>
      <c r="AE305" s="18"/>
    </row>
    <row r="306" spans="1:31" ht="15.75" customHeight="1">
      <c r="A306" s="76"/>
      <c r="B306" s="43"/>
      <c r="C306" s="44"/>
      <c r="D306" s="48"/>
      <c r="E306" s="45"/>
      <c r="F306" s="45"/>
      <c r="G306" s="65"/>
      <c r="H306" s="65"/>
      <c r="I306" s="63"/>
      <c r="J306" s="65"/>
      <c r="K306" s="65"/>
      <c r="L306" s="65"/>
      <c r="M306" s="65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18"/>
      <c r="AE306" s="18"/>
    </row>
    <row r="307" spans="1:31" ht="15.75" customHeight="1">
      <c r="A307" s="76"/>
      <c r="B307" s="43"/>
      <c r="C307" s="44"/>
      <c r="D307" s="48"/>
      <c r="E307" s="45"/>
      <c r="F307" s="45"/>
      <c r="G307" s="65"/>
      <c r="H307" s="65"/>
      <c r="I307" s="63"/>
      <c r="J307" s="65"/>
      <c r="K307" s="65"/>
      <c r="L307" s="65"/>
      <c r="M307" s="65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18"/>
      <c r="AE307" s="18"/>
    </row>
    <row r="308" spans="1:31" ht="15.75" customHeight="1">
      <c r="A308" s="76"/>
      <c r="B308" s="43"/>
      <c r="C308" s="44"/>
      <c r="D308" s="48"/>
      <c r="E308" s="45"/>
      <c r="F308" s="45"/>
      <c r="G308" s="65"/>
      <c r="H308" s="65"/>
      <c r="I308" s="63"/>
      <c r="J308" s="65"/>
      <c r="K308" s="65"/>
      <c r="L308" s="65"/>
      <c r="M308" s="65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18"/>
      <c r="AE308" s="18"/>
    </row>
    <row r="309" spans="1:31" ht="15.75" customHeight="1">
      <c r="A309" s="76"/>
      <c r="B309" s="43"/>
      <c r="C309" s="44"/>
      <c r="D309" s="48"/>
      <c r="E309" s="45"/>
      <c r="F309" s="45"/>
      <c r="G309" s="65"/>
      <c r="H309" s="65"/>
      <c r="I309" s="63"/>
      <c r="J309" s="65"/>
      <c r="K309" s="65"/>
      <c r="L309" s="65"/>
      <c r="M309" s="65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18"/>
      <c r="AE309" s="18"/>
    </row>
    <row r="310" spans="1:31" ht="15.75" customHeight="1">
      <c r="A310" s="76"/>
      <c r="B310" s="43"/>
      <c r="C310" s="44"/>
      <c r="D310" s="48"/>
      <c r="E310" s="45"/>
      <c r="F310" s="45"/>
      <c r="G310" s="65"/>
      <c r="H310" s="65"/>
      <c r="I310" s="63"/>
      <c r="J310" s="65"/>
      <c r="K310" s="65"/>
      <c r="L310" s="65"/>
      <c r="M310" s="65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18"/>
      <c r="AE310" s="18"/>
    </row>
    <row r="311" spans="1:31" ht="15.75" customHeight="1">
      <c r="A311" s="76"/>
      <c r="B311" s="43"/>
      <c r="C311" s="44"/>
      <c r="D311" s="48"/>
      <c r="E311" s="45"/>
      <c r="F311" s="45"/>
      <c r="G311" s="65"/>
      <c r="H311" s="65"/>
      <c r="I311" s="63"/>
      <c r="J311" s="65"/>
      <c r="K311" s="65"/>
      <c r="L311" s="65"/>
      <c r="M311" s="65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18"/>
      <c r="AE311" s="18"/>
    </row>
    <row r="312" spans="1:31" ht="15.75" customHeight="1">
      <c r="A312" s="76"/>
      <c r="B312" s="43"/>
      <c r="C312" s="44"/>
      <c r="D312" s="48"/>
      <c r="E312" s="45"/>
      <c r="F312" s="45"/>
      <c r="G312" s="65"/>
      <c r="H312" s="65"/>
      <c r="I312" s="63"/>
      <c r="J312" s="65"/>
      <c r="K312" s="65"/>
      <c r="L312" s="65"/>
      <c r="M312" s="65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18"/>
      <c r="AE312" s="18"/>
    </row>
    <row r="313" spans="1:31" ht="15.75" customHeight="1">
      <c r="A313" s="76"/>
      <c r="B313" s="43"/>
      <c r="C313" s="44"/>
      <c r="D313" s="48"/>
      <c r="E313" s="45"/>
      <c r="F313" s="45"/>
      <c r="G313" s="65"/>
      <c r="H313" s="65"/>
      <c r="I313" s="63"/>
      <c r="J313" s="65"/>
      <c r="K313" s="65"/>
      <c r="L313" s="65"/>
      <c r="M313" s="65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18"/>
      <c r="AE313" s="18"/>
    </row>
    <row r="314" spans="1:31" ht="15.75" customHeight="1">
      <c r="A314" s="76"/>
      <c r="B314" s="43"/>
      <c r="C314" s="44"/>
      <c r="D314" s="48"/>
      <c r="E314" s="45"/>
      <c r="F314" s="45"/>
      <c r="G314" s="65"/>
      <c r="H314" s="65"/>
      <c r="I314" s="63"/>
      <c r="J314" s="65"/>
      <c r="K314" s="65"/>
      <c r="L314" s="65"/>
      <c r="M314" s="65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18"/>
      <c r="AE314" s="18"/>
    </row>
    <row r="315" spans="1:31" ht="15.75" customHeight="1">
      <c r="A315" s="76"/>
      <c r="B315" s="43"/>
      <c r="C315" s="44"/>
      <c r="D315" s="48"/>
      <c r="E315" s="45"/>
      <c r="F315" s="45"/>
      <c r="G315" s="65"/>
      <c r="H315" s="65"/>
      <c r="I315" s="63"/>
      <c r="J315" s="65"/>
      <c r="K315" s="65"/>
      <c r="L315" s="65"/>
      <c r="M315" s="65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18"/>
      <c r="AE315" s="18"/>
    </row>
    <row r="316" spans="1:31" ht="15.75" customHeight="1">
      <c r="A316" s="76"/>
      <c r="B316" s="43"/>
      <c r="C316" s="44"/>
      <c r="D316" s="48"/>
      <c r="E316" s="45"/>
      <c r="F316" s="45"/>
      <c r="G316" s="65"/>
      <c r="H316" s="65"/>
      <c r="I316" s="63"/>
      <c r="J316" s="65"/>
      <c r="K316" s="65"/>
      <c r="L316" s="65"/>
      <c r="M316" s="65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18"/>
      <c r="AE316" s="18"/>
    </row>
    <row r="317" spans="1:31" ht="15.75" customHeight="1">
      <c r="A317" s="76"/>
      <c r="B317" s="43"/>
      <c r="C317" s="44"/>
      <c r="D317" s="48"/>
      <c r="E317" s="45"/>
      <c r="F317" s="45"/>
      <c r="G317" s="65"/>
      <c r="H317" s="65"/>
      <c r="I317" s="63"/>
      <c r="J317" s="65"/>
      <c r="K317" s="65"/>
      <c r="L317" s="65"/>
      <c r="M317" s="65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18"/>
      <c r="AE317" s="18"/>
    </row>
    <row r="318" spans="1:31" ht="15.75" customHeight="1">
      <c r="A318" s="76"/>
      <c r="B318" s="43"/>
      <c r="C318" s="44"/>
      <c r="D318" s="48"/>
      <c r="E318" s="45"/>
      <c r="F318" s="45"/>
      <c r="G318" s="65"/>
      <c r="H318" s="65"/>
      <c r="I318" s="63"/>
      <c r="J318" s="65"/>
      <c r="K318" s="65"/>
      <c r="L318" s="65"/>
      <c r="M318" s="65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18"/>
      <c r="AE318" s="18"/>
    </row>
    <row r="319" spans="1:31" ht="15.75" customHeight="1">
      <c r="A319" s="76"/>
      <c r="B319" s="43"/>
      <c r="C319" s="44"/>
      <c r="D319" s="48"/>
      <c r="E319" s="45"/>
      <c r="F319" s="45"/>
      <c r="G319" s="65"/>
      <c r="H319" s="65"/>
      <c r="I319" s="63"/>
      <c r="J319" s="65"/>
      <c r="K319" s="65"/>
      <c r="L319" s="65"/>
      <c r="M319" s="65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18"/>
      <c r="AE319" s="18"/>
    </row>
    <row r="320" spans="1:31" ht="15.75" customHeight="1">
      <c r="A320" s="76"/>
      <c r="B320" s="43"/>
      <c r="C320" s="44"/>
      <c r="D320" s="48"/>
      <c r="E320" s="45"/>
      <c r="F320" s="45"/>
      <c r="G320" s="65"/>
      <c r="H320" s="65"/>
      <c r="I320" s="63"/>
      <c r="J320" s="65"/>
      <c r="K320" s="65"/>
      <c r="L320" s="65"/>
      <c r="M320" s="65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18"/>
      <c r="AE320" s="18"/>
    </row>
    <row r="321" spans="1:31" ht="15.75" customHeight="1">
      <c r="A321" s="76"/>
      <c r="B321" s="43"/>
      <c r="C321" s="44"/>
      <c r="D321" s="48"/>
      <c r="E321" s="45"/>
      <c r="F321" s="45"/>
      <c r="G321" s="65"/>
      <c r="H321" s="65"/>
      <c r="I321" s="63"/>
      <c r="J321" s="65"/>
      <c r="K321" s="65"/>
      <c r="L321" s="65"/>
      <c r="M321" s="65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18"/>
      <c r="AE321" s="18"/>
    </row>
    <row r="322" spans="1:31" ht="15.75" customHeight="1">
      <c r="A322" s="76"/>
      <c r="B322" s="43"/>
      <c r="C322" s="44"/>
      <c r="D322" s="48"/>
      <c r="E322" s="45"/>
      <c r="F322" s="45"/>
      <c r="G322" s="65"/>
      <c r="H322" s="65"/>
      <c r="I322" s="63"/>
      <c r="J322" s="65"/>
      <c r="K322" s="65"/>
      <c r="L322" s="65"/>
      <c r="M322" s="65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18"/>
      <c r="AE322" s="18"/>
    </row>
    <row r="323" spans="1:31" ht="15.75" customHeight="1">
      <c r="A323" s="76"/>
      <c r="B323" s="43"/>
      <c r="C323" s="44"/>
      <c r="D323" s="48"/>
      <c r="E323" s="45"/>
      <c r="F323" s="45"/>
      <c r="G323" s="65"/>
      <c r="H323" s="65"/>
      <c r="I323" s="63"/>
      <c r="J323" s="65"/>
      <c r="K323" s="65"/>
      <c r="L323" s="65"/>
      <c r="M323" s="65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18"/>
      <c r="AE323" s="18"/>
    </row>
    <row r="324" spans="1:31" ht="15.75" customHeight="1">
      <c r="A324" s="76"/>
      <c r="B324" s="43"/>
      <c r="C324" s="44"/>
      <c r="D324" s="48"/>
      <c r="E324" s="45"/>
      <c r="F324" s="45"/>
      <c r="G324" s="65"/>
      <c r="H324" s="65"/>
      <c r="I324" s="63"/>
      <c r="J324" s="65"/>
      <c r="K324" s="65"/>
      <c r="L324" s="65"/>
      <c r="M324" s="65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18"/>
      <c r="AE324" s="18"/>
    </row>
    <row r="325" spans="1:31" ht="15.75" customHeight="1">
      <c r="A325" s="76"/>
      <c r="B325" s="43"/>
      <c r="C325" s="44"/>
      <c r="D325" s="48"/>
      <c r="E325" s="45"/>
      <c r="F325" s="45"/>
      <c r="G325" s="65"/>
      <c r="H325" s="65"/>
      <c r="I325" s="63"/>
      <c r="J325" s="65"/>
      <c r="K325" s="65"/>
      <c r="L325" s="65"/>
      <c r="M325" s="65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18"/>
      <c r="AE325" s="18"/>
    </row>
    <row r="326" spans="1:31" ht="15.75" customHeight="1">
      <c r="A326" s="76"/>
      <c r="B326" s="43"/>
      <c r="C326" s="44"/>
      <c r="D326" s="48"/>
      <c r="E326" s="45"/>
      <c r="F326" s="45"/>
      <c r="G326" s="65"/>
      <c r="H326" s="65"/>
      <c r="I326" s="63"/>
      <c r="J326" s="65"/>
      <c r="K326" s="65"/>
      <c r="L326" s="65"/>
      <c r="M326" s="65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18"/>
      <c r="AE326" s="18"/>
    </row>
    <row r="327" spans="1:31" ht="15.75" customHeight="1">
      <c r="A327" s="76"/>
      <c r="B327" s="43"/>
      <c r="C327" s="44"/>
      <c r="D327" s="48"/>
      <c r="E327" s="45"/>
      <c r="F327" s="45"/>
      <c r="G327" s="65"/>
      <c r="H327" s="65"/>
      <c r="I327" s="63"/>
      <c r="J327" s="65"/>
      <c r="K327" s="65"/>
      <c r="L327" s="65"/>
      <c r="M327" s="65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18"/>
      <c r="AE327" s="18"/>
    </row>
    <row r="328" spans="1:31" ht="15.75" customHeight="1">
      <c r="A328" s="76"/>
      <c r="B328" s="43"/>
      <c r="C328" s="44"/>
      <c r="D328" s="48"/>
      <c r="E328" s="45"/>
      <c r="F328" s="45"/>
      <c r="G328" s="65"/>
      <c r="H328" s="65"/>
      <c r="I328" s="63"/>
      <c r="J328" s="65"/>
      <c r="K328" s="65"/>
      <c r="L328" s="65"/>
      <c r="M328" s="65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18"/>
      <c r="AE328" s="18"/>
    </row>
    <row r="329" spans="1:31" ht="15.75" customHeight="1">
      <c r="A329" s="76"/>
      <c r="B329" s="43"/>
      <c r="C329" s="44"/>
      <c r="D329" s="48"/>
      <c r="E329" s="45"/>
      <c r="F329" s="45"/>
      <c r="G329" s="65"/>
      <c r="H329" s="65"/>
      <c r="I329" s="63"/>
      <c r="J329" s="65"/>
      <c r="K329" s="65"/>
      <c r="L329" s="65"/>
      <c r="M329" s="65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18"/>
      <c r="AE329" s="18"/>
    </row>
    <row r="330" spans="1:31" ht="15.75" customHeight="1">
      <c r="A330" s="76"/>
      <c r="B330" s="43"/>
      <c r="C330" s="44"/>
      <c r="D330" s="48"/>
      <c r="E330" s="45"/>
      <c r="F330" s="45"/>
      <c r="G330" s="65"/>
      <c r="H330" s="65"/>
      <c r="I330" s="63"/>
      <c r="J330" s="65"/>
      <c r="K330" s="65"/>
      <c r="L330" s="65"/>
      <c r="M330" s="65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18"/>
      <c r="AE330" s="18"/>
    </row>
    <row r="331" spans="1:31" ht="15.75" customHeight="1">
      <c r="A331" s="76"/>
      <c r="B331" s="43"/>
      <c r="C331" s="44"/>
      <c r="D331" s="48"/>
      <c r="E331" s="45"/>
      <c r="F331" s="45"/>
      <c r="G331" s="65"/>
      <c r="H331" s="65"/>
      <c r="I331" s="63"/>
      <c r="J331" s="65"/>
      <c r="K331" s="65"/>
      <c r="L331" s="65"/>
      <c r="M331" s="65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18"/>
      <c r="AE331" s="18"/>
    </row>
    <row r="332" spans="1:31" ht="15.75" customHeight="1">
      <c r="A332" s="76"/>
      <c r="B332" s="43"/>
      <c r="C332" s="44"/>
      <c r="D332" s="48"/>
      <c r="E332" s="45"/>
      <c r="F332" s="45"/>
      <c r="G332" s="65"/>
      <c r="H332" s="65"/>
      <c r="I332" s="63"/>
      <c r="J332" s="65"/>
      <c r="K332" s="65"/>
      <c r="L332" s="65"/>
      <c r="M332" s="65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18"/>
      <c r="AE332" s="18"/>
    </row>
    <row r="333" spans="1:31" ht="15.75" customHeight="1">
      <c r="A333" s="76"/>
      <c r="B333" s="43"/>
      <c r="C333" s="44"/>
      <c r="D333" s="48"/>
      <c r="E333" s="45"/>
      <c r="F333" s="45"/>
      <c r="G333" s="65"/>
      <c r="H333" s="65"/>
      <c r="I333" s="63"/>
      <c r="J333" s="65"/>
      <c r="K333" s="65"/>
      <c r="L333" s="65"/>
      <c r="M333" s="65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18"/>
      <c r="AE333" s="18"/>
    </row>
    <row r="334" spans="1:31" ht="15.75" customHeight="1">
      <c r="A334" s="76"/>
      <c r="B334" s="43"/>
      <c r="C334" s="44"/>
      <c r="D334" s="48"/>
      <c r="E334" s="45"/>
      <c r="F334" s="45"/>
      <c r="G334" s="65"/>
      <c r="H334" s="65"/>
      <c r="I334" s="63"/>
      <c r="J334" s="65"/>
      <c r="K334" s="65"/>
      <c r="L334" s="65"/>
      <c r="M334" s="65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18"/>
      <c r="AE334" s="18"/>
    </row>
    <row r="335" spans="1:31" ht="15.75" customHeight="1">
      <c r="A335" s="76"/>
      <c r="B335" s="43"/>
      <c r="C335" s="44"/>
      <c r="D335" s="48"/>
      <c r="E335" s="45"/>
      <c r="F335" s="45"/>
      <c r="G335" s="65"/>
      <c r="H335" s="65"/>
      <c r="I335" s="63"/>
      <c r="J335" s="65"/>
      <c r="K335" s="65"/>
      <c r="L335" s="65"/>
      <c r="M335" s="65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18"/>
      <c r="AE335" s="18"/>
    </row>
    <row r="336" spans="1:31" ht="15.75" customHeight="1">
      <c r="A336" s="76"/>
      <c r="B336" s="43"/>
      <c r="C336" s="44"/>
      <c r="D336" s="48"/>
      <c r="E336" s="45"/>
      <c r="F336" s="45"/>
      <c r="G336" s="65"/>
      <c r="H336" s="65"/>
      <c r="I336" s="63"/>
      <c r="J336" s="65"/>
      <c r="K336" s="65"/>
      <c r="L336" s="65"/>
      <c r="M336" s="65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18"/>
      <c r="AE336" s="18"/>
    </row>
    <row r="337" spans="1:31" ht="15.75" customHeight="1">
      <c r="A337" s="76"/>
      <c r="B337" s="43"/>
      <c r="C337" s="44"/>
      <c r="D337" s="48"/>
      <c r="E337" s="45"/>
      <c r="F337" s="45"/>
      <c r="G337" s="65"/>
      <c r="H337" s="65"/>
      <c r="I337" s="63"/>
      <c r="J337" s="65"/>
      <c r="K337" s="65"/>
      <c r="L337" s="65"/>
      <c r="M337" s="65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18"/>
      <c r="AE337" s="18"/>
    </row>
    <row r="338" spans="1:31" ht="15.75" customHeight="1">
      <c r="A338" s="76"/>
      <c r="B338" s="43"/>
      <c r="C338" s="44"/>
      <c r="D338" s="48"/>
      <c r="E338" s="45"/>
      <c r="F338" s="45"/>
      <c r="G338" s="65"/>
      <c r="H338" s="65"/>
      <c r="I338" s="63"/>
      <c r="J338" s="65"/>
      <c r="K338" s="65"/>
      <c r="L338" s="65"/>
      <c r="M338" s="65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18"/>
      <c r="AE338" s="18"/>
    </row>
    <row r="339" spans="1:31" ht="15.75" customHeight="1">
      <c r="A339" s="76"/>
      <c r="B339" s="43"/>
      <c r="C339" s="44"/>
      <c r="D339" s="48"/>
      <c r="E339" s="45"/>
      <c r="F339" s="45"/>
      <c r="G339" s="65"/>
      <c r="H339" s="65"/>
      <c r="I339" s="63"/>
      <c r="J339" s="65"/>
      <c r="K339" s="65"/>
      <c r="L339" s="65"/>
      <c r="M339" s="65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18"/>
      <c r="AE339" s="18"/>
    </row>
    <row r="340" spans="1:31" ht="15.75" customHeight="1">
      <c r="A340" s="76"/>
      <c r="B340" s="43"/>
      <c r="C340" s="44"/>
      <c r="D340" s="48"/>
      <c r="E340" s="45"/>
      <c r="F340" s="45"/>
      <c r="G340" s="65"/>
      <c r="H340" s="65"/>
      <c r="I340" s="63"/>
      <c r="J340" s="65"/>
      <c r="K340" s="65"/>
      <c r="L340" s="65"/>
      <c r="M340" s="65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18"/>
      <c r="AE340" s="18"/>
    </row>
    <row r="341" spans="1:31" ht="15.75" customHeight="1">
      <c r="A341" s="76"/>
      <c r="B341" s="43"/>
      <c r="C341" s="44"/>
      <c r="D341" s="48"/>
      <c r="E341" s="45"/>
      <c r="F341" s="45"/>
      <c r="G341" s="65"/>
      <c r="H341" s="65"/>
      <c r="I341" s="63"/>
      <c r="J341" s="65"/>
      <c r="K341" s="65"/>
      <c r="L341" s="65"/>
      <c r="M341" s="65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18"/>
      <c r="AE341" s="18"/>
    </row>
    <row r="342" spans="1:31" ht="15.75" customHeight="1">
      <c r="A342" s="76"/>
      <c r="B342" s="43"/>
      <c r="C342" s="44"/>
      <c r="D342" s="48"/>
      <c r="E342" s="45"/>
      <c r="F342" s="45"/>
      <c r="G342" s="65"/>
      <c r="H342" s="65"/>
      <c r="I342" s="63"/>
      <c r="J342" s="65"/>
      <c r="K342" s="65"/>
      <c r="L342" s="65"/>
      <c r="M342" s="65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18"/>
      <c r="AE342" s="18"/>
    </row>
    <row r="343" spans="1:31" ht="15.75" customHeight="1">
      <c r="A343" s="76"/>
      <c r="B343" s="43"/>
      <c r="C343" s="44"/>
      <c r="D343" s="48"/>
      <c r="E343" s="45"/>
      <c r="F343" s="45"/>
      <c r="G343" s="65"/>
      <c r="H343" s="65"/>
      <c r="I343" s="63"/>
      <c r="J343" s="65"/>
      <c r="K343" s="65"/>
      <c r="L343" s="65"/>
      <c r="M343" s="65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18"/>
      <c r="AE343" s="18"/>
    </row>
    <row r="344" spans="1:31" ht="15.75" customHeight="1">
      <c r="A344" s="76"/>
      <c r="B344" s="43"/>
      <c r="C344" s="44"/>
      <c r="D344" s="48"/>
      <c r="E344" s="45"/>
      <c r="F344" s="45"/>
      <c r="G344" s="65"/>
      <c r="H344" s="65"/>
      <c r="I344" s="63"/>
      <c r="J344" s="65"/>
      <c r="K344" s="65"/>
      <c r="L344" s="65"/>
      <c r="M344" s="65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18"/>
      <c r="AE344" s="18"/>
    </row>
    <row r="345" spans="1:31" ht="15.75" customHeight="1">
      <c r="A345" s="76"/>
      <c r="B345" s="43"/>
      <c r="C345" s="44"/>
      <c r="D345" s="48"/>
      <c r="E345" s="45"/>
      <c r="F345" s="45"/>
      <c r="G345" s="65"/>
      <c r="H345" s="65"/>
      <c r="I345" s="63"/>
      <c r="J345" s="65"/>
      <c r="K345" s="65"/>
      <c r="L345" s="65"/>
      <c r="M345" s="65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18"/>
      <c r="AE345" s="18"/>
    </row>
    <row r="346" spans="1:31" ht="15.75" customHeight="1">
      <c r="A346" s="76"/>
      <c r="B346" s="43"/>
      <c r="C346" s="44"/>
      <c r="D346" s="48"/>
      <c r="E346" s="45"/>
      <c r="F346" s="45"/>
      <c r="G346" s="65"/>
      <c r="H346" s="65"/>
      <c r="I346" s="63"/>
      <c r="J346" s="65"/>
      <c r="K346" s="65"/>
      <c r="L346" s="65"/>
      <c r="M346" s="65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18"/>
      <c r="AE346" s="18"/>
    </row>
    <row r="347" spans="1:31" ht="15.75" customHeight="1">
      <c r="A347" s="76"/>
      <c r="B347" s="43"/>
      <c r="C347" s="44"/>
      <c r="D347" s="48"/>
      <c r="E347" s="45"/>
      <c r="F347" s="45"/>
      <c r="G347" s="65"/>
      <c r="H347" s="65"/>
      <c r="I347" s="63"/>
      <c r="J347" s="65"/>
      <c r="K347" s="65"/>
      <c r="L347" s="65"/>
      <c r="M347" s="65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18"/>
      <c r="AE347" s="18"/>
    </row>
    <row r="348" spans="1:31" ht="15.75" customHeight="1">
      <c r="A348" s="76"/>
      <c r="B348" s="43"/>
      <c r="C348" s="44"/>
      <c r="D348" s="48"/>
      <c r="E348" s="45"/>
      <c r="F348" s="45"/>
      <c r="G348" s="65"/>
      <c r="H348" s="65"/>
      <c r="I348" s="63"/>
      <c r="J348" s="65"/>
      <c r="K348" s="65"/>
      <c r="L348" s="65"/>
      <c r="M348" s="65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18"/>
      <c r="AE348" s="18"/>
    </row>
    <row r="349" spans="1:31" ht="15.75" customHeight="1">
      <c r="A349" s="76"/>
      <c r="B349" s="43"/>
      <c r="C349" s="44"/>
      <c r="D349" s="48"/>
      <c r="E349" s="45"/>
      <c r="F349" s="45"/>
      <c r="G349" s="65"/>
      <c r="H349" s="65"/>
      <c r="I349" s="63"/>
      <c r="J349" s="65"/>
      <c r="K349" s="65"/>
      <c r="L349" s="65"/>
      <c r="M349" s="65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18"/>
      <c r="AE349" s="18"/>
    </row>
    <row r="350" spans="1:31" ht="15.75" customHeight="1">
      <c r="A350" s="76"/>
      <c r="B350" s="43"/>
      <c r="C350" s="44"/>
      <c r="D350" s="48"/>
      <c r="E350" s="45"/>
      <c r="F350" s="45"/>
      <c r="G350" s="65"/>
      <c r="H350" s="65"/>
      <c r="I350" s="63"/>
      <c r="J350" s="65"/>
      <c r="K350" s="65"/>
      <c r="L350" s="65"/>
      <c r="M350" s="65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18"/>
      <c r="AE350" s="18"/>
    </row>
    <row r="351" spans="1:31" ht="15.75" customHeight="1">
      <c r="A351" s="76"/>
      <c r="B351" s="43"/>
      <c r="C351" s="44"/>
      <c r="D351" s="48"/>
      <c r="E351" s="45"/>
      <c r="F351" s="45"/>
      <c r="G351" s="65"/>
      <c r="H351" s="65"/>
      <c r="I351" s="63"/>
      <c r="J351" s="65"/>
      <c r="K351" s="65"/>
      <c r="L351" s="65"/>
      <c r="M351" s="65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18"/>
      <c r="AE351" s="18"/>
    </row>
    <row r="352" spans="1:31" ht="15.75" customHeight="1">
      <c r="A352" s="76"/>
      <c r="B352" s="43"/>
      <c r="C352" s="44"/>
      <c r="D352" s="48"/>
      <c r="E352" s="45"/>
      <c r="F352" s="45"/>
      <c r="G352" s="65"/>
      <c r="H352" s="65"/>
      <c r="I352" s="63"/>
      <c r="J352" s="65"/>
      <c r="K352" s="65"/>
      <c r="L352" s="65"/>
      <c r="M352" s="65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18"/>
      <c r="AE352" s="18"/>
    </row>
    <row r="353" spans="1:31" ht="15.75" customHeight="1">
      <c r="A353" s="76"/>
      <c r="B353" s="43"/>
      <c r="C353" s="44"/>
      <c r="D353" s="48"/>
      <c r="E353" s="45"/>
      <c r="F353" s="45"/>
      <c r="G353" s="65"/>
      <c r="H353" s="65"/>
      <c r="I353" s="63"/>
      <c r="J353" s="65"/>
      <c r="K353" s="65"/>
      <c r="L353" s="65"/>
      <c r="M353" s="65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18"/>
      <c r="AE353" s="18"/>
    </row>
    <row r="354" spans="1:31" ht="15.75" customHeight="1">
      <c r="A354" s="76"/>
      <c r="B354" s="43"/>
      <c r="C354" s="44"/>
      <c r="D354" s="48"/>
      <c r="E354" s="45"/>
      <c r="F354" s="45"/>
      <c r="G354" s="65"/>
      <c r="H354" s="65"/>
      <c r="I354" s="63"/>
      <c r="J354" s="65"/>
      <c r="K354" s="65"/>
      <c r="L354" s="65"/>
      <c r="M354" s="65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18"/>
      <c r="AE354" s="18"/>
    </row>
    <row r="355" spans="1:31" ht="15.75" customHeight="1">
      <c r="A355" s="76"/>
      <c r="B355" s="43"/>
      <c r="C355" s="44"/>
      <c r="D355" s="48"/>
      <c r="E355" s="45"/>
      <c r="F355" s="45"/>
      <c r="G355" s="65"/>
      <c r="H355" s="65"/>
      <c r="I355" s="63"/>
      <c r="J355" s="65"/>
      <c r="K355" s="65"/>
      <c r="L355" s="65"/>
      <c r="M355" s="65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18"/>
      <c r="AE355" s="18"/>
    </row>
    <row r="356" spans="1:31" ht="15.75" customHeight="1">
      <c r="A356" s="76"/>
      <c r="B356" s="43"/>
      <c r="C356" s="44"/>
      <c r="D356" s="48"/>
      <c r="E356" s="45"/>
      <c r="F356" s="45"/>
      <c r="G356" s="65"/>
      <c r="H356" s="65"/>
      <c r="I356" s="63"/>
      <c r="J356" s="65"/>
      <c r="K356" s="65"/>
      <c r="L356" s="65"/>
      <c r="M356" s="65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18"/>
      <c r="AE356" s="18"/>
    </row>
    <row r="357" spans="1:31" ht="15.75" customHeight="1">
      <c r="A357" s="76"/>
      <c r="B357" s="43"/>
      <c r="C357" s="44"/>
      <c r="D357" s="48"/>
      <c r="E357" s="45"/>
      <c r="F357" s="45"/>
      <c r="G357" s="65"/>
      <c r="H357" s="65"/>
      <c r="I357" s="63"/>
      <c r="J357" s="65"/>
      <c r="K357" s="65"/>
      <c r="L357" s="65"/>
      <c r="M357" s="65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18"/>
      <c r="AE357" s="18"/>
    </row>
    <row r="358" spans="1:31" ht="15.75" customHeight="1">
      <c r="A358" s="76"/>
      <c r="B358" s="43"/>
      <c r="C358" s="44"/>
      <c r="D358" s="48"/>
      <c r="E358" s="45"/>
      <c r="F358" s="45"/>
      <c r="G358" s="65"/>
      <c r="H358" s="65"/>
      <c r="I358" s="63"/>
      <c r="J358" s="65"/>
      <c r="K358" s="65"/>
      <c r="L358" s="65"/>
      <c r="M358" s="65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18"/>
      <c r="AE358" s="18"/>
    </row>
    <row r="359" spans="1:31" ht="15.75" customHeight="1">
      <c r="A359" s="76"/>
      <c r="B359" s="43"/>
      <c r="C359" s="44"/>
      <c r="D359" s="48"/>
      <c r="E359" s="45"/>
      <c r="F359" s="45"/>
      <c r="G359" s="65"/>
      <c r="H359" s="65"/>
      <c r="I359" s="63"/>
      <c r="J359" s="65"/>
      <c r="K359" s="65"/>
      <c r="L359" s="65"/>
      <c r="M359" s="65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18"/>
      <c r="AE359" s="18"/>
    </row>
    <row r="360" spans="1:31" ht="15.75" customHeight="1">
      <c r="A360" s="76"/>
      <c r="B360" s="43"/>
      <c r="C360" s="44"/>
      <c r="D360" s="48"/>
      <c r="E360" s="45"/>
      <c r="F360" s="45"/>
      <c r="G360" s="65"/>
      <c r="H360" s="65"/>
      <c r="I360" s="63"/>
      <c r="J360" s="65"/>
      <c r="K360" s="65"/>
      <c r="L360" s="65"/>
      <c r="M360" s="65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18"/>
      <c r="AE360" s="18"/>
    </row>
    <row r="361" spans="1:31" ht="15.75" customHeight="1">
      <c r="A361" s="76"/>
      <c r="B361" s="43"/>
      <c r="C361" s="44"/>
      <c r="D361" s="48"/>
      <c r="E361" s="45"/>
      <c r="F361" s="45"/>
      <c r="G361" s="65"/>
      <c r="H361" s="65"/>
      <c r="I361" s="63"/>
      <c r="J361" s="65"/>
      <c r="K361" s="65"/>
      <c r="L361" s="65"/>
      <c r="M361" s="65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18"/>
      <c r="AE361" s="18"/>
    </row>
    <row r="362" spans="1:31" ht="15.75" customHeight="1">
      <c r="A362" s="76"/>
      <c r="B362" s="43"/>
      <c r="C362" s="44"/>
      <c r="D362" s="48"/>
      <c r="E362" s="45"/>
      <c r="F362" s="45"/>
      <c r="G362" s="65"/>
      <c r="H362" s="65"/>
      <c r="I362" s="63"/>
      <c r="J362" s="65"/>
      <c r="K362" s="65"/>
      <c r="L362" s="65"/>
      <c r="M362" s="65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18"/>
      <c r="AE362" s="18"/>
    </row>
    <row r="363" spans="1:31" ht="15.75" customHeight="1">
      <c r="A363" s="76"/>
      <c r="B363" s="43"/>
      <c r="C363" s="44"/>
      <c r="D363" s="48"/>
      <c r="E363" s="45"/>
      <c r="F363" s="45"/>
      <c r="G363" s="65"/>
      <c r="H363" s="65"/>
      <c r="I363" s="63"/>
      <c r="J363" s="65"/>
      <c r="K363" s="65"/>
      <c r="L363" s="65"/>
      <c r="M363" s="65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18"/>
      <c r="AE363" s="18"/>
    </row>
    <row r="364" spans="1:31" ht="15.75" customHeight="1">
      <c r="A364" s="76"/>
      <c r="B364" s="43"/>
      <c r="C364" s="44"/>
      <c r="D364" s="48"/>
      <c r="E364" s="45"/>
      <c r="F364" s="45"/>
      <c r="G364" s="65"/>
      <c r="H364" s="65"/>
      <c r="I364" s="63"/>
      <c r="J364" s="65"/>
      <c r="K364" s="65"/>
      <c r="L364" s="65"/>
      <c r="M364" s="65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18"/>
      <c r="AE364" s="18"/>
    </row>
    <row r="365" spans="1:31" ht="15.75" customHeight="1">
      <c r="A365" s="76"/>
      <c r="B365" s="43"/>
      <c r="C365" s="44"/>
      <c r="D365" s="48"/>
      <c r="E365" s="45"/>
      <c r="F365" s="45"/>
      <c r="G365" s="65"/>
      <c r="H365" s="65"/>
      <c r="I365" s="63"/>
      <c r="J365" s="65"/>
      <c r="K365" s="65"/>
      <c r="L365" s="65"/>
      <c r="M365" s="65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18"/>
      <c r="AE365" s="18"/>
    </row>
    <row r="366" spans="1:31" ht="15.75" customHeight="1">
      <c r="A366" s="76"/>
      <c r="B366" s="43"/>
      <c r="C366" s="44"/>
      <c r="D366" s="48"/>
      <c r="E366" s="45"/>
      <c r="F366" s="45"/>
      <c r="G366" s="65"/>
      <c r="H366" s="65"/>
      <c r="I366" s="63"/>
      <c r="J366" s="65"/>
      <c r="K366" s="65"/>
      <c r="L366" s="65"/>
      <c r="M366" s="65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18"/>
      <c r="AE366" s="18"/>
    </row>
    <row r="367" spans="1:31" ht="15.75" customHeight="1">
      <c r="A367" s="76"/>
      <c r="B367" s="43"/>
      <c r="C367" s="44"/>
      <c r="D367" s="48"/>
      <c r="E367" s="45"/>
      <c r="F367" s="45"/>
      <c r="G367" s="65"/>
      <c r="H367" s="65"/>
      <c r="I367" s="63"/>
      <c r="J367" s="65"/>
      <c r="K367" s="65"/>
      <c r="L367" s="65"/>
      <c r="M367" s="65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18"/>
      <c r="AE367" s="18"/>
    </row>
    <row r="368" spans="1:31" ht="15.75" customHeight="1">
      <c r="A368" s="76"/>
      <c r="B368" s="43"/>
      <c r="C368" s="44"/>
      <c r="D368" s="48"/>
      <c r="E368" s="45"/>
      <c r="F368" s="45"/>
      <c r="G368" s="65"/>
      <c r="H368" s="65"/>
      <c r="I368" s="63"/>
      <c r="J368" s="65"/>
      <c r="K368" s="65"/>
      <c r="L368" s="65"/>
      <c r="M368" s="65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18"/>
      <c r="AE368" s="18"/>
    </row>
    <row r="369" spans="1:31" ht="15.75" customHeight="1">
      <c r="A369" s="76"/>
      <c r="B369" s="43"/>
      <c r="C369" s="44"/>
      <c r="D369" s="48"/>
      <c r="E369" s="45"/>
      <c r="F369" s="45"/>
      <c r="G369" s="65"/>
      <c r="H369" s="65"/>
      <c r="I369" s="63"/>
      <c r="J369" s="65"/>
      <c r="K369" s="65"/>
      <c r="L369" s="65"/>
      <c r="M369" s="65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18"/>
      <c r="AE369" s="18"/>
    </row>
    <row r="370" spans="1:31" ht="15.75" customHeight="1">
      <c r="A370" s="76"/>
      <c r="B370" s="43"/>
      <c r="C370" s="44"/>
      <c r="D370" s="48"/>
      <c r="E370" s="45"/>
      <c r="F370" s="45"/>
      <c r="G370" s="65"/>
      <c r="H370" s="65"/>
      <c r="I370" s="63"/>
      <c r="J370" s="65"/>
      <c r="K370" s="65"/>
      <c r="L370" s="65"/>
      <c r="M370" s="65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18"/>
      <c r="AE370" s="18"/>
    </row>
    <row r="371" spans="1:31" ht="15.75" customHeight="1">
      <c r="A371" s="76"/>
      <c r="B371" s="43"/>
      <c r="C371" s="44"/>
      <c r="D371" s="48"/>
      <c r="E371" s="45"/>
      <c r="F371" s="45"/>
      <c r="G371" s="65"/>
      <c r="H371" s="65"/>
      <c r="I371" s="63"/>
      <c r="J371" s="65"/>
      <c r="K371" s="65"/>
      <c r="L371" s="65"/>
      <c r="M371" s="65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18"/>
      <c r="AE371" s="18"/>
    </row>
    <row r="372" spans="1:31" ht="15.75" customHeight="1">
      <c r="A372" s="76"/>
      <c r="B372" s="43"/>
      <c r="C372" s="44"/>
      <c r="D372" s="48"/>
      <c r="E372" s="45"/>
      <c r="F372" s="45"/>
      <c r="G372" s="65"/>
      <c r="H372" s="65"/>
      <c r="I372" s="63"/>
      <c r="J372" s="65"/>
      <c r="K372" s="65"/>
      <c r="L372" s="65"/>
      <c r="M372" s="65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18"/>
      <c r="AE372" s="18"/>
    </row>
    <row r="373" spans="1:31" ht="15.75" customHeight="1">
      <c r="A373" s="76"/>
      <c r="B373" s="43"/>
      <c r="C373" s="44"/>
      <c r="D373" s="48"/>
      <c r="E373" s="45"/>
      <c r="F373" s="45"/>
      <c r="G373" s="65"/>
      <c r="H373" s="65"/>
      <c r="I373" s="63"/>
      <c r="J373" s="65"/>
      <c r="K373" s="65"/>
      <c r="L373" s="65"/>
      <c r="M373" s="65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18"/>
      <c r="AE373" s="18"/>
    </row>
    <row r="374" spans="1:31" ht="15.75" customHeight="1">
      <c r="A374" s="76"/>
      <c r="B374" s="43"/>
      <c r="C374" s="44"/>
      <c r="D374" s="48"/>
      <c r="E374" s="45"/>
      <c r="F374" s="45"/>
      <c r="G374" s="65"/>
      <c r="H374" s="65"/>
      <c r="I374" s="63"/>
      <c r="J374" s="65"/>
      <c r="K374" s="65"/>
      <c r="L374" s="65"/>
      <c r="M374" s="65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18"/>
      <c r="AE374" s="18"/>
    </row>
    <row r="375" spans="1:31" ht="15.75" customHeight="1">
      <c r="A375" s="76"/>
      <c r="B375" s="43"/>
      <c r="C375" s="44"/>
      <c r="D375" s="48"/>
      <c r="E375" s="45"/>
      <c r="F375" s="45"/>
      <c r="G375" s="65"/>
      <c r="H375" s="65"/>
      <c r="I375" s="63"/>
      <c r="J375" s="65"/>
      <c r="K375" s="65"/>
      <c r="L375" s="65"/>
      <c r="M375" s="65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18"/>
      <c r="AE375" s="18"/>
    </row>
    <row r="376" spans="1:31" ht="15.75" customHeight="1">
      <c r="A376" s="76"/>
      <c r="B376" s="43"/>
      <c r="C376" s="44"/>
      <c r="D376" s="48"/>
      <c r="E376" s="45"/>
      <c r="F376" s="45"/>
      <c r="G376" s="65"/>
      <c r="H376" s="65"/>
      <c r="I376" s="63"/>
      <c r="J376" s="65"/>
      <c r="K376" s="65"/>
      <c r="L376" s="65"/>
      <c r="M376" s="65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18"/>
      <c r="AE376" s="18"/>
    </row>
    <row r="377" spans="1:31" ht="15.75" customHeight="1">
      <c r="A377" s="76"/>
      <c r="B377" s="43"/>
      <c r="C377" s="44"/>
      <c r="D377" s="48"/>
      <c r="E377" s="45"/>
      <c r="F377" s="45"/>
      <c r="G377" s="65"/>
      <c r="H377" s="65"/>
      <c r="I377" s="63"/>
      <c r="J377" s="65"/>
      <c r="K377" s="65"/>
      <c r="L377" s="65"/>
      <c r="M377" s="65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18"/>
      <c r="AE377" s="18"/>
    </row>
    <row r="378" spans="1:31" ht="15.75" customHeight="1">
      <c r="A378" s="76"/>
      <c r="B378" s="43"/>
      <c r="C378" s="44"/>
      <c r="D378" s="48"/>
      <c r="E378" s="45"/>
      <c r="F378" s="45"/>
      <c r="G378" s="65"/>
      <c r="H378" s="65"/>
      <c r="I378" s="63"/>
      <c r="J378" s="65"/>
      <c r="K378" s="65"/>
      <c r="L378" s="65"/>
      <c r="M378" s="65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18"/>
      <c r="AE378" s="18"/>
    </row>
    <row r="379" spans="1:31" ht="15.75" customHeight="1">
      <c r="A379" s="76"/>
      <c r="B379" s="43"/>
      <c r="C379" s="44"/>
      <c r="D379" s="48"/>
      <c r="E379" s="45"/>
      <c r="F379" s="45"/>
      <c r="G379" s="65"/>
      <c r="H379" s="65"/>
      <c r="I379" s="63"/>
      <c r="J379" s="65"/>
      <c r="K379" s="65"/>
      <c r="L379" s="65"/>
      <c r="M379" s="65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18"/>
      <c r="AE379" s="18"/>
    </row>
    <row r="380" spans="1:31" ht="15.75" customHeight="1">
      <c r="A380" s="76"/>
      <c r="B380" s="43"/>
      <c r="C380" s="44"/>
      <c r="D380" s="48"/>
      <c r="E380" s="45"/>
      <c r="F380" s="45"/>
      <c r="G380" s="65"/>
      <c r="H380" s="65"/>
      <c r="I380" s="63"/>
      <c r="J380" s="65"/>
      <c r="K380" s="65"/>
      <c r="L380" s="65"/>
      <c r="M380" s="65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18"/>
      <c r="AE380" s="18"/>
    </row>
    <row r="381" spans="1:31" ht="15.75" customHeight="1">
      <c r="A381" s="76"/>
      <c r="B381" s="43"/>
      <c r="C381" s="44"/>
      <c r="D381" s="48"/>
      <c r="E381" s="45"/>
      <c r="F381" s="45"/>
      <c r="G381" s="65"/>
      <c r="H381" s="65"/>
      <c r="I381" s="63"/>
      <c r="J381" s="65"/>
      <c r="K381" s="65"/>
      <c r="L381" s="65"/>
      <c r="M381" s="65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18"/>
      <c r="AE381" s="18"/>
    </row>
    <row r="382" spans="1:31" ht="15.75" customHeight="1">
      <c r="A382" s="76"/>
      <c r="B382" s="43"/>
      <c r="C382" s="44"/>
      <c r="D382" s="48"/>
      <c r="E382" s="45"/>
      <c r="F382" s="45"/>
      <c r="G382" s="65"/>
      <c r="H382" s="65"/>
      <c r="I382" s="63"/>
      <c r="J382" s="65"/>
      <c r="K382" s="65"/>
      <c r="L382" s="65"/>
      <c r="M382" s="65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18"/>
      <c r="AE382" s="18"/>
    </row>
    <row r="383" spans="1:31" ht="15.75" customHeight="1">
      <c r="A383" s="76"/>
      <c r="B383" s="43"/>
      <c r="C383" s="44"/>
      <c r="D383" s="48"/>
      <c r="E383" s="45"/>
      <c r="F383" s="45"/>
      <c r="G383" s="65"/>
      <c r="H383" s="65"/>
      <c r="I383" s="63"/>
      <c r="J383" s="65"/>
      <c r="K383" s="65"/>
      <c r="L383" s="65"/>
      <c r="M383" s="65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18"/>
      <c r="AE383" s="18"/>
    </row>
    <row r="384" spans="1:31" ht="15.75" customHeight="1">
      <c r="A384" s="76"/>
      <c r="B384" s="43"/>
      <c r="C384" s="44"/>
      <c r="D384" s="48"/>
      <c r="E384" s="45"/>
      <c r="F384" s="45"/>
      <c r="G384" s="65"/>
      <c r="H384" s="65"/>
      <c r="I384" s="63"/>
      <c r="J384" s="65"/>
      <c r="K384" s="65"/>
      <c r="L384" s="65"/>
      <c r="M384" s="65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18"/>
      <c r="AE384" s="18"/>
    </row>
    <row r="385" spans="1:31" ht="15.75" customHeight="1">
      <c r="A385" s="76"/>
      <c r="B385" s="43"/>
      <c r="C385" s="44"/>
      <c r="D385" s="48"/>
      <c r="E385" s="45"/>
      <c r="F385" s="45"/>
      <c r="G385" s="65"/>
      <c r="H385" s="65"/>
      <c r="I385" s="63"/>
      <c r="J385" s="65"/>
      <c r="K385" s="65"/>
      <c r="L385" s="65"/>
      <c r="M385" s="65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18"/>
      <c r="AE385" s="18"/>
    </row>
    <row r="386" spans="1:31" ht="15.75" customHeight="1">
      <c r="A386" s="76"/>
      <c r="B386" s="43"/>
      <c r="C386" s="44"/>
      <c r="D386" s="48"/>
      <c r="E386" s="45"/>
      <c r="F386" s="45"/>
      <c r="G386" s="65"/>
      <c r="H386" s="65"/>
      <c r="I386" s="63"/>
      <c r="J386" s="65"/>
      <c r="K386" s="65"/>
      <c r="L386" s="65"/>
      <c r="M386" s="65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18"/>
      <c r="AE386" s="18"/>
    </row>
    <row r="387" spans="1:31" ht="15.75" customHeight="1">
      <c r="A387" s="76"/>
      <c r="B387" s="43"/>
      <c r="C387" s="44"/>
      <c r="D387" s="48"/>
      <c r="E387" s="45"/>
      <c r="F387" s="45"/>
      <c r="G387" s="65"/>
      <c r="H387" s="65"/>
      <c r="I387" s="63"/>
      <c r="J387" s="65"/>
      <c r="K387" s="65"/>
      <c r="L387" s="65"/>
      <c r="M387" s="65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18"/>
      <c r="AE387" s="18"/>
    </row>
    <row r="388" spans="1:31" ht="15.75" customHeight="1">
      <c r="A388" s="76"/>
      <c r="B388" s="43"/>
      <c r="C388" s="44"/>
      <c r="D388" s="48"/>
      <c r="E388" s="45"/>
      <c r="F388" s="45"/>
      <c r="G388" s="65"/>
      <c r="H388" s="65"/>
      <c r="I388" s="63"/>
      <c r="J388" s="65"/>
      <c r="K388" s="65"/>
      <c r="L388" s="65"/>
      <c r="M388" s="65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18"/>
      <c r="AE388" s="18"/>
    </row>
    <row r="389" spans="1:31" ht="15.75" customHeight="1">
      <c r="A389" s="76"/>
      <c r="B389" s="43"/>
      <c r="C389" s="44"/>
      <c r="D389" s="48"/>
      <c r="E389" s="45"/>
      <c r="F389" s="45"/>
      <c r="G389" s="65"/>
      <c r="H389" s="65"/>
      <c r="I389" s="63"/>
      <c r="J389" s="65"/>
      <c r="K389" s="65"/>
      <c r="L389" s="65"/>
      <c r="M389" s="65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18"/>
      <c r="AE389" s="18"/>
    </row>
    <row r="390" spans="1:31" ht="15.75" customHeight="1">
      <c r="A390" s="76"/>
      <c r="B390" s="43"/>
      <c r="C390" s="44"/>
      <c r="D390" s="48"/>
      <c r="E390" s="45"/>
      <c r="F390" s="45"/>
      <c r="G390" s="65"/>
      <c r="H390" s="65"/>
      <c r="I390" s="63"/>
      <c r="J390" s="65"/>
      <c r="K390" s="65"/>
      <c r="L390" s="65"/>
      <c r="M390" s="65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18"/>
      <c r="AE390" s="18"/>
    </row>
    <row r="391" spans="1:31" ht="15.75" customHeight="1">
      <c r="A391" s="76"/>
      <c r="B391" s="43"/>
      <c r="C391" s="44"/>
      <c r="D391" s="48"/>
      <c r="E391" s="45"/>
      <c r="F391" s="45"/>
      <c r="G391" s="65"/>
      <c r="H391" s="65"/>
      <c r="I391" s="63"/>
      <c r="J391" s="65"/>
      <c r="K391" s="65"/>
      <c r="L391" s="65"/>
      <c r="M391" s="65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18"/>
      <c r="AE391" s="18"/>
    </row>
    <row r="392" spans="1:31" ht="15.75" customHeight="1">
      <c r="A392" s="76"/>
      <c r="B392" s="43"/>
      <c r="C392" s="44"/>
      <c r="D392" s="48"/>
      <c r="E392" s="45"/>
      <c r="F392" s="45"/>
      <c r="G392" s="65"/>
      <c r="H392" s="65"/>
      <c r="I392" s="63"/>
      <c r="J392" s="65"/>
      <c r="K392" s="65"/>
      <c r="L392" s="65"/>
      <c r="M392" s="65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18"/>
      <c r="AE392" s="18"/>
    </row>
    <row r="393" spans="1:31" ht="15.75" customHeight="1">
      <c r="A393" s="76"/>
      <c r="B393" s="43"/>
      <c r="C393" s="44"/>
      <c r="D393" s="48"/>
      <c r="E393" s="45"/>
      <c r="F393" s="45"/>
      <c r="G393" s="65"/>
      <c r="H393" s="65"/>
      <c r="I393" s="63"/>
      <c r="J393" s="65"/>
      <c r="K393" s="65"/>
      <c r="L393" s="65"/>
      <c r="M393" s="65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18"/>
      <c r="AE393" s="18"/>
    </row>
    <row r="394" spans="1:31" ht="15.75" customHeight="1">
      <c r="A394" s="76"/>
      <c r="B394" s="43"/>
      <c r="C394" s="44"/>
      <c r="D394" s="48"/>
      <c r="E394" s="45"/>
      <c r="F394" s="45"/>
      <c r="G394" s="65"/>
      <c r="H394" s="65"/>
      <c r="I394" s="63"/>
      <c r="J394" s="65"/>
      <c r="K394" s="65"/>
      <c r="L394" s="65"/>
      <c r="M394" s="65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18"/>
      <c r="AE394" s="18"/>
    </row>
    <row r="395" spans="1:31" ht="15.75" customHeight="1">
      <c r="A395" s="76"/>
      <c r="B395" s="43"/>
      <c r="C395" s="44"/>
      <c r="D395" s="48"/>
      <c r="E395" s="45"/>
      <c r="F395" s="45"/>
      <c r="G395" s="65"/>
      <c r="H395" s="65"/>
      <c r="I395" s="63"/>
      <c r="J395" s="65"/>
      <c r="K395" s="65"/>
      <c r="L395" s="65"/>
      <c r="M395" s="65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18"/>
      <c r="AE395" s="18"/>
    </row>
    <row r="396" spans="1:31" ht="15.75" customHeight="1">
      <c r="A396" s="76"/>
      <c r="B396" s="43"/>
      <c r="C396" s="44"/>
      <c r="D396" s="48"/>
      <c r="E396" s="45"/>
      <c r="F396" s="45"/>
      <c r="G396" s="65"/>
      <c r="H396" s="65"/>
      <c r="I396" s="63"/>
      <c r="J396" s="65"/>
      <c r="K396" s="65"/>
      <c r="L396" s="65"/>
      <c r="M396" s="65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18"/>
      <c r="AE396" s="18"/>
    </row>
    <row r="397" spans="1:31" ht="15.75" customHeight="1">
      <c r="A397" s="76"/>
      <c r="B397" s="43"/>
      <c r="C397" s="44"/>
      <c r="D397" s="48"/>
      <c r="E397" s="45"/>
      <c r="F397" s="45"/>
      <c r="G397" s="65"/>
      <c r="H397" s="65"/>
      <c r="I397" s="63"/>
      <c r="J397" s="65"/>
      <c r="K397" s="65"/>
      <c r="L397" s="65"/>
      <c r="M397" s="65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18"/>
      <c r="AE397" s="18"/>
    </row>
    <row r="398" spans="1:31" ht="15.75" customHeight="1">
      <c r="A398" s="76"/>
      <c r="B398" s="43"/>
      <c r="C398" s="44"/>
      <c r="D398" s="48"/>
      <c r="E398" s="45"/>
      <c r="F398" s="45"/>
      <c r="G398" s="65"/>
      <c r="H398" s="65"/>
      <c r="I398" s="63"/>
      <c r="J398" s="65"/>
      <c r="K398" s="65"/>
      <c r="L398" s="65"/>
      <c r="M398" s="65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18"/>
      <c r="AE398" s="18"/>
    </row>
    <row r="399" spans="1:31" ht="15.75" customHeight="1">
      <c r="A399" s="76"/>
      <c r="B399" s="43"/>
      <c r="C399" s="44"/>
      <c r="D399" s="48"/>
      <c r="E399" s="45"/>
      <c r="F399" s="45"/>
      <c r="G399" s="65"/>
      <c r="H399" s="65"/>
      <c r="I399" s="63"/>
      <c r="J399" s="65"/>
      <c r="K399" s="65"/>
      <c r="L399" s="65"/>
      <c r="M399" s="65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18"/>
      <c r="AE399" s="18"/>
    </row>
    <row r="400" spans="1:31" ht="15.75" customHeight="1">
      <c r="A400" s="76"/>
      <c r="B400" s="43"/>
      <c r="C400" s="44"/>
      <c r="D400" s="48"/>
      <c r="E400" s="45"/>
      <c r="F400" s="45"/>
      <c r="G400" s="65"/>
      <c r="H400" s="65"/>
      <c r="I400" s="63"/>
      <c r="J400" s="65"/>
      <c r="K400" s="65"/>
      <c r="L400" s="65"/>
      <c r="M400" s="65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18"/>
      <c r="AE400" s="18"/>
    </row>
    <row r="401" spans="1:31" ht="15.75" customHeight="1">
      <c r="A401" s="76"/>
      <c r="B401" s="43"/>
      <c r="C401" s="44"/>
      <c r="D401" s="48"/>
      <c r="E401" s="45"/>
      <c r="F401" s="45"/>
      <c r="G401" s="65"/>
      <c r="H401" s="65"/>
      <c r="I401" s="63"/>
      <c r="J401" s="65"/>
      <c r="K401" s="65"/>
      <c r="L401" s="65"/>
      <c r="M401" s="65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18"/>
      <c r="AE401" s="18"/>
    </row>
    <row r="402" spans="1:31" ht="15.75" customHeight="1">
      <c r="A402" s="76"/>
      <c r="B402" s="43"/>
      <c r="C402" s="44"/>
      <c r="D402" s="48"/>
      <c r="E402" s="45"/>
      <c r="F402" s="45"/>
      <c r="G402" s="65"/>
      <c r="H402" s="65"/>
      <c r="I402" s="63"/>
      <c r="J402" s="65"/>
      <c r="K402" s="65"/>
      <c r="L402" s="65"/>
      <c r="M402" s="65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18"/>
      <c r="AE402" s="18"/>
    </row>
    <row r="403" spans="1:31" ht="15.75" customHeight="1">
      <c r="A403" s="76"/>
      <c r="B403" s="43"/>
      <c r="C403" s="44"/>
      <c r="D403" s="48"/>
      <c r="E403" s="45"/>
      <c r="F403" s="45"/>
      <c r="G403" s="65"/>
      <c r="H403" s="65"/>
      <c r="I403" s="63"/>
      <c r="J403" s="65"/>
      <c r="K403" s="65"/>
      <c r="L403" s="65"/>
      <c r="M403" s="65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18"/>
      <c r="AE403" s="18"/>
    </row>
    <row r="404" spans="1:31" ht="15.75" customHeight="1">
      <c r="A404" s="76"/>
      <c r="B404" s="43"/>
      <c r="C404" s="44"/>
      <c r="D404" s="48"/>
      <c r="E404" s="45"/>
      <c r="F404" s="45"/>
      <c r="G404" s="65"/>
      <c r="H404" s="65"/>
      <c r="I404" s="63"/>
      <c r="J404" s="65"/>
      <c r="K404" s="65"/>
      <c r="L404" s="65"/>
      <c r="M404" s="65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18"/>
      <c r="AE404" s="18"/>
    </row>
    <row r="405" spans="1:31" ht="15.75" customHeight="1">
      <c r="A405" s="76"/>
      <c r="B405" s="43"/>
      <c r="C405" s="44"/>
      <c r="D405" s="48"/>
      <c r="E405" s="45"/>
      <c r="F405" s="45"/>
      <c r="G405" s="65"/>
      <c r="H405" s="65"/>
      <c r="I405" s="63"/>
      <c r="J405" s="65"/>
      <c r="K405" s="65"/>
      <c r="L405" s="65"/>
      <c r="M405" s="65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18"/>
      <c r="AE405" s="18"/>
    </row>
    <row r="406" spans="1:31" ht="15.75" customHeight="1">
      <c r="A406" s="76"/>
      <c r="B406" s="43"/>
      <c r="C406" s="44"/>
      <c r="D406" s="48"/>
      <c r="E406" s="45"/>
      <c r="F406" s="45"/>
      <c r="G406" s="65"/>
      <c r="H406" s="65"/>
      <c r="I406" s="63"/>
      <c r="J406" s="65"/>
      <c r="K406" s="65"/>
      <c r="L406" s="65"/>
      <c r="M406" s="65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18"/>
      <c r="AE406" s="18"/>
    </row>
    <row r="407" spans="1:31" ht="15.75" customHeight="1">
      <c r="A407" s="76"/>
      <c r="B407" s="43"/>
      <c r="C407" s="44"/>
      <c r="D407" s="48"/>
      <c r="E407" s="45"/>
      <c r="F407" s="45"/>
      <c r="G407" s="65"/>
      <c r="H407" s="65"/>
      <c r="I407" s="63"/>
      <c r="J407" s="65"/>
      <c r="K407" s="65"/>
      <c r="L407" s="65"/>
      <c r="M407" s="65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18"/>
      <c r="AE407" s="18"/>
    </row>
    <row r="408" spans="1:31" ht="15.75" customHeight="1">
      <c r="A408" s="76"/>
      <c r="B408" s="43"/>
      <c r="C408" s="44"/>
      <c r="D408" s="48"/>
      <c r="E408" s="45"/>
      <c r="F408" s="45"/>
      <c r="G408" s="65"/>
      <c r="H408" s="65"/>
      <c r="I408" s="63"/>
      <c r="J408" s="65"/>
      <c r="K408" s="65"/>
      <c r="L408" s="65"/>
      <c r="M408" s="65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18"/>
      <c r="AE408" s="18"/>
    </row>
    <row r="409" spans="1:31" ht="15.75" customHeight="1">
      <c r="A409" s="76"/>
      <c r="B409" s="43"/>
      <c r="C409" s="44"/>
      <c r="D409" s="48"/>
      <c r="E409" s="45"/>
      <c r="F409" s="45"/>
      <c r="G409" s="65"/>
      <c r="H409" s="65"/>
      <c r="I409" s="63"/>
      <c r="J409" s="65"/>
      <c r="K409" s="65"/>
      <c r="L409" s="65"/>
      <c r="M409" s="65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18"/>
      <c r="AE409" s="18"/>
    </row>
    <row r="410" spans="1:31" ht="15.75" customHeight="1">
      <c r="A410" s="76"/>
      <c r="B410" s="43"/>
      <c r="C410" s="44"/>
      <c r="D410" s="48"/>
      <c r="E410" s="45"/>
      <c r="F410" s="45"/>
      <c r="G410" s="65"/>
      <c r="H410" s="65"/>
      <c r="I410" s="63"/>
      <c r="J410" s="65"/>
      <c r="K410" s="65"/>
      <c r="L410" s="65"/>
      <c r="M410" s="65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18"/>
      <c r="AE410" s="18"/>
    </row>
    <row r="411" spans="1:31" ht="15.75" customHeight="1">
      <c r="A411" s="76"/>
      <c r="B411" s="43"/>
      <c r="C411" s="44"/>
      <c r="D411" s="48"/>
      <c r="E411" s="45"/>
      <c r="F411" s="45"/>
      <c r="G411" s="65"/>
      <c r="H411" s="65"/>
      <c r="I411" s="63"/>
      <c r="J411" s="65"/>
      <c r="K411" s="65"/>
      <c r="L411" s="65"/>
      <c r="M411" s="65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18"/>
      <c r="AE411" s="18"/>
    </row>
    <row r="412" spans="1:31" ht="15.75" customHeight="1">
      <c r="A412" s="76"/>
      <c r="B412" s="43"/>
      <c r="C412" s="44"/>
      <c r="D412" s="48"/>
      <c r="E412" s="45"/>
      <c r="F412" s="45"/>
      <c r="G412" s="65"/>
      <c r="H412" s="65"/>
      <c r="I412" s="63"/>
      <c r="J412" s="65"/>
      <c r="K412" s="65"/>
      <c r="L412" s="65"/>
      <c r="M412" s="65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18"/>
      <c r="AE412" s="18"/>
    </row>
    <row r="413" spans="1:31" ht="15.75" customHeight="1">
      <c r="A413" s="76"/>
      <c r="B413" s="43"/>
      <c r="C413" s="44"/>
      <c r="D413" s="48"/>
      <c r="E413" s="45"/>
      <c r="F413" s="45"/>
      <c r="G413" s="65"/>
      <c r="H413" s="65"/>
      <c r="I413" s="63"/>
      <c r="J413" s="65"/>
      <c r="K413" s="65"/>
      <c r="L413" s="65"/>
      <c r="M413" s="65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18"/>
      <c r="AE413" s="18"/>
    </row>
    <row r="414" spans="1:31" ht="15.75" customHeight="1">
      <c r="A414" s="76"/>
      <c r="B414" s="43"/>
      <c r="C414" s="44"/>
      <c r="D414" s="48"/>
      <c r="E414" s="45"/>
      <c r="F414" s="45"/>
      <c r="G414" s="65"/>
      <c r="H414" s="65"/>
      <c r="I414" s="63"/>
      <c r="J414" s="65"/>
      <c r="K414" s="65"/>
      <c r="L414" s="65"/>
      <c r="M414" s="65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18"/>
      <c r="AE414" s="18"/>
    </row>
    <row r="415" spans="1:31" ht="15.75" customHeight="1">
      <c r="A415" s="76"/>
      <c r="B415" s="43"/>
      <c r="C415" s="44"/>
      <c r="D415" s="48"/>
      <c r="E415" s="45"/>
      <c r="F415" s="45"/>
      <c r="G415" s="65"/>
      <c r="H415" s="65"/>
      <c r="I415" s="63"/>
      <c r="J415" s="65"/>
      <c r="K415" s="65"/>
      <c r="L415" s="65"/>
      <c r="M415" s="65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18"/>
      <c r="AE415" s="18"/>
    </row>
    <row r="416" spans="1:31" ht="15.75" customHeight="1">
      <c r="A416" s="76"/>
      <c r="B416" s="43"/>
      <c r="C416" s="44"/>
      <c r="D416" s="48"/>
      <c r="E416" s="45"/>
      <c r="F416" s="45"/>
      <c r="G416" s="65"/>
      <c r="H416" s="65"/>
      <c r="I416" s="63"/>
      <c r="J416" s="65"/>
      <c r="K416" s="65"/>
      <c r="L416" s="65"/>
      <c r="M416" s="65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18"/>
      <c r="AE416" s="18"/>
    </row>
    <row r="417" spans="1:31" ht="15.75" customHeight="1">
      <c r="A417" s="76"/>
      <c r="B417" s="43"/>
      <c r="C417" s="44"/>
      <c r="D417" s="48"/>
      <c r="E417" s="45"/>
      <c r="F417" s="45"/>
      <c r="G417" s="65"/>
      <c r="H417" s="65"/>
      <c r="I417" s="63"/>
      <c r="J417" s="65"/>
      <c r="K417" s="65"/>
      <c r="L417" s="65"/>
      <c r="M417" s="65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18"/>
      <c r="AE417" s="18"/>
    </row>
    <row r="418" spans="1:31" ht="15.75" customHeight="1">
      <c r="A418" s="76"/>
      <c r="B418" s="43"/>
      <c r="C418" s="44"/>
      <c r="D418" s="48"/>
      <c r="E418" s="45"/>
      <c r="F418" s="45"/>
      <c r="G418" s="65"/>
      <c r="H418" s="65"/>
      <c r="I418" s="63"/>
      <c r="J418" s="65"/>
      <c r="K418" s="65"/>
      <c r="L418" s="65"/>
      <c r="M418" s="65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18"/>
      <c r="AE418" s="18"/>
    </row>
    <row r="419" spans="1:31" ht="15.75" customHeight="1">
      <c r="A419" s="76"/>
      <c r="B419" s="43"/>
      <c r="C419" s="44"/>
      <c r="D419" s="48"/>
      <c r="E419" s="45"/>
      <c r="F419" s="45"/>
      <c r="G419" s="65"/>
      <c r="H419" s="65"/>
      <c r="I419" s="63"/>
      <c r="J419" s="65"/>
      <c r="K419" s="65"/>
      <c r="L419" s="65"/>
      <c r="M419" s="65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18"/>
      <c r="AE419" s="18"/>
    </row>
    <row r="420" spans="1:31" ht="15.75" customHeight="1">
      <c r="A420" s="76"/>
      <c r="B420" s="43"/>
      <c r="C420" s="44"/>
      <c r="D420" s="48"/>
      <c r="E420" s="45"/>
      <c r="F420" s="45"/>
      <c r="G420" s="65"/>
      <c r="H420" s="65"/>
      <c r="I420" s="63"/>
      <c r="J420" s="65"/>
      <c r="K420" s="65"/>
      <c r="L420" s="65"/>
      <c r="M420" s="65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18"/>
      <c r="AE420" s="18"/>
    </row>
    <row r="421" spans="1:31" ht="15.75" customHeight="1">
      <c r="A421" s="76"/>
      <c r="B421" s="43"/>
      <c r="C421" s="44"/>
      <c r="D421" s="48"/>
      <c r="E421" s="45"/>
      <c r="F421" s="45"/>
      <c r="G421" s="65"/>
      <c r="H421" s="65"/>
      <c r="I421" s="63"/>
      <c r="J421" s="65"/>
      <c r="K421" s="65"/>
      <c r="L421" s="65"/>
      <c r="M421" s="65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18"/>
      <c r="AE421" s="18"/>
    </row>
    <row r="422" spans="1:31" ht="15.75" customHeight="1">
      <c r="A422" s="76"/>
      <c r="B422" s="43"/>
      <c r="C422" s="44"/>
      <c r="D422" s="48"/>
      <c r="E422" s="45"/>
      <c r="F422" s="45"/>
      <c r="G422" s="65"/>
      <c r="H422" s="65"/>
      <c r="I422" s="63"/>
      <c r="J422" s="65"/>
      <c r="K422" s="65"/>
      <c r="L422" s="65"/>
      <c r="M422" s="65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18"/>
      <c r="AE422" s="18"/>
    </row>
    <row r="423" spans="1:31" ht="15.75" customHeight="1">
      <c r="A423" s="76"/>
      <c r="B423" s="43"/>
      <c r="C423" s="44"/>
      <c r="D423" s="48"/>
      <c r="E423" s="45"/>
      <c r="F423" s="45"/>
      <c r="G423" s="65"/>
      <c r="H423" s="65"/>
      <c r="I423" s="63"/>
      <c r="J423" s="65"/>
      <c r="K423" s="65"/>
      <c r="L423" s="65"/>
      <c r="M423" s="65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18"/>
      <c r="AE423" s="18"/>
    </row>
    <row r="424" spans="1:31" ht="15.75" customHeight="1">
      <c r="A424" s="76"/>
      <c r="B424" s="43"/>
      <c r="C424" s="44"/>
      <c r="D424" s="48"/>
      <c r="E424" s="45"/>
      <c r="F424" s="45"/>
      <c r="G424" s="65"/>
      <c r="H424" s="65"/>
      <c r="I424" s="63"/>
      <c r="J424" s="65"/>
      <c r="K424" s="65"/>
      <c r="L424" s="65"/>
      <c r="M424" s="65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18"/>
      <c r="AE424" s="18"/>
    </row>
    <row r="425" spans="1:31" ht="15.75" customHeight="1">
      <c r="A425" s="76"/>
      <c r="B425" s="43"/>
      <c r="C425" s="44"/>
      <c r="D425" s="48"/>
      <c r="E425" s="45"/>
      <c r="F425" s="45"/>
      <c r="G425" s="65"/>
      <c r="H425" s="65"/>
      <c r="I425" s="63"/>
      <c r="J425" s="65"/>
      <c r="K425" s="65"/>
      <c r="L425" s="65"/>
      <c r="M425" s="65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18"/>
      <c r="AE425" s="18"/>
    </row>
    <row r="426" spans="1:31" ht="15.75" customHeight="1">
      <c r="A426" s="76"/>
      <c r="B426" s="43"/>
      <c r="C426" s="44"/>
      <c r="D426" s="48"/>
      <c r="E426" s="45"/>
      <c r="F426" s="45"/>
      <c r="G426" s="65"/>
      <c r="H426" s="65"/>
      <c r="I426" s="63"/>
      <c r="J426" s="65"/>
      <c r="K426" s="65"/>
      <c r="L426" s="65"/>
      <c r="M426" s="65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18"/>
      <c r="AE426" s="18"/>
    </row>
    <row r="427" spans="1:31" ht="15.75" customHeight="1">
      <c r="A427" s="76"/>
      <c r="B427" s="43"/>
      <c r="C427" s="44"/>
      <c r="D427" s="48"/>
      <c r="E427" s="45"/>
      <c r="F427" s="45"/>
      <c r="G427" s="65"/>
      <c r="H427" s="65"/>
      <c r="I427" s="63"/>
      <c r="J427" s="65"/>
      <c r="K427" s="65"/>
      <c r="L427" s="65"/>
      <c r="M427" s="65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18"/>
      <c r="AE427" s="18"/>
    </row>
    <row r="428" spans="1:31" ht="15.75" customHeight="1">
      <c r="A428" s="76"/>
      <c r="B428" s="43"/>
      <c r="C428" s="44"/>
      <c r="D428" s="48"/>
      <c r="E428" s="45"/>
      <c r="F428" s="45"/>
      <c r="G428" s="65"/>
      <c r="H428" s="65"/>
      <c r="I428" s="63"/>
      <c r="J428" s="65"/>
      <c r="K428" s="65"/>
      <c r="L428" s="65"/>
      <c r="M428" s="65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18"/>
      <c r="AE428" s="18"/>
    </row>
    <row r="429" spans="1:31" ht="15.75" customHeight="1">
      <c r="A429" s="76"/>
      <c r="B429" s="43"/>
      <c r="C429" s="44"/>
      <c r="D429" s="48"/>
      <c r="E429" s="45"/>
      <c r="F429" s="45"/>
      <c r="G429" s="65"/>
      <c r="H429" s="65"/>
      <c r="I429" s="63"/>
      <c r="J429" s="65"/>
      <c r="K429" s="65"/>
      <c r="L429" s="65"/>
      <c r="M429" s="65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18"/>
      <c r="AE429" s="18"/>
    </row>
    <row r="430" spans="1:31" ht="15.75" customHeight="1">
      <c r="A430" s="76"/>
      <c r="B430" s="43"/>
      <c r="C430" s="44"/>
      <c r="D430" s="48"/>
      <c r="E430" s="45"/>
      <c r="F430" s="45"/>
      <c r="G430" s="65"/>
      <c r="H430" s="65"/>
      <c r="I430" s="63"/>
      <c r="J430" s="65"/>
      <c r="K430" s="65"/>
      <c r="L430" s="65"/>
      <c r="M430" s="65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18"/>
      <c r="AE430" s="18"/>
    </row>
    <row r="431" spans="1:31" ht="15.75" customHeight="1">
      <c r="A431" s="76"/>
      <c r="B431" s="43"/>
      <c r="C431" s="44"/>
      <c r="D431" s="48"/>
      <c r="E431" s="45"/>
      <c r="F431" s="45"/>
      <c r="G431" s="65"/>
      <c r="H431" s="65"/>
      <c r="I431" s="63"/>
      <c r="J431" s="65"/>
      <c r="K431" s="65"/>
      <c r="L431" s="65"/>
      <c r="M431" s="65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18"/>
      <c r="AE431" s="18"/>
    </row>
    <row r="432" spans="1:31" ht="15.75" customHeight="1">
      <c r="A432" s="76"/>
      <c r="B432" s="43"/>
      <c r="C432" s="44"/>
      <c r="D432" s="48"/>
      <c r="E432" s="45"/>
      <c r="F432" s="45"/>
      <c r="G432" s="65"/>
      <c r="H432" s="65"/>
      <c r="I432" s="63"/>
      <c r="J432" s="65"/>
      <c r="K432" s="65"/>
      <c r="L432" s="65"/>
      <c r="M432" s="65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18"/>
      <c r="AE432" s="18"/>
    </row>
    <row r="433" spans="1:31" ht="15.75" customHeight="1">
      <c r="A433" s="76"/>
      <c r="B433" s="43"/>
      <c r="C433" s="44"/>
      <c r="D433" s="48"/>
      <c r="E433" s="45"/>
      <c r="F433" s="45"/>
      <c r="G433" s="65"/>
      <c r="H433" s="65"/>
      <c r="I433" s="63"/>
      <c r="J433" s="65"/>
      <c r="K433" s="65"/>
      <c r="L433" s="65"/>
      <c r="M433" s="65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18"/>
      <c r="AE433" s="18"/>
    </row>
    <row r="434" spans="1:31" ht="15.75" customHeight="1">
      <c r="A434" s="76"/>
      <c r="B434" s="43"/>
      <c r="C434" s="44"/>
      <c r="D434" s="48"/>
      <c r="E434" s="45"/>
      <c r="F434" s="45"/>
      <c r="G434" s="65"/>
      <c r="H434" s="65"/>
      <c r="I434" s="63"/>
      <c r="J434" s="65"/>
      <c r="K434" s="65"/>
      <c r="L434" s="65"/>
      <c r="M434" s="65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18"/>
      <c r="AE434" s="18"/>
    </row>
    <row r="435" spans="1:31" ht="15.75" customHeight="1">
      <c r="A435" s="76"/>
      <c r="B435" s="43"/>
      <c r="C435" s="44"/>
      <c r="D435" s="48"/>
      <c r="E435" s="45"/>
      <c r="F435" s="45"/>
      <c r="G435" s="65"/>
      <c r="H435" s="65"/>
      <c r="I435" s="63"/>
      <c r="J435" s="65"/>
      <c r="K435" s="65"/>
      <c r="L435" s="65"/>
      <c r="M435" s="65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18"/>
      <c r="AE435" s="18"/>
    </row>
    <row r="436" spans="1:31" ht="15.75" customHeight="1">
      <c r="A436" s="76"/>
      <c r="B436" s="43"/>
      <c r="C436" s="44"/>
      <c r="D436" s="48"/>
      <c r="E436" s="45"/>
      <c r="F436" s="45"/>
      <c r="G436" s="65"/>
      <c r="H436" s="65"/>
      <c r="I436" s="63"/>
      <c r="J436" s="65"/>
      <c r="K436" s="65"/>
      <c r="L436" s="65"/>
      <c r="M436" s="65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18"/>
      <c r="AE436" s="18"/>
    </row>
    <row r="437" spans="1:31" ht="15.75" customHeight="1">
      <c r="A437" s="76"/>
      <c r="B437" s="43"/>
      <c r="C437" s="44"/>
      <c r="D437" s="48"/>
      <c r="E437" s="45"/>
      <c r="F437" s="45"/>
      <c r="G437" s="65"/>
      <c r="H437" s="65"/>
      <c r="I437" s="63"/>
      <c r="J437" s="65"/>
      <c r="K437" s="65"/>
      <c r="L437" s="65"/>
      <c r="M437" s="65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18"/>
      <c r="AE437" s="18"/>
    </row>
    <row r="438" spans="1:31" ht="15.75" customHeight="1">
      <c r="A438" s="76"/>
      <c r="B438" s="43"/>
      <c r="C438" s="44"/>
      <c r="D438" s="48"/>
      <c r="E438" s="45"/>
      <c r="F438" s="45"/>
      <c r="G438" s="65"/>
      <c r="H438" s="65"/>
      <c r="I438" s="63"/>
      <c r="J438" s="65"/>
      <c r="K438" s="65"/>
      <c r="L438" s="65"/>
      <c r="M438" s="65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18"/>
      <c r="AE438" s="18"/>
    </row>
    <row r="439" spans="1:31" ht="15.75" customHeight="1">
      <c r="A439" s="76"/>
      <c r="B439" s="43"/>
      <c r="C439" s="44"/>
      <c r="D439" s="48"/>
      <c r="E439" s="45"/>
      <c r="F439" s="45"/>
      <c r="G439" s="65"/>
      <c r="H439" s="65"/>
      <c r="I439" s="63"/>
      <c r="J439" s="65"/>
      <c r="K439" s="65"/>
      <c r="L439" s="65"/>
      <c r="M439" s="65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18"/>
      <c r="AE439" s="18"/>
    </row>
    <row r="440" spans="1:31" ht="15.75" customHeight="1"/>
    <row r="441" spans="1:31" ht="15.75" customHeight="1"/>
    <row r="442" spans="1:31" ht="15.75" customHeight="1"/>
    <row r="443" spans="1:31" ht="15.75" customHeight="1"/>
    <row r="444" spans="1:31" ht="15.75" customHeight="1"/>
    <row r="445" spans="1:31" ht="15.75" customHeight="1"/>
    <row r="446" spans="1:31" ht="15.75" customHeight="1"/>
    <row r="447" spans="1:31" ht="15.75" customHeight="1"/>
    <row r="448" spans="1:31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B2 AC3">
    <cfRule type="cellIs" dxfId="78" priority="1" operator="lessThan">
      <formula>0</formula>
    </cfRule>
  </conditionalFormatting>
  <pageMargins left="0.7" right="0.7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 summaryRight="0"/>
  </sheetPr>
  <dimension ref="A1:AF633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sqref="A1:XFD3"/>
    </sheetView>
  </sheetViews>
  <sheetFormatPr defaultColWidth="12.6640625" defaultRowHeight="15" customHeight="1"/>
  <cols>
    <col min="1" max="1" width="5.21875" bestFit="1" customWidth="1"/>
    <col min="2" max="2" width="22.44140625" customWidth="1"/>
    <col min="3" max="3" width="18.77734375" customWidth="1"/>
    <col min="4" max="4" width="9.21875" customWidth="1"/>
    <col min="5" max="5" width="11.21875" customWidth="1"/>
    <col min="6" max="7" width="8.88671875" customWidth="1"/>
    <col min="8" max="8" width="10.109375" customWidth="1"/>
    <col min="9" max="12" width="11.109375" customWidth="1"/>
    <col min="13" max="13" width="13.109375" customWidth="1"/>
    <col min="14" max="15" width="11.109375" customWidth="1"/>
    <col min="16" max="16" width="13.109375" customWidth="1"/>
    <col min="17" max="17" width="11.109375" customWidth="1"/>
    <col min="18" max="18" width="13.33203125" customWidth="1"/>
    <col min="19" max="24" width="11.109375" customWidth="1"/>
    <col min="25" max="25" width="11.21875" customWidth="1"/>
    <col min="26" max="29" width="11.109375" customWidth="1"/>
  </cols>
  <sheetData>
    <row r="1" spans="1:32" ht="73.8" customHeight="1">
      <c r="A1" s="886"/>
      <c r="B1" s="887" t="s">
        <v>640</v>
      </c>
      <c r="C1" s="888" t="s">
        <v>2</v>
      </c>
      <c r="D1" s="889" t="str">
        <f>'Einnahmen Ausgaben'!D2</f>
        <v>Income 
(UK)</v>
      </c>
      <c r="E1" s="889" t="str">
        <f>'Einnahmen Ausgaben'!E2</f>
        <v>Income (Germany)</v>
      </c>
      <c r="F1" s="889" t="str">
        <f>'Einnahmen Ausgaben'!F2</f>
        <v>Steuer
DE
Finanzamt 2150
Gemeinde 7610</v>
      </c>
      <c r="G1" s="889" t="str">
        <f>'Einnahmen Ausgaben'!G2</f>
        <v>Steuer
(UK)</v>
      </c>
      <c r="H1" s="889" t="str">
        <f>'Einnahmen Ausgaben'!H2</f>
        <v>Krankenkasse ens.</v>
      </c>
      <c r="I1" s="890" t="str">
        <f>'Einnahmen Ausgaben'!I2</f>
        <v>Medical</v>
      </c>
      <c r="J1" s="889" t="str">
        <f>'Einnahmen Ausgaben'!J2</f>
        <v>Telephone</v>
      </c>
      <c r="K1" s="889" t="str">
        <f>'Einnahmen Ausgaben'!K2</f>
        <v>Data SIM Cards, Internet</v>
      </c>
      <c r="L1" s="889" t="str">
        <f>'Einnahmen Ausgaben'!L2</f>
        <v>Airline tickets &amp; Covid Tests</v>
      </c>
      <c r="M1" s="887" t="str">
        <f>'Einnahmen Ausgaben'!M2</f>
        <v>Taxi, Train, Toll, Parking</v>
      </c>
      <c r="N1" s="887" t="str">
        <f>'Einnahmen Ausgaben'!N2</f>
        <v>Hotel, Apartment</v>
      </c>
      <c r="O1" s="887" t="str">
        <f>'Einnahmen Ausgaben'!O2</f>
        <v>Auto</v>
      </c>
      <c r="P1" s="887" t="str">
        <f>'Einnahmen Ausgaben'!P2</f>
        <v>Office equipment, hardware, Insurance</v>
      </c>
      <c r="Q1" s="887" t="str">
        <f>'Einnahmen Ausgaben'!Q2</f>
        <v>Software Cloud Services</v>
      </c>
      <c r="R1" s="887" t="str">
        <f>'Einnahmen Ausgaben'!R2</f>
        <v>Professional fees</v>
      </c>
      <c r="S1" s="887" t="str">
        <f>'Einnahmen Ausgaben'!S2</f>
        <v>Bank charges</v>
      </c>
      <c r="T1" s="887" t="str">
        <f>'Einnahmen Ausgaben'!T2</f>
        <v>Wohnung</v>
      </c>
      <c r="U1" s="887" t="str">
        <f>'Einnahmen Ausgaben'!U2</f>
        <v>Mortgage / Hypothek</v>
      </c>
      <c r="V1" s="887" t="str">
        <f>'Einnahmen Ausgaben'!V2</f>
        <v>South Africa Pension Medical</v>
      </c>
      <c r="W1" s="887" t="str">
        <f>'Einnahmen Ausgaben'!W2</f>
        <v>Unassigned</v>
      </c>
      <c r="X1" s="891" t="s">
        <v>641</v>
      </c>
      <c r="Y1" s="891" t="s">
        <v>641</v>
      </c>
      <c r="Z1" s="891" t="s">
        <v>642</v>
      </c>
      <c r="AA1" s="891" t="s">
        <v>642</v>
      </c>
      <c r="AB1" s="891" t="s">
        <v>642</v>
      </c>
      <c r="AC1" s="891" t="s">
        <v>642</v>
      </c>
      <c r="AD1" s="891" t="s">
        <v>642</v>
      </c>
      <c r="AE1" s="891" t="s">
        <v>642</v>
      </c>
      <c r="AF1" s="1049" t="s">
        <v>2417</v>
      </c>
    </row>
    <row r="2" spans="1:32" ht="36.75" customHeight="1" thickBot="1">
      <c r="A2" s="892"/>
      <c r="B2" s="893" t="s">
        <v>1</v>
      </c>
      <c r="C2" s="894" t="s">
        <v>643</v>
      </c>
      <c r="D2" s="1090" t="str">
        <f>'Einnahmen Ausgaben'!D3</f>
        <v>4338-1</v>
      </c>
      <c r="E2" s="1090">
        <f>'Einnahmen Ausgaben'!E3</f>
        <v>2180</v>
      </c>
      <c r="F2" s="1090">
        <f>'Einnahmen Ausgaben'!F3</f>
        <v>2150</v>
      </c>
      <c r="G2" s="1090" t="str">
        <f>'Einnahmen Ausgaben'!G3</f>
        <v>4338-2</v>
      </c>
      <c r="H2" s="1090">
        <f>'Einnahmen Ausgaben'!H3</f>
        <v>2200</v>
      </c>
      <c r="I2" s="1090">
        <f>'Einnahmen Ausgaben'!I3</f>
        <v>900</v>
      </c>
      <c r="J2" s="1090">
        <f>'Einnahmen Ausgaben'!J3</f>
        <v>6805</v>
      </c>
      <c r="K2" s="1090" t="str">
        <f>'Einnahmen Ausgaben'!K3</f>
        <v>6495-1</v>
      </c>
      <c r="L2" s="1090" t="str">
        <f>'Einnahmen Ausgaben'!L3</f>
        <v>6673-1</v>
      </c>
      <c r="M2" s="1090" t="str">
        <f>'Einnahmen Ausgaben'!M3</f>
        <v>6673-2</v>
      </c>
      <c r="N2" s="1090">
        <f>'Einnahmen Ausgaben'!N3</f>
        <v>6680</v>
      </c>
      <c r="O2" s="1090">
        <f>'Einnahmen Ausgaben'!O3</f>
        <v>6530</v>
      </c>
      <c r="P2" s="1090">
        <f>'Einnahmen Ausgaben'!P3</f>
        <v>6815</v>
      </c>
      <c r="Q2" s="1090" t="str">
        <f>'Einnahmen Ausgaben'!Q3</f>
        <v>6495-2</v>
      </c>
      <c r="R2" s="1090">
        <f>'Einnahmen Ausgaben'!R3</f>
        <v>6827</v>
      </c>
      <c r="S2" s="1090">
        <f>'Einnahmen Ausgaben'!S3</f>
        <v>6855</v>
      </c>
      <c r="T2" s="1090">
        <f>'Einnahmen Ausgaben'!T3</f>
        <v>2300</v>
      </c>
      <c r="U2" s="1090">
        <f>'Einnahmen Ausgaben'!U3</f>
        <v>901</v>
      </c>
      <c r="V2" s="1090">
        <f>'Einnahmen Ausgaben'!V3</f>
        <v>902</v>
      </c>
      <c r="W2" s="1090">
        <f>'Einnahmen Ausgaben'!W3</f>
        <v>999</v>
      </c>
      <c r="X2" s="895"/>
      <c r="Y2" s="895"/>
      <c r="Z2" s="895"/>
      <c r="AA2" s="895"/>
      <c r="AB2" s="895"/>
      <c r="AC2" s="895"/>
      <c r="AD2" s="895"/>
      <c r="AE2" s="895"/>
    </row>
    <row r="3" spans="1:32" ht="17.25" customHeight="1">
      <c r="A3" s="896"/>
      <c r="B3" s="897" t="s">
        <v>644</v>
      </c>
      <c r="C3" s="898">
        <v>1.195457262402869</v>
      </c>
      <c r="D3" s="899"/>
      <c r="E3" s="900"/>
      <c r="F3" s="900"/>
      <c r="G3" s="900"/>
      <c r="H3" s="900"/>
      <c r="I3" s="900"/>
      <c r="J3" s="900"/>
      <c r="K3" s="900"/>
      <c r="L3" s="900"/>
      <c r="M3" s="900"/>
      <c r="N3" s="900"/>
      <c r="O3" s="900"/>
      <c r="P3" s="900"/>
      <c r="Q3" s="900"/>
      <c r="R3" s="900"/>
      <c r="S3" s="900"/>
      <c r="T3" s="900"/>
      <c r="U3" s="900"/>
      <c r="V3" s="900"/>
      <c r="W3" s="900"/>
      <c r="X3" s="901"/>
      <c r="Y3" s="902"/>
      <c r="Z3" s="903"/>
      <c r="AA3" s="903"/>
      <c r="AB3" s="903"/>
      <c r="AC3" s="903"/>
      <c r="AD3" s="903"/>
      <c r="AE3" s="903"/>
    </row>
    <row r="4" spans="1:32" ht="17.25" customHeight="1">
      <c r="A4" s="904">
        <f>SUM(Flights!H2:H6)</f>
        <v>66</v>
      </c>
      <c r="B4" s="855" t="s">
        <v>645</v>
      </c>
      <c r="C4" s="880" t="s">
        <v>646</v>
      </c>
      <c r="D4" s="608">
        <f>SUM('Einnahmen Ausgaben'!D13:D130)+SUM('Einnahmen Ausgaben'!D140:D148)</f>
        <v>19576</v>
      </c>
      <c r="E4" s="518">
        <f>SUM('Einnahmen Ausgaben'!E13:E130)+SUM('Einnahmen Ausgaben'!E140:E148)</f>
        <v>8709.76</v>
      </c>
      <c r="F4" s="518">
        <f>SUM('Einnahmen Ausgaben'!F13:F130)+SUM('Einnahmen Ausgaben'!F140:F148)</f>
        <v>-6562.52</v>
      </c>
      <c r="G4" s="518">
        <f>SUM('Einnahmen Ausgaben'!G13:G130)+SUM('Einnahmen Ausgaben'!G140:G148)</f>
        <v>0</v>
      </c>
      <c r="H4" s="518">
        <f>SUM('Einnahmen Ausgaben'!H13:H130)+SUM('Einnahmen Ausgaben'!H140:H148)</f>
        <v>1992.16</v>
      </c>
      <c r="I4" s="518">
        <f>SUM('Einnahmen Ausgaben'!I13:I130)+SUM('Einnahmen Ausgaben'!I140:I148)</f>
        <v>0</v>
      </c>
      <c r="J4" s="518">
        <f>SUM('Einnahmen Ausgaben'!J13:J130)+SUM('Einnahmen Ausgaben'!J140:J148)</f>
        <v>68.25</v>
      </c>
      <c r="K4" s="518">
        <f>SUM('Einnahmen Ausgaben'!K13:K130)+SUM('Einnahmen Ausgaben'!K140:K148)</f>
        <v>701.12000000000023</v>
      </c>
      <c r="L4" s="518">
        <f>SUM('Einnahmen Ausgaben'!L13:L130)+SUM('Einnahmen Ausgaben'!L140:L148)</f>
        <v>2197.1700000000005</v>
      </c>
      <c r="M4" s="518">
        <f>SUM('Einnahmen Ausgaben'!M13:M130)+SUM('Einnahmen Ausgaben'!M140:M148)</f>
        <v>214.16000000000003</v>
      </c>
      <c r="N4" s="518">
        <f>SUM('Einnahmen Ausgaben'!N13:N130)+SUM('Einnahmen Ausgaben'!N140:N148)</f>
        <v>1925</v>
      </c>
      <c r="O4" s="518">
        <f>SUM('Einnahmen Ausgaben'!O13:O130)+SUM('Einnahmen Ausgaben'!O140:O148)</f>
        <v>976.84999999999991</v>
      </c>
      <c r="P4" s="518">
        <f>SUM('Einnahmen Ausgaben'!P13:P130)+SUM('Einnahmen Ausgaben'!P140:P148)</f>
        <v>206.84</v>
      </c>
      <c r="Q4" s="518">
        <f>SUM('Einnahmen Ausgaben'!Q13:Q130)+SUM('Einnahmen Ausgaben'!Q140:Q148)</f>
        <v>991.32999999999993</v>
      </c>
      <c r="R4" s="518">
        <f>SUM('Einnahmen Ausgaben'!R13:R130)+SUM('Einnahmen Ausgaben'!R140:R148)</f>
        <v>726.38</v>
      </c>
      <c r="S4" s="518">
        <f>SUM('Einnahmen Ausgaben'!S13:S130)+SUM('Einnahmen Ausgaben'!S140:S148)</f>
        <v>138.49999999999997</v>
      </c>
      <c r="T4" s="518">
        <f>SUM('Einnahmen Ausgaben'!T13:T130)+SUM('Einnahmen Ausgaben'!T140:T148)</f>
        <v>10083.44</v>
      </c>
      <c r="U4" s="518">
        <f>SUM('Einnahmen Ausgaben'!U13:U130)+SUM('Einnahmen Ausgaben'!U140:U148)</f>
        <v>0</v>
      </c>
      <c r="V4" s="518">
        <f>SUM('Einnahmen Ausgaben'!V13:V130)+SUM('Einnahmen Ausgaben'!V140:V148)</f>
        <v>4146.2</v>
      </c>
      <c r="W4" s="518">
        <f>SUM('Einnahmen Ausgaben'!W13:W130)+SUM('Einnahmen Ausgaben'!W140:W148)</f>
        <v>1000</v>
      </c>
      <c r="X4" s="905"/>
      <c r="Y4" s="906"/>
      <c r="Z4" s="903"/>
      <c r="AA4" s="903"/>
      <c r="AB4" s="903"/>
      <c r="AC4" s="903"/>
      <c r="AD4" s="903"/>
      <c r="AE4" s="903"/>
    </row>
    <row r="5" spans="1:32" ht="17.25" customHeight="1">
      <c r="A5" s="904">
        <f>Flights!Q4-A4</f>
        <v>29</v>
      </c>
      <c r="B5" s="855" t="s">
        <v>647</v>
      </c>
      <c r="C5" s="880" t="s">
        <v>648</v>
      </c>
      <c r="D5" s="608">
        <f>ROUND(D4*$A$6,2)</f>
        <v>13507.44</v>
      </c>
      <c r="E5" s="518"/>
      <c r="F5" s="518"/>
      <c r="G5" s="518"/>
      <c r="H5" s="518">
        <v>0</v>
      </c>
      <c r="I5" s="518">
        <v>0</v>
      </c>
      <c r="J5" s="518">
        <f t="shared" ref="J5:L5" si="0">ROUND(J4*$A$6,2)</f>
        <v>47.09</v>
      </c>
      <c r="K5" s="518">
        <f t="shared" si="0"/>
        <v>483.77</v>
      </c>
      <c r="L5" s="518">
        <f t="shared" si="0"/>
        <v>1516.05</v>
      </c>
      <c r="M5" s="518">
        <v>0</v>
      </c>
      <c r="N5" s="518">
        <v>0</v>
      </c>
      <c r="O5" s="518">
        <f>O4</f>
        <v>976.84999999999991</v>
      </c>
      <c r="P5" s="518">
        <v>0</v>
      </c>
      <c r="Q5" s="518">
        <f t="shared" ref="Q5:S5" si="1">ROUND(Q4*$A$6,2)</f>
        <v>684.02</v>
      </c>
      <c r="R5" s="518">
        <f t="shared" si="1"/>
        <v>501.2</v>
      </c>
      <c r="S5" s="518">
        <f t="shared" si="1"/>
        <v>95.57</v>
      </c>
      <c r="T5" s="518"/>
      <c r="U5" s="518"/>
      <c r="V5" s="518"/>
      <c r="W5" s="518"/>
      <c r="X5" s="905"/>
      <c r="Y5" s="906"/>
      <c r="Z5" s="903"/>
      <c r="AA5" s="903"/>
      <c r="AB5" s="903"/>
      <c r="AC5" s="903"/>
      <c r="AD5" s="903"/>
      <c r="AE5" s="903"/>
    </row>
    <row r="6" spans="1:32" ht="17.25" customHeight="1" thickBot="1">
      <c r="A6" s="907">
        <f>ROUND(A4/Flights!Q4,2)</f>
        <v>0.69</v>
      </c>
      <c r="B6" s="855" t="s">
        <v>649</v>
      </c>
      <c r="C6" s="880" t="s">
        <v>650</v>
      </c>
      <c r="D6" s="608">
        <f>D4-D5</f>
        <v>6068.5599999999995</v>
      </c>
      <c r="E6" s="518"/>
      <c r="F6" s="518"/>
      <c r="G6" s="518"/>
      <c r="H6" s="518">
        <f t="shared" ref="H6:I6" si="2">H4</f>
        <v>1992.16</v>
      </c>
      <c r="I6" s="518">
        <f t="shared" si="2"/>
        <v>0</v>
      </c>
      <c r="J6" s="518">
        <f t="shared" ref="J6:L6" si="3">J4-J5</f>
        <v>21.159999999999997</v>
      </c>
      <c r="K6" s="518">
        <f t="shared" si="3"/>
        <v>217.35000000000025</v>
      </c>
      <c r="L6" s="518">
        <f t="shared" si="3"/>
        <v>681.12000000000057</v>
      </c>
      <c r="M6" s="518">
        <f t="shared" ref="M6:N6" si="4">M4</f>
        <v>214.16000000000003</v>
      </c>
      <c r="N6" s="518">
        <f t="shared" si="4"/>
        <v>1925</v>
      </c>
      <c r="O6" s="518">
        <v>0</v>
      </c>
      <c r="P6" s="518">
        <f>P4</f>
        <v>206.84</v>
      </c>
      <c r="Q6" s="518">
        <f t="shared" ref="Q6:S6" si="5">Q4-Q5</f>
        <v>307.30999999999995</v>
      </c>
      <c r="R6" s="518">
        <f t="shared" si="5"/>
        <v>225.18</v>
      </c>
      <c r="S6" s="518">
        <f t="shared" si="5"/>
        <v>42.929999999999978</v>
      </c>
      <c r="T6" s="518"/>
      <c r="U6" s="518"/>
      <c r="V6" s="518"/>
      <c r="W6" s="518"/>
      <c r="X6" s="905"/>
      <c r="Y6" s="906"/>
      <c r="Z6" s="903"/>
      <c r="AA6" s="903"/>
      <c r="AB6" s="903"/>
      <c r="AC6" s="903"/>
      <c r="AD6" s="903"/>
      <c r="AE6" s="903"/>
    </row>
    <row r="7" spans="1:32" ht="17.25" customHeight="1" thickTop="1">
      <c r="A7" s="847"/>
      <c r="B7" s="848" t="s">
        <v>651</v>
      </c>
      <c r="C7" s="908">
        <v>1.1648223645894</v>
      </c>
      <c r="D7" s="850"/>
      <c r="E7" s="850"/>
      <c r="F7" s="850"/>
      <c r="G7" s="850"/>
      <c r="H7" s="850"/>
      <c r="I7" s="850"/>
      <c r="J7" s="850"/>
      <c r="K7" s="850"/>
      <c r="L7" s="850"/>
      <c r="M7" s="850"/>
      <c r="N7" s="850"/>
      <c r="O7" s="850"/>
      <c r="P7" s="850"/>
      <c r="Q7" s="850"/>
      <c r="R7" s="850"/>
      <c r="S7" s="850"/>
      <c r="T7" s="850"/>
      <c r="U7" s="850"/>
      <c r="V7" s="850"/>
      <c r="W7" s="850"/>
      <c r="X7" s="852"/>
      <c r="Y7" s="853"/>
      <c r="Z7" s="903"/>
      <c r="AA7" s="903"/>
      <c r="AB7" s="903"/>
      <c r="AC7" s="903"/>
      <c r="AD7" s="903"/>
      <c r="AE7" s="903"/>
    </row>
    <row r="8" spans="1:32" ht="17.25" customHeight="1">
      <c r="A8" s="854">
        <f>SUM(Flights!H7:H18)</f>
        <v>127</v>
      </c>
      <c r="B8" s="855" t="s">
        <v>645</v>
      </c>
      <c r="C8" s="880" t="s">
        <v>646</v>
      </c>
      <c r="D8" s="608">
        <f>SUM('Einnahmen Ausgaben'!D131:D138)+SUM('Einnahmen Ausgaben'!D149:D497)</f>
        <v>96430.35</v>
      </c>
      <c r="E8" s="518">
        <f>SUM('Einnahmen Ausgaben'!E131:E138)+SUM('Einnahmen Ausgaben'!E149:E497)</f>
        <v>7066.6399999999994</v>
      </c>
      <c r="F8" s="518">
        <f>SUM('Einnahmen Ausgaben'!F131:F138)+SUM('Einnahmen Ausgaben'!F149:F497)</f>
        <v>20314.920000000002</v>
      </c>
      <c r="G8" s="518">
        <f>SUM('Einnahmen Ausgaben'!G131:G138)+SUM('Einnahmen Ausgaben'!G149:G497)</f>
        <v>250</v>
      </c>
      <c r="H8" s="518">
        <f>SUM('Einnahmen Ausgaben'!H131:H138)+SUM('Einnahmen Ausgaben'!H149:H497)</f>
        <v>9922.19</v>
      </c>
      <c r="I8" s="518">
        <f>SUM('Einnahmen Ausgaben'!I131:I138)+SUM('Einnahmen Ausgaben'!I149:I497)</f>
        <v>138.69</v>
      </c>
      <c r="J8" s="518">
        <f>SUM('Einnahmen Ausgaben'!J131:J138)+SUM('Einnahmen Ausgaben'!J149:J497)</f>
        <v>240.54</v>
      </c>
      <c r="K8" s="518">
        <f>SUM('Einnahmen Ausgaben'!K131:K138)+SUM('Einnahmen Ausgaben'!K149:K497)</f>
        <v>2230.71</v>
      </c>
      <c r="L8" s="518">
        <f>SUM('Einnahmen Ausgaben'!L131:L138)+SUM('Einnahmen Ausgaben'!L149:L497)</f>
        <v>953.54999999999984</v>
      </c>
      <c r="M8" s="518">
        <f>SUM('Einnahmen Ausgaben'!M131:M138)+SUM('Einnahmen Ausgaben'!M149:M497)</f>
        <v>1472.8899999999999</v>
      </c>
      <c r="N8" s="518">
        <f>SUM('Einnahmen Ausgaben'!N131:N138)+SUM('Einnahmen Ausgaben'!N149:N497)</f>
        <v>8435</v>
      </c>
      <c r="O8" s="518">
        <f>SUM('Einnahmen Ausgaben'!O131:O138)+SUM('Einnahmen Ausgaben'!O149:O497)</f>
        <v>1115.58</v>
      </c>
      <c r="P8" s="518">
        <f>SUM('Einnahmen Ausgaben'!P131:P138)+SUM('Einnahmen Ausgaben'!P149:P497)</f>
        <v>11.76</v>
      </c>
      <c r="Q8" s="518">
        <f>SUM('Einnahmen Ausgaben'!Q131:Q138)+SUM('Einnahmen Ausgaben'!Q149:Q497)</f>
        <v>587.87</v>
      </c>
      <c r="R8" s="518">
        <f>SUM('Einnahmen Ausgaben'!R131:R138)+SUM('Einnahmen Ausgaben'!R149:R497)</f>
        <v>2259.56</v>
      </c>
      <c r="S8" s="518">
        <f>SUM('Einnahmen Ausgaben'!S131:S138)+SUM('Einnahmen Ausgaben'!S149:S497)</f>
        <v>240.93999999999991</v>
      </c>
      <c r="T8" s="518">
        <f>SUM('Einnahmen Ausgaben'!T131:T138)+SUM('Einnahmen Ausgaben'!T149:T497)</f>
        <v>25641.980000000003</v>
      </c>
      <c r="U8" s="518">
        <f>SUM('Einnahmen Ausgaben'!U131:U138)+SUM('Einnahmen Ausgaben'!U149:U497)</f>
        <v>0</v>
      </c>
      <c r="V8" s="518">
        <f>SUM('Einnahmen Ausgaben'!V131:V138)+SUM('Einnahmen Ausgaben'!V149:V497)</f>
        <v>8292.4</v>
      </c>
      <c r="W8" s="518">
        <f>SUM('Einnahmen Ausgaben'!W131:W138)+SUM('Einnahmen Ausgaben'!W149:W497)</f>
        <v>500</v>
      </c>
      <c r="X8" s="905"/>
      <c r="Y8" s="906"/>
      <c r="Z8" s="903"/>
      <c r="AA8" s="903"/>
      <c r="AB8" s="903"/>
      <c r="AC8" s="903"/>
      <c r="AD8" s="903"/>
      <c r="AE8" s="903"/>
    </row>
    <row r="9" spans="1:32" ht="17.25" customHeight="1">
      <c r="A9" s="854">
        <f>Flights!Q6-A8</f>
        <v>143</v>
      </c>
      <c r="B9" s="855" t="s">
        <v>647</v>
      </c>
      <c r="C9" s="880" t="s">
        <v>648</v>
      </c>
      <c r="D9" s="608">
        <f>ROUND(D8*$A$10,2)</f>
        <v>45322.26</v>
      </c>
      <c r="E9" s="518"/>
      <c r="F9" s="518"/>
      <c r="G9" s="518"/>
      <c r="H9" s="518">
        <v>0</v>
      </c>
      <c r="I9" s="518">
        <v>0</v>
      </c>
      <c r="J9" s="518">
        <f t="shared" ref="J9:L9" si="6">ROUND(J8*$A$10,2)</f>
        <v>113.05</v>
      </c>
      <c r="K9" s="518">
        <f t="shared" si="6"/>
        <v>1048.43</v>
      </c>
      <c r="L9" s="518">
        <f t="shared" si="6"/>
        <v>448.17</v>
      </c>
      <c r="M9" s="518">
        <v>0</v>
      </c>
      <c r="N9" s="518">
        <v>0</v>
      </c>
      <c r="O9" s="518">
        <f>O8</f>
        <v>1115.58</v>
      </c>
      <c r="P9" s="518">
        <v>0</v>
      </c>
      <c r="Q9" s="518">
        <f t="shared" ref="Q9:S9" si="7">ROUND(Q8*$A$10,2)</f>
        <v>276.3</v>
      </c>
      <c r="R9" s="518">
        <f t="shared" si="7"/>
        <v>1061.99</v>
      </c>
      <c r="S9" s="518">
        <f t="shared" si="7"/>
        <v>113.24</v>
      </c>
      <c r="T9" s="518"/>
      <c r="U9" s="518"/>
      <c r="V9" s="518"/>
      <c r="W9" s="518"/>
      <c r="X9" s="905"/>
      <c r="Y9" s="906"/>
      <c r="Z9" s="903"/>
      <c r="AA9" s="903"/>
      <c r="AB9" s="903"/>
      <c r="AC9" s="903"/>
      <c r="AD9" s="903"/>
      <c r="AE9" s="903"/>
    </row>
    <row r="10" spans="1:32" ht="17.25" customHeight="1" thickBot="1">
      <c r="A10" s="907">
        <f>ROUND(A8/Flights!Q6,2)</f>
        <v>0.47</v>
      </c>
      <c r="B10" s="855" t="s">
        <v>649</v>
      </c>
      <c r="C10" s="880" t="s">
        <v>650</v>
      </c>
      <c r="D10" s="608">
        <f>D8-D9</f>
        <v>51108.090000000004</v>
      </c>
      <c r="E10" s="518"/>
      <c r="F10" s="518"/>
      <c r="G10" s="518"/>
      <c r="H10" s="518">
        <f t="shared" ref="H10:I10" si="8">H8</f>
        <v>9922.19</v>
      </c>
      <c r="I10" s="518">
        <f t="shared" si="8"/>
        <v>138.69</v>
      </c>
      <c r="J10" s="518">
        <f t="shared" ref="J10:L10" si="9">J8-J9</f>
        <v>127.49</v>
      </c>
      <c r="K10" s="518">
        <f t="shared" si="9"/>
        <v>1182.28</v>
      </c>
      <c r="L10" s="518">
        <f t="shared" si="9"/>
        <v>505.37999999999982</v>
      </c>
      <c r="M10" s="518">
        <f t="shared" ref="M10:N10" si="10">M8</f>
        <v>1472.8899999999999</v>
      </c>
      <c r="N10" s="518">
        <f t="shared" si="10"/>
        <v>8435</v>
      </c>
      <c r="O10" s="518">
        <v>0</v>
      </c>
      <c r="P10" s="518">
        <f>P8</f>
        <v>11.76</v>
      </c>
      <c r="Q10" s="518">
        <f t="shared" ref="Q10:S10" si="11">Q8-Q9</f>
        <v>311.57</v>
      </c>
      <c r="R10" s="518">
        <f t="shared" si="11"/>
        <v>1197.57</v>
      </c>
      <c r="S10" s="518">
        <f t="shared" si="11"/>
        <v>127.69999999999992</v>
      </c>
      <c r="T10" s="518"/>
      <c r="U10" s="518"/>
      <c r="V10" s="518"/>
      <c r="W10" s="518"/>
      <c r="X10" s="905"/>
      <c r="Y10" s="906"/>
      <c r="Z10" s="903"/>
      <c r="AA10" s="903"/>
      <c r="AB10" s="903"/>
      <c r="AC10" s="903"/>
      <c r="AD10" s="903"/>
      <c r="AE10" s="903"/>
    </row>
    <row r="11" spans="1:32" ht="17.25" customHeight="1" thickTop="1" thickBot="1">
      <c r="A11" s="847"/>
      <c r="B11" s="848" t="str">
        <f>'Einnahmen Ausgaben'!C4</f>
        <v>2023.01.01 bis 2023.04.05</v>
      </c>
      <c r="C11" s="849">
        <f>'Conversion rates'!C19</f>
        <v>1.131766</v>
      </c>
      <c r="D11" s="850"/>
      <c r="E11" s="951"/>
      <c r="F11" s="951"/>
      <c r="G11" s="951"/>
      <c r="H11" s="951"/>
      <c r="I11" s="851">
        <v>1</v>
      </c>
      <c r="J11" s="851">
        <f t="shared" ref="J11:L11" si="12">100%-$A$14</f>
        <v>0.6</v>
      </c>
      <c r="K11" s="851">
        <f t="shared" si="12"/>
        <v>0.6</v>
      </c>
      <c r="L11" s="851">
        <f t="shared" si="12"/>
        <v>0.6</v>
      </c>
      <c r="M11" s="851">
        <v>1</v>
      </c>
      <c r="N11" s="851">
        <v>1</v>
      </c>
      <c r="O11" s="851">
        <v>0</v>
      </c>
      <c r="P11" s="851">
        <v>1</v>
      </c>
      <c r="Q11" s="851">
        <f>100%-$A$14</f>
        <v>0.6</v>
      </c>
      <c r="R11" s="851">
        <v>1</v>
      </c>
      <c r="S11" s="851">
        <f>100%-$A$14</f>
        <v>0.6</v>
      </c>
      <c r="T11" s="851"/>
      <c r="U11" s="851"/>
      <c r="V11" s="851"/>
      <c r="W11" s="851"/>
      <c r="X11" s="852"/>
      <c r="Y11" s="853"/>
      <c r="Z11" s="853"/>
      <c r="AA11" s="853"/>
      <c r="AB11" s="853"/>
      <c r="AC11" s="853"/>
      <c r="AD11" s="853"/>
      <c r="AE11" s="853"/>
    </row>
    <row r="12" spans="1:32" ht="15.75" customHeight="1" thickBot="1">
      <c r="A12" s="854">
        <f>Flights!O21</f>
        <v>38</v>
      </c>
      <c r="B12" s="855" t="s">
        <v>645</v>
      </c>
      <c r="C12" s="856" t="s">
        <v>652</v>
      </c>
      <c r="D12" s="857">
        <f>'Einnahmen Ausgaben'!D4</f>
        <v>30015.16</v>
      </c>
      <c r="E12" s="933">
        <f>'Einnahmen Ausgaben'!E4</f>
        <v>1789.5199999999998</v>
      </c>
      <c r="F12" s="916">
        <f>'Einnahmen Ausgaben'!F4</f>
        <v>1827</v>
      </c>
      <c r="G12" s="935">
        <f>'Einnahmen Ausgaben'!G4</f>
        <v>1</v>
      </c>
      <c r="H12" s="858">
        <f>'Einnahmen Ausgaben'!H4</f>
        <v>2471.34</v>
      </c>
      <c r="I12" s="858">
        <f>'Einnahmen Ausgaben'!I4</f>
        <v>232.07</v>
      </c>
      <c r="J12" s="858">
        <f>'Einnahmen Ausgaben'!J4</f>
        <v>61.51</v>
      </c>
      <c r="K12" s="858">
        <f>'Einnahmen Ausgaben'!K4</f>
        <v>489.88000000000011</v>
      </c>
      <c r="L12" s="858">
        <f>'Einnahmen Ausgaben'!L4</f>
        <v>1213.4299999999998</v>
      </c>
      <c r="M12" s="858">
        <f>'Einnahmen Ausgaben'!M4</f>
        <v>437.17999999999995</v>
      </c>
      <c r="N12" s="858">
        <f>'Einnahmen Ausgaben'!N4</f>
        <v>3622.6495999999997</v>
      </c>
      <c r="O12" s="858">
        <f>'Einnahmen Ausgaben'!O4</f>
        <v>493.10485519999997</v>
      </c>
      <c r="P12" s="858">
        <f>'Einnahmen Ausgaben'!P4</f>
        <v>1</v>
      </c>
      <c r="Q12" s="858">
        <f>'Einnahmen Ausgaben'!Q4</f>
        <v>805.58</v>
      </c>
      <c r="R12" s="858">
        <f>'Einnahmen Ausgaben'!R4</f>
        <v>1</v>
      </c>
      <c r="S12" s="858">
        <f>'Einnahmen Ausgaben'!S4</f>
        <v>114.53</v>
      </c>
      <c r="T12" s="858">
        <f>'Einnahmen Ausgaben'!T4</f>
        <v>9705.4100000000017</v>
      </c>
      <c r="U12" s="858">
        <f>'Einnahmen Ausgaben'!U4</f>
        <v>0</v>
      </c>
      <c r="V12" s="858">
        <f>'Einnahmen Ausgaben'!V4</f>
        <v>4146.2</v>
      </c>
      <c r="W12" s="858">
        <f>'Einnahmen Ausgaben'!W4</f>
        <v>0</v>
      </c>
      <c r="X12" s="859">
        <f t="shared" ref="X12:X15" si="13">SUM(H12:S12)</f>
        <v>9943.2744552000004</v>
      </c>
      <c r="Y12" s="871">
        <f>X14+X13</f>
        <v>9943.2744552000004</v>
      </c>
      <c r="Z12" s="860">
        <f t="shared" ref="Z12:AA12" si="14">D12</f>
        <v>30015.16</v>
      </c>
      <c r="AA12" s="861">
        <f t="shared" si="14"/>
        <v>1789.5199999999998</v>
      </c>
      <c r="AB12" s="860">
        <f>Z12+ROUND((AA12/C11),0)</f>
        <v>31596.16</v>
      </c>
      <c r="AC12" s="861">
        <f>Z12+ROUND((Y12*C11),0)</f>
        <v>41268.160000000003</v>
      </c>
      <c r="AD12" s="861">
        <f>AA12+ROUND((Z12*C11),0)</f>
        <v>35759.519999999997</v>
      </c>
      <c r="AE12" s="861">
        <f>AB12+ROUND((AA12*D11),0)</f>
        <v>31596.16</v>
      </c>
    </row>
    <row r="13" spans="1:32" ht="15.75" customHeight="1">
      <c r="A13" s="854">
        <f>Flights!Q8-A12</f>
        <v>57</v>
      </c>
      <c r="B13" s="855" t="s">
        <v>647</v>
      </c>
      <c r="C13" s="856" t="s">
        <v>653</v>
      </c>
      <c r="D13" s="862">
        <f>E13*(100%-A14)</f>
        <v>21455.794543535998</v>
      </c>
      <c r="E13" s="930">
        <f>E12+(D12*C11)</f>
        <v>35759.657572559998</v>
      </c>
      <c r="F13" s="942"/>
      <c r="G13" s="943"/>
      <c r="H13" s="858">
        <f t="shared" ref="H13:I13" si="15">H12</f>
        <v>2471.34</v>
      </c>
      <c r="I13" s="858">
        <f t="shared" si="15"/>
        <v>232.07</v>
      </c>
      <c r="J13" s="858">
        <f t="shared" ref="J13:L13" si="16">J12-J14</f>
        <v>36.909999999999997</v>
      </c>
      <c r="K13" s="858">
        <f t="shared" si="16"/>
        <v>293.93000000000012</v>
      </c>
      <c r="L13" s="858">
        <f t="shared" si="16"/>
        <v>728.05999999999983</v>
      </c>
      <c r="M13" s="858">
        <f t="shared" ref="M13:N13" si="17">M12</f>
        <v>437.17999999999995</v>
      </c>
      <c r="N13" s="858">
        <f t="shared" si="17"/>
        <v>3622.6495999999997</v>
      </c>
      <c r="O13" s="858">
        <v>0</v>
      </c>
      <c r="P13" s="858">
        <f>P12</f>
        <v>1</v>
      </c>
      <c r="Q13" s="858">
        <f t="shared" ref="Q13:S13" si="18">Q12-Q14</f>
        <v>483.35</v>
      </c>
      <c r="R13" s="858">
        <f t="shared" si="18"/>
        <v>0.6</v>
      </c>
      <c r="S13" s="858">
        <f t="shared" si="18"/>
        <v>68.72</v>
      </c>
      <c r="T13" s="858"/>
      <c r="U13" s="858"/>
      <c r="V13" s="858"/>
      <c r="W13" s="858"/>
      <c r="X13" s="859">
        <f t="shared" si="13"/>
        <v>8375.8096000000005</v>
      </c>
      <c r="Y13" s="859"/>
      <c r="Z13" s="863"/>
      <c r="AA13" s="864" t="s">
        <v>654</v>
      </c>
      <c r="AB13" s="860">
        <f t="shared" ref="AB13" si="19">AB12*(100%-$A$14)</f>
        <v>18957.696</v>
      </c>
      <c r="AC13" s="861">
        <f>AC12*(100%-$A$14)</f>
        <v>24760.896000000001</v>
      </c>
      <c r="AD13" s="861">
        <f>AD12*(100%-$A$14)</f>
        <v>21455.711999999996</v>
      </c>
      <c r="AE13" s="861">
        <f>AE12*(100%-$A$14)</f>
        <v>18957.696</v>
      </c>
    </row>
    <row r="14" spans="1:32" ht="15.75" customHeight="1">
      <c r="A14" s="865">
        <f>Flights!Q21</f>
        <v>0.4</v>
      </c>
      <c r="B14" s="855" t="s">
        <v>649</v>
      </c>
      <c r="C14" s="856" t="s">
        <v>655</v>
      </c>
      <c r="D14" s="866">
        <f>ROUND(E13*A14,0)</f>
        <v>14304</v>
      </c>
      <c r="E14" s="950"/>
      <c r="F14" s="944"/>
      <c r="G14" s="943"/>
      <c r="H14" s="858">
        <v>0</v>
      </c>
      <c r="I14" s="858">
        <v>0</v>
      </c>
      <c r="J14" s="858">
        <f t="shared" ref="J14:L14" si="20">ROUND(J12*$A$14,2)</f>
        <v>24.6</v>
      </c>
      <c r="K14" s="858">
        <f t="shared" si="20"/>
        <v>195.95</v>
      </c>
      <c r="L14" s="858">
        <f t="shared" si="20"/>
        <v>485.37</v>
      </c>
      <c r="M14" s="858">
        <v>0</v>
      </c>
      <c r="N14" s="858">
        <v>0</v>
      </c>
      <c r="O14" s="858">
        <f>O12</f>
        <v>493.10485519999997</v>
      </c>
      <c r="P14" s="858">
        <v>0</v>
      </c>
      <c r="Q14" s="858">
        <f t="shared" ref="Q14:S14" si="21">ROUND(Q12*$A$14,2)</f>
        <v>322.23</v>
      </c>
      <c r="R14" s="858">
        <f t="shared" si="21"/>
        <v>0.4</v>
      </c>
      <c r="S14" s="858">
        <f t="shared" si="21"/>
        <v>45.81</v>
      </c>
      <c r="T14" s="858"/>
      <c r="U14" s="858"/>
      <c r="V14" s="858"/>
      <c r="W14" s="858"/>
      <c r="X14" s="859">
        <f t="shared" si="13"/>
        <v>1567.4648551999999</v>
      </c>
      <c r="Y14" s="859"/>
      <c r="Z14" s="863"/>
      <c r="AA14" s="864" t="s">
        <v>161</v>
      </c>
      <c r="AB14" s="860">
        <f t="shared" ref="AB14" si="22">AB12*$A$14</f>
        <v>12638.464</v>
      </c>
      <c r="AC14" s="861">
        <f>AC12*$A$14</f>
        <v>16507.264000000003</v>
      </c>
      <c r="AD14" s="861">
        <f>AD12*$A$14</f>
        <v>14303.807999999999</v>
      </c>
      <c r="AE14" s="861">
        <f>AE12*$A$14</f>
        <v>12638.464</v>
      </c>
    </row>
    <row r="15" spans="1:32" ht="17.25" customHeight="1" thickBot="1">
      <c r="A15" s="867"/>
      <c r="B15" s="868"/>
      <c r="C15" s="856" t="s">
        <v>656</v>
      </c>
      <c r="D15" s="869">
        <f>ROUND((D14/C11),0)</f>
        <v>12639</v>
      </c>
      <c r="E15" s="934">
        <f>E13/C11</f>
        <v>31596.334907180455</v>
      </c>
      <c r="F15" s="945"/>
      <c r="G15" s="946"/>
      <c r="H15" s="870">
        <f t="shared" ref="H15:S15" si="23">ROUND((H14/$C$11),0)</f>
        <v>0</v>
      </c>
      <c r="I15" s="870">
        <f t="shared" si="23"/>
        <v>0</v>
      </c>
      <c r="J15" s="870">
        <f t="shared" si="23"/>
        <v>22</v>
      </c>
      <c r="K15" s="870">
        <f t="shared" si="23"/>
        <v>173</v>
      </c>
      <c r="L15" s="870">
        <f t="shared" si="23"/>
        <v>429</v>
      </c>
      <c r="M15" s="870">
        <f t="shared" si="23"/>
        <v>0</v>
      </c>
      <c r="N15" s="870">
        <f t="shared" si="23"/>
        <v>0</v>
      </c>
      <c r="O15" s="870">
        <f t="shared" si="23"/>
        <v>436</v>
      </c>
      <c r="P15" s="870">
        <f t="shared" si="23"/>
        <v>0</v>
      </c>
      <c r="Q15" s="870">
        <f t="shared" si="23"/>
        <v>285</v>
      </c>
      <c r="R15" s="870">
        <f t="shared" si="23"/>
        <v>0</v>
      </c>
      <c r="S15" s="870">
        <f t="shared" si="23"/>
        <v>40</v>
      </c>
      <c r="T15" s="870"/>
      <c r="U15" s="870"/>
      <c r="V15" s="870"/>
      <c r="W15" s="870"/>
      <c r="X15" s="871">
        <f t="shared" si="13"/>
        <v>1385</v>
      </c>
      <c r="Y15" s="871">
        <f>ROUND((X14/C11),0)</f>
        <v>1385</v>
      </c>
      <c r="Z15" s="863"/>
      <c r="AA15" s="863"/>
      <c r="AB15" s="872">
        <f t="shared" ref="AB15" si="24">SUM(AB13:AB14)-AB12</f>
        <v>0</v>
      </c>
      <c r="AC15" s="873">
        <f>SUM(AC13:AC14)-AC12</f>
        <v>0</v>
      </c>
      <c r="AD15" s="873">
        <f>SUM(AD13:AD14)-AD12</f>
        <v>0</v>
      </c>
      <c r="AE15" s="873">
        <f>SUM(AE13:AE14)-AE12</f>
        <v>0</v>
      </c>
    </row>
    <row r="16" spans="1:32" ht="17.25" customHeight="1" thickTop="1" thickBot="1">
      <c r="A16" s="847"/>
      <c r="B16" s="848" t="str">
        <f>'Einnahmen Ausgaben'!C5</f>
        <v>2023.04.06 bis 2023.12.31</v>
      </c>
      <c r="C16" s="874">
        <f>'Conversion rates'!C27</f>
        <v>1.1576599999999999</v>
      </c>
      <c r="D16" s="875"/>
      <c r="E16" s="928"/>
      <c r="F16" s="928"/>
      <c r="G16" s="928"/>
      <c r="H16" s="851">
        <v>1</v>
      </c>
      <c r="I16" s="851">
        <v>1</v>
      </c>
      <c r="J16" s="851">
        <f t="shared" ref="J16:L16" si="25">100%-$A$19</f>
        <v>0.63</v>
      </c>
      <c r="K16" s="851">
        <f t="shared" si="25"/>
        <v>0.63</v>
      </c>
      <c r="L16" s="851">
        <f t="shared" si="25"/>
        <v>0.63</v>
      </c>
      <c r="M16" s="851">
        <v>1</v>
      </c>
      <c r="N16" s="851">
        <v>1</v>
      </c>
      <c r="O16" s="851">
        <v>0</v>
      </c>
      <c r="P16" s="851">
        <v>1</v>
      </c>
      <c r="Q16" s="851">
        <f>100%-$A$19</f>
        <v>0.63</v>
      </c>
      <c r="R16" s="851">
        <v>1</v>
      </c>
      <c r="S16" s="851">
        <f>100%-$A$19</f>
        <v>0.63</v>
      </c>
      <c r="T16" s="851"/>
      <c r="U16" s="851"/>
      <c r="V16" s="851"/>
      <c r="W16" s="851"/>
      <c r="X16" s="876"/>
      <c r="Y16" s="877"/>
      <c r="Z16" s="877"/>
      <c r="AA16" s="877"/>
      <c r="AB16" s="877"/>
      <c r="AC16" s="877"/>
      <c r="AD16" s="877"/>
      <c r="AE16" s="877"/>
    </row>
    <row r="17" spans="1:31" ht="15.75" customHeight="1" thickBot="1">
      <c r="A17" s="854">
        <f>Flights!O22</f>
        <v>77</v>
      </c>
      <c r="B17" s="855" t="s">
        <v>645</v>
      </c>
      <c r="C17" s="856" t="s">
        <v>652</v>
      </c>
      <c r="D17" s="857">
        <f>'Einnahmen Ausgaben'!D5</f>
        <v>106384</v>
      </c>
      <c r="E17" s="933">
        <f>'Einnahmen Ausgaben'!E5</f>
        <v>34929.599999999999</v>
      </c>
      <c r="F17" s="916">
        <f>'Einnahmen Ausgaben'!F5</f>
        <v>6200.05</v>
      </c>
      <c r="G17" s="935">
        <f>'Einnahmen Ausgaben'!G5</f>
        <v>18574</v>
      </c>
      <c r="H17" s="858">
        <f>'Einnahmen Ausgaben'!H5</f>
        <v>6779.09</v>
      </c>
      <c r="I17" s="858">
        <f>'Einnahmen Ausgaben'!I5</f>
        <v>1</v>
      </c>
      <c r="J17" s="858">
        <f>'Einnahmen Ausgaben'!J5</f>
        <v>193.79</v>
      </c>
      <c r="K17" s="858">
        <f>'Einnahmen Ausgaben'!K5</f>
        <v>1122.5999999999999</v>
      </c>
      <c r="L17" s="858">
        <f>'Einnahmen Ausgaben'!L5</f>
        <v>4199.7700000000004</v>
      </c>
      <c r="M17" s="858">
        <f>'Einnahmen Ausgaben'!M5</f>
        <v>1120.4000000000001</v>
      </c>
      <c r="N17" s="858">
        <f>'Einnahmen Ausgaben'!N5</f>
        <v>8819.3184000000001</v>
      </c>
      <c r="O17" s="858">
        <f>'Einnahmen Ausgaben'!O5</f>
        <v>2028.2477568600002</v>
      </c>
      <c r="P17" s="858">
        <f>'Einnahmen Ausgaben'!P5</f>
        <v>51.1</v>
      </c>
      <c r="Q17" s="858">
        <f>'Einnahmen Ausgaben'!Q5</f>
        <v>31.67</v>
      </c>
      <c r="R17" s="858">
        <f>'Einnahmen Ausgaben'!R5</f>
        <v>1482.2199999999998</v>
      </c>
      <c r="S17" s="858">
        <f>'Einnahmen Ausgaben'!S5</f>
        <v>331.36999999999995</v>
      </c>
      <c r="T17" s="858">
        <f>'Einnahmen Ausgaben'!T5</f>
        <v>18032.550000000003</v>
      </c>
      <c r="U17" s="858">
        <f>'Einnahmen Ausgaben'!U5</f>
        <v>0</v>
      </c>
      <c r="V17" s="858">
        <f>'Einnahmen Ausgaben'!V5</f>
        <v>8292.4</v>
      </c>
      <c r="W17" s="858">
        <f>'Einnahmen Ausgaben'!W5</f>
        <v>0</v>
      </c>
      <c r="X17" s="859">
        <f t="shared" ref="X17:X20" si="26">SUM(H17:S17)</f>
        <v>26160.576156859996</v>
      </c>
      <c r="Y17" s="871">
        <f>X19+X18</f>
        <v>26160.576156859996</v>
      </c>
      <c r="Z17" s="860">
        <f t="shared" ref="Z17:AA17" si="27">D17</f>
        <v>106384</v>
      </c>
      <c r="AA17" s="861">
        <f t="shared" si="27"/>
        <v>34929.599999999999</v>
      </c>
      <c r="AB17" s="860">
        <f>Z17+ROUND((AA17/C16),0)</f>
        <v>136557</v>
      </c>
      <c r="AC17" s="861">
        <f>Z17+ROUND((Y17*C16),0)</f>
        <v>136669</v>
      </c>
      <c r="AD17" s="861">
        <f>AA17+ROUND((Z17*C16),0)</f>
        <v>158086.6</v>
      </c>
      <c r="AE17" s="861">
        <f>AB17+ROUND((AA17*D16),0)</f>
        <v>136557</v>
      </c>
    </row>
    <row r="18" spans="1:31" ht="15.75" customHeight="1">
      <c r="A18" s="854">
        <f>Flights!P22</f>
        <v>133</v>
      </c>
      <c r="B18" s="855" t="s">
        <v>647</v>
      </c>
      <c r="C18" s="856" t="s">
        <v>653</v>
      </c>
      <c r="D18" s="862">
        <f>E18*(100%-A19)</f>
        <v>99594.243907199998</v>
      </c>
      <c r="E18" s="930">
        <f>E17+(D17*C16)</f>
        <v>158086.10144</v>
      </c>
      <c r="F18" s="942"/>
      <c r="G18" s="943"/>
      <c r="H18" s="858">
        <f t="shared" ref="H18:I18" si="28">H17</f>
        <v>6779.09</v>
      </c>
      <c r="I18" s="858">
        <f t="shared" si="28"/>
        <v>1</v>
      </c>
      <c r="J18" s="858">
        <f t="shared" ref="J18:L18" si="29">J17-J19</f>
        <v>122.08999999999999</v>
      </c>
      <c r="K18" s="858">
        <f t="shared" si="29"/>
        <v>707.2399999999999</v>
      </c>
      <c r="L18" s="858">
        <f t="shared" si="29"/>
        <v>2645.8600000000006</v>
      </c>
      <c r="M18" s="858">
        <f t="shared" ref="M18:N18" si="30">M17</f>
        <v>1120.4000000000001</v>
      </c>
      <c r="N18" s="858">
        <f t="shared" si="30"/>
        <v>8819.3184000000001</v>
      </c>
      <c r="O18" s="858">
        <v>0</v>
      </c>
      <c r="P18" s="858">
        <f>P17</f>
        <v>51.1</v>
      </c>
      <c r="Q18" s="858">
        <f t="shared" ref="Q18:S18" si="31">Q17-Q19</f>
        <v>19.950000000000003</v>
      </c>
      <c r="R18" s="858">
        <f t="shared" si="31"/>
        <v>933.79999999999984</v>
      </c>
      <c r="S18" s="858">
        <f t="shared" si="31"/>
        <v>208.75999999999993</v>
      </c>
      <c r="T18" s="858"/>
      <c r="U18" s="858"/>
      <c r="V18" s="858"/>
      <c r="W18" s="858"/>
      <c r="X18" s="859">
        <f t="shared" si="26"/>
        <v>21408.608399999997</v>
      </c>
      <c r="Y18" s="859"/>
      <c r="Z18" s="863"/>
      <c r="AA18" s="864" t="s">
        <v>654</v>
      </c>
      <c r="AB18" s="860">
        <f t="shared" ref="AB18" si="32">AB17*(100%-$A$19)</f>
        <v>86030.91</v>
      </c>
      <c r="AC18" s="861">
        <f>AC17*(100%-$A$19)</f>
        <v>86101.47</v>
      </c>
      <c r="AD18" s="861">
        <f>AD17*(100%-$A$19)</f>
        <v>99594.558000000005</v>
      </c>
      <c r="AE18" s="861">
        <f>AE17*(100%-$A$19)</f>
        <v>86030.91</v>
      </c>
    </row>
    <row r="19" spans="1:31" ht="15.75" customHeight="1">
      <c r="A19" s="865">
        <f>Flights!Q22</f>
        <v>0.37</v>
      </c>
      <c r="B19" s="855" t="s">
        <v>649</v>
      </c>
      <c r="C19" s="856" t="s">
        <v>655</v>
      </c>
      <c r="D19" s="866">
        <f>ROUND(E18*A19,0)</f>
        <v>58492</v>
      </c>
      <c r="E19" s="950"/>
      <c r="F19" s="944"/>
      <c r="G19" s="943"/>
      <c r="H19" s="858">
        <v>0</v>
      </c>
      <c r="I19" s="858">
        <v>0</v>
      </c>
      <c r="J19" s="858">
        <f t="shared" ref="J19:L19" si="33">ROUND(J17*$A$19,2)</f>
        <v>71.7</v>
      </c>
      <c r="K19" s="858">
        <f t="shared" si="33"/>
        <v>415.36</v>
      </c>
      <c r="L19" s="858">
        <f t="shared" si="33"/>
        <v>1553.91</v>
      </c>
      <c r="M19" s="858">
        <v>0</v>
      </c>
      <c r="N19" s="858">
        <v>0</v>
      </c>
      <c r="O19" s="858">
        <f>O17</f>
        <v>2028.2477568600002</v>
      </c>
      <c r="P19" s="858">
        <v>0</v>
      </c>
      <c r="Q19" s="858">
        <f t="shared" ref="Q19:S19" si="34">ROUND(Q17*$A$19,2)</f>
        <v>11.72</v>
      </c>
      <c r="R19" s="858">
        <f t="shared" si="34"/>
        <v>548.41999999999996</v>
      </c>
      <c r="S19" s="858">
        <f t="shared" si="34"/>
        <v>122.61</v>
      </c>
      <c r="T19" s="858"/>
      <c r="U19" s="858"/>
      <c r="V19" s="858"/>
      <c r="W19" s="858"/>
      <c r="X19" s="859">
        <f t="shared" si="26"/>
        <v>4751.9677568599991</v>
      </c>
      <c r="Y19" s="859"/>
      <c r="Z19" s="863"/>
      <c r="AA19" s="864" t="s">
        <v>161</v>
      </c>
      <c r="AB19" s="860">
        <f t="shared" ref="AB19" si="35">AB17*$A$19</f>
        <v>50526.09</v>
      </c>
      <c r="AC19" s="861">
        <f>AC17*$A$19</f>
        <v>50567.53</v>
      </c>
      <c r="AD19" s="861">
        <f>AD17*$A$19</f>
        <v>58492.042000000001</v>
      </c>
      <c r="AE19" s="861">
        <f>AE17*$A$19</f>
        <v>50526.09</v>
      </c>
    </row>
    <row r="20" spans="1:31" ht="15.75" customHeight="1" thickBot="1">
      <c r="A20" s="854">
        <f>A18+A17+A13+A12</f>
        <v>305</v>
      </c>
      <c r="B20" s="878" t="s">
        <v>657</v>
      </c>
      <c r="C20" s="856" t="s">
        <v>656</v>
      </c>
      <c r="D20" s="869">
        <f>ROUND((D19/C16),0)</f>
        <v>50526</v>
      </c>
      <c r="E20" s="934">
        <f>E18/C16</f>
        <v>136556.5895340601</v>
      </c>
      <c r="F20" s="945"/>
      <c r="G20" s="946"/>
      <c r="H20" s="870">
        <f t="shared" ref="H20:S20" si="36">ROUND((H19/$C$16),0)</f>
        <v>0</v>
      </c>
      <c r="I20" s="870">
        <f t="shared" si="36"/>
        <v>0</v>
      </c>
      <c r="J20" s="870">
        <f t="shared" si="36"/>
        <v>62</v>
      </c>
      <c r="K20" s="870">
        <f t="shared" si="36"/>
        <v>359</v>
      </c>
      <c r="L20" s="870">
        <f t="shared" si="36"/>
        <v>1342</v>
      </c>
      <c r="M20" s="870">
        <f t="shared" si="36"/>
        <v>0</v>
      </c>
      <c r="N20" s="870">
        <f t="shared" si="36"/>
        <v>0</v>
      </c>
      <c r="O20" s="870">
        <f t="shared" si="36"/>
        <v>1752</v>
      </c>
      <c r="P20" s="870">
        <f t="shared" si="36"/>
        <v>0</v>
      </c>
      <c r="Q20" s="870">
        <f t="shared" si="36"/>
        <v>10</v>
      </c>
      <c r="R20" s="870">
        <f t="shared" si="36"/>
        <v>474</v>
      </c>
      <c r="S20" s="870">
        <f t="shared" si="36"/>
        <v>106</v>
      </c>
      <c r="T20" s="870"/>
      <c r="U20" s="870"/>
      <c r="V20" s="870"/>
      <c r="W20" s="870"/>
      <c r="X20" s="871">
        <f t="shared" si="26"/>
        <v>4105</v>
      </c>
      <c r="Y20" s="871">
        <f>ROUND((X19/C16),0)</f>
        <v>4105</v>
      </c>
      <c r="Z20" s="863"/>
      <c r="AA20" s="863"/>
      <c r="AB20" s="872">
        <f t="shared" ref="AB20" si="37">SUM(AB18:AB19)-AB17</f>
        <v>0</v>
      </c>
      <c r="AC20" s="873">
        <f>SUM(AC18:AC19)-AC17</f>
        <v>0</v>
      </c>
      <c r="AD20" s="873">
        <f>SUM(AD18:AD19)-AD17</f>
        <v>0</v>
      </c>
      <c r="AE20" s="873">
        <f>SUM(AE18:AE19)-AE17</f>
        <v>0</v>
      </c>
    </row>
    <row r="21" spans="1:31" ht="17.25" customHeight="1" thickTop="1" thickBot="1">
      <c r="A21" s="847"/>
      <c r="B21" s="848" t="str">
        <f>'Einnahmen Ausgaben'!C6</f>
        <v>2024.01.01 bis 2024.04.05</v>
      </c>
      <c r="C21" s="849">
        <f>'Conversion rates'!C31</f>
        <v>1.1677200000000001</v>
      </c>
      <c r="D21" s="879"/>
      <c r="E21" s="910"/>
      <c r="F21" s="910"/>
      <c r="G21" s="910"/>
      <c r="H21" s="910"/>
      <c r="I21" s="851">
        <v>1</v>
      </c>
      <c r="J21" s="851">
        <f>100%-$A$24</f>
        <v>0.6</v>
      </c>
      <c r="K21" s="851">
        <f>100%-$A$24</f>
        <v>0.6</v>
      </c>
      <c r="L21" s="851">
        <f>100%-$A$24</f>
        <v>0.6</v>
      </c>
      <c r="M21" s="851">
        <v>1</v>
      </c>
      <c r="N21" s="851">
        <v>1</v>
      </c>
      <c r="O21" s="851">
        <v>0</v>
      </c>
      <c r="P21" s="851">
        <v>1</v>
      </c>
      <c r="Q21" s="851">
        <f>100%-$A$24</f>
        <v>0.6</v>
      </c>
      <c r="R21" s="851">
        <v>1</v>
      </c>
      <c r="S21" s="851">
        <f>100%-$A$24</f>
        <v>0.6</v>
      </c>
      <c r="T21" s="851"/>
      <c r="U21" s="851"/>
      <c r="V21" s="851"/>
      <c r="W21" s="851"/>
      <c r="X21" s="876"/>
      <c r="Y21" s="877"/>
      <c r="Z21" s="877"/>
      <c r="AA21" s="877"/>
      <c r="AB21" s="877"/>
      <c r="AC21" s="877"/>
      <c r="AD21" s="877"/>
      <c r="AE21" s="877"/>
    </row>
    <row r="22" spans="1:31" ht="15.75" customHeight="1" thickBot="1">
      <c r="A22" s="854">
        <f>Flights!O23</f>
        <v>36</v>
      </c>
      <c r="B22" s="855" t="s">
        <v>645</v>
      </c>
      <c r="C22" s="880" t="s">
        <v>652</v>
      </c>
      <c r="D22" s="857">
        <f>'Einnahmen Ausgaben'!D6</f>
        <v>16155</v>
      </c>
      <c r="E22" s="933">
        <f>'Einnahmen Ausgaben'!E6</f>
        <v>8214</v>
      </c>
      <c r="F22" s="916">
        <f>'Einnahmen Ausgaben'!F6</f>
        <v>5042.5200000000004</v>
      </c>
      <c r="G22" s="935">
        <f>'Einnahmen Ausgaben'!G6</f>
        <v>0</v>
      </c>
      <c r="H22" s="858">
        <f>'Einnahmen Ausgaben'!H6</f>
        <v>2550.75</v>
      </c>
      <c r="I22" s="858">
        <f>'Einnahmen Ausgaben'!I6</f>
        <v>0</v>
      </c>
      <c r="J22" s="858">
        <f>'Einnahmen Ausgaben'!J6</f>
        <v>60.53</v>
      </c>
      <c r="K22" s="858">
        <f>'Einnahmen Ausgaben'!K6</f>
        <v>300.98</v>
      </c>
      <c r="L22" s="858">
        <f>'Einnahmen Ausgaben'!L6</f>
        <v>1045.76</v>
      </c>
      <c r="M22" s="858">
        <f>'Einnahmen Ausgaben'!M6</f>
        <v>581.59999999999991</v>
      </c>
      <c r="N22" s="858">
        <f>'Einnahmen Ausgaben'!N6</f>
        <v>3736.7032000000004</v>
      </c>
      <c r="O22" s="858">
        <f>'Einnahmen Ausgaben'!O6</f>
        <v>1590.5910310600002</v>
      </c>
      <c r="P22" s="858">
        <f>'Einnahmen Ausgaben'!P6</f>
        <v>910.99</v>
      </c>
      <c r="Q22" s="858">
        <f>'Einnahmen Ausgaben'!Q6</f>
        <v>889.93</v>
      </c>
      <c r="R22" s="858">
        <f>'Einnahmen Ausgaben'!R6</f>
        <v>0</v>
      </c>
      <c r="S22" s="858">
        <f>'Einnahmen Ausgaben'!S6</f>
        <v>79.679999999999993</v>
      </c>
      <c r="T22" s="858">
        <f>'Einnahmen Ausgaben'!T6</f>
        <v>1608.1</v>
      </c>
      <c r="U22" s="858">
        <f>'Einnahmen Ausgaben'!U6</f>
        <v>0</v>
      </c>
      <c r="V22" s="858">
        <f>'Einnahmen Ausgaben'!V6</f>
        <v>4146.2</v>
      </c>
      <c r="W22" s="858">
        <f>'Einnahmen Ausgaben'!W6</f>
        <v>0</v>
      </c>
      <c r="X22" s="859">
        <f t="shared" ref="X22:X25" si="38">SUM(H22:S22)</f>
        <v>11747.51423106</v>
      </c>
      <c r="Y22" s="871">
        <f>X24+X23</f>
        <v>11747.514231059999</v>
      </c>
      <c r="Z22" s="881">
        <f t="shared" ref="Z22:AA22" si="39">D22</f>
        <v>16155</v>
      </c>
      <c r="AA22" s="882">
        <f t="shared" si="39"/>
        <v>8214</v>
      </c>
      <c r="AB22" s="881">
        <f>Z22+ROUND((AA22/C21),0)</f>
        <v>23189</v>
      </c>
      <c r="AC22" s="882">
        <f>AA22+ROUND((Z22*C21),0)</f>
        <v>27079</v>
      </c>
      <c r="AD22" s="881">
        <f>(D23+D24)/C21</f>
        <v>16155.000000000002</v>
      </c>
      <c r="AE22" s="882">
        <f>E24+E23</f>
        <v>8214</v>
      </c>
    </row>
    <row r="23" spans="1:31" ht="15.75" customHeight="1">
      <c r="A23" s="854">
        <f>Flights!P23</f>
        <v>55</v>
      </c>
      <c r="B23" s="855" t="s">
        <v>647</v>
      </c>
      <c r="C23" s="856" t="s">
        <v>653</v>
      </c>
      <c r="D23" s="915">
        <f>(D22*(100%-A24))*$C$21</f>
        <v>11318.70996</v>
      </c>
      <c r="E23" s="930">
        <f>E22*(100%-A24)</f>
        <v>4928.3999999999996</v>
      </c>
      <c r="F23" s="942"/>
      <c r="G23" s="943"/>
      <c r="H23" s="858">
        <f t="shared" ref="H23:I23" si="40">H22</f>
        <v>2550.75</v>
      </c>
      <c r="I23" s="858">
        <f t="shared" si="40"/>
        <v>0</v>
      </c>
      <c r="J23" s="858">
        <f t="shared" ref="J23:L23" si="41">J22-J24</f>
        <v>36.32</v>
      </c>
      <c r="K23" s="858">
        <f t="shared" si="41"/>
        <v>180.59000000000003</v>
      </c>
      <c r="L23" s="858">
        <f t="shared" si="41"/>
        <v>627.46</v>
      </c>
      <c r="M23" s="858">
        <f t="shared" ref="M23:N23" si="42">M22</f>
        <v>581.59999999999991</v>
      </c>
      <c r="N23" s="858">
        <f t="shared" si="42"/>
        <v>3736.7032000000004</v>
      </c>
      <c r="O23" s="858">
        <v>0</v>
      </c>
      <c r="P23" s="858">
        <f>P22</f>
        <v>910.99</v>
      </c>
      <c r="Q23" s="858">
        <f t="shared" ref="Q23:S23" si="43">Q22-Q24</f>
        <v>533.95999999999992</v>
      </c>
      <c r="R23" s="858">
        <f t="shared" si="43"/>
        <v>0</v>
      </c>
      <c r="S23" s="858">
        <f t="shared" si="43"/>
        <v>47.809999999999988</v>
      </c>
      <c r="T23" s="858"/>
      <c r="U23" s="858"/>
      <c r="V23" s="858"/>
      <c r="W23" s="858"/>
      <c r="X23" s="859">
        <f t="shared" si="38"/>
        <v>9206.1831999999995</v>
      </c>
      <c r="Y23" s="859"/>
      <c r="Z23" s="884"/>
      <c r="AA23" s="885" t="s">
        <v>654</v>
      </c>
      <c r="AB23" s="881">
        <f t="shared" ref="AB23" si="44">AB22*(100%-$A$24)</f>
        <v>13913.4</v>
      </c>
      <c r="AC23" s="882">
        <f>AC22*(100%-$A$29)</f>
        <v>16247.4</v>
      </c>
      <c r="AD23" s="881">
        <f>D25+(D23/C21)</f>
        <v>16155</v>
      </c>
      <c r="AE23" s="882">
        <f>(E25*C21)+E23</f>
        <v>8214</v>
      </c>
    </row>
    <row r="24" spans="1:31" ht="15.75" customHeight="1">
      <c r="A24" s="865">
        <f>Flights!Q23</f>
        <v>0.4</v>
      </c>
      <c r="B24" s="855" t="s">
        <v>649</v>
      </c>
      <c r="C24" s="856" t="s">
        <v>655</v>
      </c>
      <c r="D24" s="916">
        <f>(D22*A24)*C21</f>
        <v>7545.8066400000007</v>
      </c>
      <c r="E24" s="931">
        <f>E22*A24</f>
        <v>3285.6000000000004</v>
      </c>
      <c r="F24" s="944"/>
      <c r="G24" s="943"/>
      <c r="H24" s="858">
        <v>0</v>
      </c>
      <c r="I24" s="858">
        <v>0</v>
      </c>
      <c r="J24" s="858">
        <f t="shared" ref="J24:L24" si="45">ROUND(J22*$A$24,2)</f>
        <v>24.21</v>
      </c>
      <c r="K24" s="858">
        <f t="shared" si="45"/>
        <v>120.39</v>
      </c>
      <c r="L24" s="858">
        <f t="shared" si="45"/>
        <v>418.3</v>
      </c>
      <c r="M24" s="858">
        <v>0</v>
      </c>
      <c r="N24" s="858">
        <v>0</v>
      </c>
      <c r="O24" s="858">
        <f>O22</f>
        <v>1590.5910310600002</v>
      </c>
      <c r="P24" s="858">
        <v>0</v>
      </c>
      <c r="Q24" s="858">
        <f t="shared" ref="Q24:S24" si="46">ROUND(Q22*$A$24,2)</f>
        <v>355.97</v>
      </c>
      <c r="R24" s="858">
        <f t="shared" si="46"/>
        <v>0</v>
      </c>
      <c r="S24" s="858">
        <f t="shared" si="46"/>
        <v>31.87</v>
      </c>
      <c r="T24" s="858"/>
      <c r="U24" s="858"/>
      <c r="V24" s="858"/>
      <c r="W24" s="858"/>
      <c r="X24" s="859">
        <f t="shared" si="38"/>
        <v>2541.33103106</v>
      </c>
      <c r="Y24" s="859"/>
      <c r="Z24" s="884"/>
      <c r="AA24" s="885" t="s">
        <v>161</v>
      </c>
      <c r="AB24" s="881">
        <f t="shared" ref="AB24" si="47">AB22*$A$24</f>
        <v>9275.6</v>
      </c>
      <c r="AC24" s="882">
        <f>AC22*$A$29</f>
        <v>10831.6</v>
      </c>
      <c r="AD24" s="918">
        <f>D25+E25+(D23+E23)/C21</f>
        <v>23189.220532319392</v>
      </c>
      <c r="AE24" s="918">
        <f>D23+E23+D24+E24</f>
        <v>27078.516600000003</v>
      </c>
    </row>
    <row r="25" spans="1:31" ht="15.75" customHeight="1" thickBot="1">
      <c r="A25" s="854">
        <f>A23+A22+A18+A17</f>
        <v>301</v>
      </c>
      <c r="B25" s="878" t="s">
        <v>658</v>
      </c>
      <c r="C25" s="856" t="s">
        <v>656</v>
      </c>
      <c r="D25" s="917">
        <f>D24/$C$21</f>
        <v>6462</v>
      </c>
      <c r="E25" s="932">
        <f>E24/$C$21</f>
        <v>2813.6882129277569</v>
      </c>
      <c r="F25" s="945"/>
      <c r="G25" s="946"/>
      <c r="H25" s="870">
        <f t="shared" ref="H25:S25" si="48">ROUND((H24/$C$21),0)</f>
        <v>0</v>
      </c>
      <c r="I25" s="870">
        <f t="shared" si="48"/>
        <v>0</v>
      </c>
      <c r="J25" s="870">
        <f t="shared" si="48"/>
        <v>21</v>
      </c>
      <c r="K25" s="870">
        <f t="shared" si="48"/>
        <v>103</v>
      </c>
      <c r="L25" s="870">
        <f t="shared" si="48"/>
        <v>358</v>
      </c>
      <c r="M25" s="870">
        <f t="shared" si="48"/>
        <v>0</v>
      </c>
      <c r="N25" s="870">
        <f t="shared" si="48"/>
        <v>0</v>
      </c>
      <c r="O25" s="870">
        <f t="shared" si="48"/>
        <v>1362</v>
      </c>
      <c r="P25" s="870">
        <f t="shared" si="48"/>
        <v>0</v>
      </c>
      <c r="Q25" s="870">
        <f t="shared" si="48"/>
        <v>305</v>
      </c>
      <c r="R25" s="870">
        <f t="shared" si="48"/>
        <v>0</v>
      </c>
      <c r="S25" s="870">
        <f t="shared" si="48"/>
        <v>27</v>
      </c>
      <c r="T25" s="870"/>
      <c r="U25" s="870"/>
      <c r="V25" s="870"/>
      <c r="W25" s="870"/>
      <c r="X25" s="871">
        <f t="shared" si="38"/>
        <v>2176</v>
      </c>
      <c r="Y25" s="871">
        <f>ROUND((X24/C21),0)</f>
        <v>2176</v>
      </c>
      <c r="Z25" s="884"/>
      <c r="AA25" s="884"/>
      <c r="AB25" s="872">
        <f t="shared" ref="AB25:AC25" si="49">SUM(AB23:AB24)-AB22</f>
        <v>0</v>
      </c>
      <c r="AC25" s="873">
        <f t="shared" si="49"/>
        <v>0</v>
      </c>
    </row>
    <row r="26" spans="1:31" ht="17.25" customHeight="1" thickTop="1" thickBot="1">
      <c r="A26" s="847"/>
      <c r="B26" s="848" t="str">
        <f>'Einnahmen Ausgaben'!C7</f>
        <v>2024.04.06 bis 2024.12.31</v>
      </c>
      <c r="C26" s="849">
        <f>'Conversion rates'!C39</f>
        <v>1.1874450000000001</v>
      </c>
      <c r="D26" s="879"/>
      <c r="E26" s="928"/>
      <c r="F26" s="928"/>
      <c r="G26" s="928"/>
      <c r="H26" s="851">
        <v>1</v>
      </c>
      <c r="I26" s="851">
        <v>1</v>
      </c>
      <c r="J26" s="851">
        <f t="shared" ref="J26:L26" si="50">100%-$A$29</f>
        <v>0.6</v>
      </c>
      <c r="K26" s="851">
        <f t="shared" si="50"/>
        <v>0.6</v>
      </c>
      <c r="L26" s="851">
        <f t="shared" si="50"/>
        <v>0.6</v>
      </c>
      <c r="M26" s="851">
        <v>1</v>
      </c>
      <c r="N26" s="851">
        <v>1</v>
      </c>
      <c r="O26" s="851">
        <v>0</v>
      </c>
      <c r="P26" s="851">
        <v>1</v>
      </c>
      <c r="Q26" s="851">
        <f>100%-$A$29</f>
        <v>0.6</v>
      </c>
      <c r="R26" s="851">
        <v>1</v>
      </c>
      <c r="S26" s="851">
        <f>100%-$A$29</f>
        <v>0.6</v>
      </c>
      <c r="T26" s="851"/>
      <c r="U26" s="851"/>
      <c r="V26" s="851"/>
      <c r="W26" s="851"/>
      <c r="X26" s="876"/>
      <c r="Y26" s="877"/>
      <c r="Z26" s="877"/>
      <c r="AA26" s="877"/>
      <c r="AB26" s="877"/>
      <c r="AC26" s="877"/>
      <c r="AD26" s="877"/>
      <c r="AE26" s="877"/>
    </row>
    <row r="27" spans="1:31" ht="15.75" customHeight="1" thickBot="1">
      <c r="A27" s="854">
        <f>Flights!O24</f>
        <v>78</v>
      </c>
      <c r="B27" s="855" t="s">
        <v>645</v>
      </c>
      <c r="C27" s="880" t="s">
        <v>652</v>
      </c>
      <c r="D27" s="914">
        <f>'Einnahmen Ausgaben'!D7</f>
        <v>97332</v>
      </c>
      <c r="E27" s="929">
        <f>'Einnahmen Ausgaben'!E7</f>
        <v>29155</v>
      </c>
      <c r="F27" s="916">
        <f>'Einnahmen Ausgaben'!F7</f>
        <v>27525</v>
      </c>
      <c r="G27" s="935">
        <f>'Einnahmen Ausgaben'!G7</f>
        <v>10558</v>
      </c>
      <c r="H27" s="858">
        <f>'Einnahmen Ausgaben'!H7</f>
        <v>7721</v>
      </c>
      <c r="I27" s="858">
        <f>'Einnahmen Ausgaben'!I7</f>
        <v>0</v>
      </c>
      <c r="J27" s="858">
        <f>'Einnahmen Ausgaben'!J7</f>
        <v>189</v>
      </c>
      <c r="K27" s="858">
        <f>'Einnahmen Ausgaben'!K7</f>
        <v>1093</v>
      </c>
      <c r="L27" s="858">
        <f>'Einnahmen Ausgaben'!L7</f>
        <v>7143</v>
      </c>
      <c r="M27" s="858">
        <f>'Einnahmen Ausgaben'!M7</f>
        <v>1469</v>
      </c>
      <c r="N27" s="858">
        <f>'Einnahmen Ausgaben'!N7</f>
        <v>8972</v>
      </c>
      <c r="O27" s="858">
        <f>'Einnahmen Ausgaben'!O7</f>
        <v>2329</v>
      </c>
      <c r="P27" s="858">
        <f>'Einnahmen Ausgaben'!P7</f>
        <v>424</v>
      </c>
      <c r="Q27" s="858">
        <f>'Einnahmen Ausgaben'!Q7</f>
        <v>626</v>
      </c>
      <c r="R27" s="858">
        <f>'Einnahmen Ausgaben'!R7</f>
        <v>2531</v>
      </c>
      <c r="S27" s="858">
        <f>'Einnahmen Ausgaben'!S7</f>
        <v>593</v>
      </c>
      <c r="T27" s="858">
        <f>'Einnahmen Ausgaben'!T7</f>
        <v>2942</v>
      </c>
      <c r="U27" s="858">
        <f>'Einnahmen Ausgaben'!U7</f>
        <v>0</v>
      </c>
      <c r="V27" s="858">
        <f>'Einnahmen Ausgaben'!V7</f>
        <v>8292</v>
      </c>
      <c r="W27" s="858">
        <f>'Einnahmen Ausgaben'!W7</f>
        <v>0</v>
      </c>
      <c r="X27" s="859">
        <f t="shared" ref="X27:X30" si="51">SUM(H27:S27)</f>
        <v>33090</v>
      </c>
      <c r="Y27" s="871">
        <f>X29+X28</f>
        <v>33090</v>
      </c>
      <c r="Z27" s="881">
        <f>D27</f>
        <v>97332</v>
      </c>
      <c r="AA27" s="882">
        <f t="shared" ref="AA27" si="52">E27</f>
        <v>29155</v>
      </c>
      <c r="AB27" s="881">
        <f>Z27+ROUND((AA27/C26),0)</f>
        <v>121885</v>
      </c>
      <c r="AC27" s="882">
        <f>AA27+ROUND((Z27*C26),0)</f>
        <v>144731</v>
      </c>
      <c r="AD27" s="881">
        <f>(D28+D29)/C26</f>
        <v>97332</v>
      </c>
      <c r="AE27" s="882">
        <f>E29+E28</f>
        <v>29155</v>
      </c>
    </row>
    <row r="28" spans="1:31" ht="15.75" customHeight="1">
      <c r="A28" s="854">
        <f>Flights!P24</f>
        <v>117</v>
      </c>
      <c r="B28" s="855" t="s">
        <v>647</v>
      </c>
      <c r="C28" s="856" t="s">
        <v>653</v>
      </c>
      <c r="D28" s="915">
        <f>(D27*(100%-A29))*$C$26</f>
        <v>69345.838044000004</v>
      </c>
      <c r="E28" s="930">
        <f>E27*(100%-A29)</f>
        <v>17493</v>
      </c>
      <c r="F28" s="936"/>
      <c r="G28" s="937"/>
      <c r="H28" s="858">
        <f>H27</f>
        <v>7721</v>
      </c>
      <c r="I28" s="858">
        <f>I27</f>
        <v>0</v>
      </c>
      <c r="J28" s="858">
        <f>J27-J29</f>
        <v>113.4</v>
      </c>
      <c r="K28" s="858">
        <f>K27-K29</f>
        <v>655.8</v>
      </c>
      <c r="L28" s="858">
        <f t="shared" ref="L28" si="53">L27-L29</f>
        <v>4285.8</v>
      </c>
      <c r="M28" s="858">
        <f t="shared" ref="M28:N28" si="54">M27</f>
        <v>1469</v>
      </c>
      <c r="N28" s="858">
        <f t="shared" si="54"/>
        <v>8972</v>
      </c>
      <c r="O28" s="858">
        <v>0</v>
      </c>
      <c r="P28" s="858">
        <f>P27</f>
        <v>424</v>
      </c>
      <c r="Q28" s="858">
        <f>Q27-Q29</f>
        <v>375.6</v>
      </c>
      <c r="R28" s="858">
        <f>R27</f>
        <v>2531</v>
      </c>
      <c r="S28" s="858">
        <f>S27-S29</f>
        <v>355.8</v>
      </c>
      <c r="T28" s="858"/>
      <c r="U28" s="858"/>
      <c r="V28" s="858"/>
      <c r="W28" s="858"/>
      <c r="X28" s="859">
        <f t="shared" si="51"/>
        <v>26903.399999999998</v>
      </c>
      <c r="Y28" s="859"/>
      <c r="Z28" s="903"/>
      <c r="AA28" s="885" t="s">
        <v>654</v>
      </c>
      <c r="AB28" s="881">
        <f>AB27*(100%-$A$29)</f>
        <v>73131</v>
      </c>
      <c r="AC28" s="882">
        <f>AC27*(100%-$A$29)</f>
        <v>86838.599999999991</v>
      </c>
      <c r="AD28" s="881">
        <f>D30+(D28/C26)</f>
        <v>97332</v>
      </c>
      <c r="AE28" s="882">
        <f>(E30*C26)+E28</f>
        <v>29155</v>
      </c>
    </row>
    <row r="29" spans="1:31" ht="15.75" customHeight="1">
      <c r="A29" s="865">
        <f>Flights!Q24</f>
        <v>0.4</v>
      </c>
      <c r="B29" s="855" t="s">
        <v>649</v>
      </c>
      <c r="C29" s="856" t="s">
        <v>655</v>
      </c>
      <c r="D29" s="916">
        <f>(D27*A29)*C26</f>
        <v>46230.558696000007</v>
      </c>
      <c r="E29" s="931">
        <f>E27*A29</f>
        <v>11662</v>
      </c>
      <c r="F29" s="936"/>
      <c r="G29" s="937"/>
      <c r="H29" s="858">
        <v>0</v>
      </c>
      <c r="I29" s="858">
        <v>0</v>
      </c>
      <c r="J29" s="858">
        <f>ROUND(J27*$A$29,2)</f>
        <v>75.599999999999994</v>
      </c>
      <c r="K29" s="858">
        <f t="shared" ref="K29:L29" si="55">ROUND(K27*$A$29,2)</f>
        <v>437.2</v>
      </c>
      <c r="L29" s="858">
        <f t="shared" si="55"/>
        <v>2857.2</v>
      </c>
      <c r="M29" s="858">
        <v>0</v>
      </c>
      <c r="N29" s="858">
        <v>0</v>
      </c>
      <c r="O29" s="858">
        <f>O27</f>
        <v>2329</v>
      </c>
      <c r="P29" s="858">
        <v>0</v>
      </c>
      <c r="Q29" s="858">
        <f>ROUND(Q27*$A$29,2)</f>
        <v>250.4</v>
      </c>
      <c r="R29" s="858">
        <v>0</v>
      </c>
      <c r="S29" s="858">
        <f>ROUND(S27*$A$29,2)</f>
        <v>237.2</v>
      </c>
      <c r="T29" s="858"/>
      <c r="U29" s="858"/>
      <c r="V29" s="858"/>
      <c r="W29" s="858"/>
      <c r="X29" s="859">
        <f t="shared" si="51"/>
        <v>6186.5999999999995</v>
      </c>
      <c r="Y29" s="859"/>
      <c r="Z29" s="903"/>
      <c r="AA29" s="885" t="s">
        <v>161</v>
      </c>
      <c r="AB29" s="881">
        <f>AB27*$A$29</f>
        <v>48754</v>
      </c>
      <c r="AC29" s="882">
        <f>AC27*$A$29</f>
        <v>57892.4</v>
      </c>
      <c r="AD29" s="918">
        <f>D30+E30+(D28+E28)/C26</f>
        <v>121884.71612579952</v>
      </c>
      <c r="AE29" s="918">
        <f>D28+E28+D29+E29</f>
        <v>144731.39674</v>
      </c>
    </row>
    <row r="30" spans="1:31" ht="15.75" customHeight="1" thickBot="1">
      <c r="A30" s="854">
        <f>A28+A27+A23+A22</f>
        <v>286</v>
      </c>
      <c r="B30" s="878" t="s">
        <v>659</v>
      </c>
      <c r="C30" s="856" t="s">
        <v>656</v>
      </c>
      <c r="D30" s="917">
        <f>D29/$C$26</f>
        <v>38932.800000000003</v>
      </c>
      <c r="E30" s="932">
        <f>E29/$C$26</f>
        <v>9821.0864503198045</v>
      </c>
      <c r="F30" s="938"/>
      <c r="G30" s="939"/>
      <c r="H30" s="870">
        <f>ROUND((H29/$C$26),0)</f>
        <v>0</v>
      </c>
      <c r="I30" s="870">
        <f>ROUND((I29/$C$26),0)</f>
        <v>0</v>
      </c>
      <c r="J30" s="870">
        <f>ROUND((J29/$C$26),0)</f>
        <v>64</v>
      </c>
      <c r="K30" s="870">
        <f>ROUND((K29/$C$26),0)</f>
        <v>368</v>
      </c>
      <c r="L30" s="870">
        <f>ROUND((L29/$C$26),0)</f>
        <v>2406</v>
      </c>
      <c r="M30" s="870">
        <f t="shared" ref="M30:S30" si="56">ROUND((M29/$C$26),0)</f>
        <v>0</v>
      </c>
      <c r="N30" s="870">
        <f t="shared" si="56"/>
        <v>0</v>
      </c>
      <c r="O30" s="870">
        <f t="shared" si="56"/>
        <v>1961</v>
      </c>
      <c r="P30" s="870">
        <f t="shared" si="56"/>
        <v>0</v>
      </c>
      <c r="Q30" s="870">
        <f t="shared" si="56"/>
        <v>211</v>
      </c>
      <c r="R30" s="870">
        <f t="shared" si="56"/>
        <v>0</v>
      </c>
      <c r="S30" s="870">
        <f t="shared" si="56"/>
        <v>200</v>
      </c>
      <c r="T30" s="870"/>
      <c r="U30" s="870"/>
      <c r="V30" s="870"/>
      <c r="W30" s="870"/>
      <c r="X30" s="871">
        <f t="shared" si="51"/>
        <v>5210</v>
      </c>
      <c r="Y30" s="871">
        <f>ROUND((X29/C26),0)</f>
        <v>5210</v>
      </c>
      <c r="Z30" s="903"/>
      <c r="AA30" s="903"/>
      <c r="AB30" s="872">
        <f t="shared" ref="AB30:AC30" si="57">SUM(AB28:AB29)-AB27</f>
        <v>0</v>
      </c>
      <c r="AC30" s="873">
        <f t="shared" si="57"/>
        <v>0</v>
      </c>
    </row>
    <row r="31" spans="1:31" ht="17.25" customHeight="1" thickTop="1" thickBot="1">
      <c r="A31" s="846">
        <f>A32+A33</f>
        <v>90</v>
      </c>
      <c r="B31" s="848" t="str">
        <f>'Einnahmen Ausgaben'!C8</f>
        <v>2025.01.01 bis 2025.04.05</v>
      </c>
      <c r="C31" s="849">
        <f>'Conversion rates'!C43</f>
        <v>1.1899360000000001</v>
      </c>
      <c r="D31" s="910"/>
      <c r="E31" s="909"/>
      <c r="F31" s="910"/>
      <c r="G31" s="910"/>
      <c r="H31" s="851">
        <v>1</v>
      </c>
      <c r="I31" s="851">
        <v>1</v>
      </c>
      <c r="J31" s="851">
        <f>100%-$A$34</f>
        <v>0.38</v>
      </c>
      <c r="K31" s="851">
        <f t="shared" ref="K31:L31" si="58">100%-$A$34</f>
        <v>0.38</v>
      </c>
      <c r="L31" s="851">
        <f t="shared" si="58"/>
        <v>0.38</v>
      </c>
      <c r="M31" s="851">
        <v>1</v>
      </c>
      <c r="N31" s="851">
        <v>1</v>
      </c>
      <c r="O31" s="851">
        <v>0</v>
      </c>
      <c r="P31" s="851">
        <v>1</v>
      </c>
      <c r="Q31" s="851">
        <f>100%-$A$34</f>
        <v>0.38</v>
      </c>
      <c r="R31" s="851">
        <v>1</v>
      </c>
      <c r="S31" s="851">
        <f>100%-$A$34</f>
        <v>0.38</v>
      </c>
      <c r="T31" s="909"/>
      <c r="U31" s="909"/>
      <c r="V31" s="909"/>
      <c r="W31" s="909"/>
      <c r="X31" s="876"/>
      <c r="Y31" s="877"/>
      <c r="Z31" s="877"/>
      <c r="AA31" s="877"/>
      <c r="AB31" s="877"/>
      <c r="AC31" s="877"/>
      <c r="AD31" s="877"/>
      <c r="AE31" s="877"/>
    </row>
    <row r="32" spans="1:31" ht="17.25" customHeight="1" thickBot="1">
      <c r="A32" s="854">
        <f>Flights!O25</f>
        <v>58</v>
      </c>
      <c r="B32" s="855" t="s">
        <v>645</v>
      </c>
      <c r="C32" s="880" t="s">
        <v>652</v>
      </c>
      <c r="D32" s="857">
        <f>'Einnahmen Ausgaben'!D8</f>
        <v>15378</v>
      </c>
      <c r="E32" s="933">
        <f>'Einnahmen Ausgaben'!E8</f>
        <v>25480.13</v>
      </c>
      <c r="F32" s="940">
        <f>'Einnahmen Ausgaben'!F8</f>
        <v>7022.2</v>
      </c>
      <c r="G32" s="941">
        <f>'Einnahmen Ausgaben'!G8</f>
        <v>0</v>
      </c>
      <c r="H32" s="858">
        <f>'Einnahmen Ausgaben'!H8</f>
        <v>2709.38</v>
      </c>
      <c r="I32" s="858">
        <f>'Einnahmen Ausgaben'!I8</f>
        <v>0</v>
      </c>
      <c r="J32" s="858">
        <f>'Einnahmen Ausgaben'!J8</f>
        <v>134.82</v>
      </c>
      <c r="K32" s="858">
        <f>'Einnahmen Ausgaben'!K8</f>
        <v>104.97</v>
      </c>
      <c r="L32" s="858">
        <f>'Einnahmen Ausgaben'!L8</f>
        <v>2532.08</v>
      </c>
      <c r="M32" s="858">
        <f>'Einnahmen Ausgaben'!M8</f>
        <v>649.29000000000008</v>
      </c>
      <c r="N32" s="858">
        <f>'Einnahmen Ausgaben'!N8</f>
        <v>3347.54</v>
      </c>
      <c r="O32" s="858">
        <f>'Einnahmen Ausgaben'!O8</f>
        <v>3360.74</v>
      </c>
      <c r="P32" s="858">
        <f>'Einnahmen Ausgaben'!P8</f>
        <v>39.93</v>
      </c>
      <c r="Q32" s="858">
        <f>'Einnahmen Ausgaben'!Q8</f>
        <v>1483.45</v>
      </c>
      <c r="R32" s="858">
        <f>'Einnahmen Ausgaben'!R8</f>
        <v>0</v>
      </c>
      <c r="S32" s="858">
        <f>'Einnahmen Ausgaben'!S8</f>
        <v>200.79999999999998</v>
      </c>
      <c r="T32" s="858">
        <f>'Einnahmen Ausgaben'!T8</f>
        <v>1485.48</v>
      </c>
      <c r="U32" s="858">
        <f>'Einnahmen Ausgaben'!U8</f>
        <v>0</v>
      </c>
      <c r="V32" s="858">
        <f>'Einnahmen Ausgaben'!V8</f>
        <v>0</v>
      </c>
      <c r="W32" s="858">
        <f>'Einnahmen Ausgaben'!W8</f>
        <v>0</v>
      </c>
      <c r="X32" s="859">
        <f t="shared" ref="X32:X35" si="59">SUM(H32:S32)</f>
        <v>14563</v>
      </c>
      <c r="Y32" s="871">
        <f>X34+X33</f>
        <v>14563</v>
      </c>
      <c r="Z32" s="881">
        <f t="shared" ref="Z32" si="60">D32</f>
        <v>15378</v>
      </c>
      <c r="AA32" s="882">
        <f t="shared" ref="AA32" si="61">E32</f>
        <v>25480.13</v>
      </c>
      <c r="AB32" s="881">
        <f>Z32+ROUND((AA32/C31),0)</f>
        <v>36791</v>
      </c>
      <c r="AC32" s="882">
        <f>AA32+ROUND((Z32*C31),0)</f>
        <v>43779.130000000005</v>
      </c>
      <c r="AD32" s="881">
        <f>(D33+D34)/C31</f>
        <v>15378.00352287854</v>
      </c>
      <c r="AE32" s="882">
        <f>E34+E33</f>
        <v>25480.1306</v>
      </c>
    </row>
    <row r="33" spans="1:32" ht="17.25" customHeight="1">
      <c r="A33" s="854">
        <f>Flights!P25</f>
        <v>32</v>
      </c>
      <c r="B33" s="855" t="s">
        <v>647</v>
      </c>
      <c r="C33" s="856" t="s">
        <v>653</v>
      </c>
      <c r="D33" s="883">
        <f>ROUND((D32*(100%-A34))*C31,2)</f>
        <v>6953.56</v>
      </c>
      <c r="E33" s="930">
        <f>ROUND(E32*(100%-A34),2)</f>
        <v>9682.4500000000007</v>
      </c>
      <c r="F33" s="936"/>
      <c r="G33" s="937"/>
      <c r="H33" s="858">
        <f>H32</f>
        <v>2709.38</v>
      </c>
      <c r="I33" s="858">
        <f>I32</f>
        <v>0</v>
      </c>
      <c r="J33" s="858">
        <f>J32-J34</f>
        <v>80.889999999999986</v>
      </c>
      <c r="K33" s="858">
        <f t="shared" ref="K33:S33" si="62">K32-K34</f>
        <v>62.98</v>
      </c>
      <c r="L33" s="858">
        <f t="shared" si="62"/>
        <v>1519.25</v>
      </c>
      <c r="M33" s="858">
        <f t="shared" si="62"/>
        <v>649.29000000000008</v>
      </c>
      <c r="N33" s="858">
        <f t="shared" si="62"/>
        <v>3347.54</v>
      </c>
      <c r="O33" s="858">
        <f t="shared" si="62"/>
        <v>2016.4399999999998</v>
      </c>
      <c r="P33" s="858">
        <f t="shared" si="62"/>
        <v>39.93</v>
      </c>
      <c r="Q33" s="858">
        <f t="shared" si="62"/>
        <v>890.07</v>
      </c>
      <c r="R33" s="858">
        <f t="shared" si="62"/>
        <v>0</v>
      </c>
      <c r="S33" s="858">
        <f t="shared" si="62"/>
        <v>120.47999999999999</v>
      </c>
      <c r="T33" s="858"/>
      <c r="U33" s="858"/>
      <c r="V33" s="858"/>
      <c r="W33" s="858"/>
      <c r="X33" s="859">
        <f t="shared" si="59"/>
        <v>11436.25</v>
      </c>
      <c r="Y33" s="859"/>
      <c r="Z33" s="903"/>
      <c r="AA33" s="885" t="s">
        <v>654</v>
      </c>
      <c r="AB33" s="881">
        <f>AB32*(100%-$A$29)</f>
        <v>22074.6</v>
      </c>
      <c r="AC33" s="882">
        <f>AC32*(100%-$A$29)</f>
        <v>26267.478000000003</v>
      </c>
      <c r="AD33" s="881">
        <f>D35+(D33/C31)</f>
        <v>15378.002010998911</v>
      </c>
      <c r="AE33" s="882">
        <f>(E35*C31)+E33</f>
        <v>25480.135530880001</v>
      </c>
    </row>
    <row r="34" spans="1:32" ht="17.25" customHeight="1">
      <c r="A34" s="865">
        <f>Flights!Q25</f>
        <v>0.62</v>
      </c>
      <c r="B34" s="855" t="s">
        <v>649</v>
      </c>
      <c r="C34" s="856" t="s">
        <v>655</v>
      </c>
      <c r="D34" s="947">
        <f>ROUND((D32*A34)*C31,2)</f>
        <v>11345.28</v>
      </c>
      <c r="E34" s="931">
        <f>E32*A34</f>
        <v>15797.6806</v>
      </c>
      <c r="F34" s="936"/>
      <c r="G34" s="937"/>
      <c r="H34" s="858">
        <v>0</v>
      </c>
      <c r="I34" s="858">
        <v>0</v>
      </c>
      <c r="J34" s="858">
        <f>ROUND(J32*$A$29,2)</f>
        <v>53.93</v>
      </c>
      <c r="K34" s="858">
        <f t="shared" ref="K34:S34" si="63">ROUND(K32*$A$29,2)</f>
        <v>41.99</v>
      </c>
      <c r="L34" s="858">
        <f t="shared" si="63"/>
        <v>1012.83</v>
      </c>
      <c r="M34" s="858">
        <v>0</v>
      </c>
      <c r="N34" s="858">
        <v>0</v>
      </c>
      <c r="O34" s="858">
        <f t="shared" si="63"/>
        <v>1344.3</v>
      </c>
      <c r="P34" s="858">
        <v>0</v>
      </c>
      <c r="Q34" s="858">
        <f t="shared" si="63"/>
        <v>593.38</v>
      </c>
      <c r="R34" s="858">
        <v>0</v>
      </c>
      <c r="S34" s="858">
        <f t="shared" si="63"/>
        <v>80.319999999999993</v>
      </c>
      <c r="T34" s="858"/>
      <c r="U34" s="858"/>
      <c r="V34" s="858"/>
      <c r="W34" s="858"/>
      <c r="X34" s="859">
        <f t="shared" si="59"/>
        <v>3126.7500000000005</v>
      </c>
      <c r="Y34" s="859"/>
      <c r="Z34" s="903"/>
      <c r="AA34" s="885" t="s">
        <v>161</v>
      </c>
      <c r="AB34" s="881">
        <f>AB32*$A$29</f>
        <v>14716.400000000001</v>
      </c>
      <c r="AC34" s="882">
        <f>AC32*$A$29</f>
        <v>17511.652000000002</v>
      </c>
      <c r="AD34" s="918">
        <f>D35+E35+(D33+E33)/C31</f>
        <v>36791.032233531892</v>
      </c>
      <c r="AE34" s="918">
        <f>D33+E33+D34+E34</f>
        <v>43778.970600000001</v>
      </c>
    </row>
    <row r="35" spans="1:32" ht="17.25" customHeight="1" thickBot="1">
      <c r="A35" s="854">
        <f>A33+A32+A28+A27</f>
        <v>285</v>
      </c>
      <c r="B35" s="878" t="s">
        <v>2406</v>
      </c>
      <c r="C35" s="856" t="s">
        <v>656</v>
      </c>
      <c r="D35" s="948">
        <f>ROUND(D34/C31,2)</f>
        <v>9534.36</v>
      </c>
      <c r="E35" s="934">
        <f>ROUND(E34/C31,2)</f>
        <v>13276.08</v>
      </c>
      <c r="F35" s="938"/>
      <c r="G35" s="939"/>
      <c r="H35" s="870">
        <f>ROUND((H34/$C$31),0)</f>
        <v>0</v>
      </c>
      <c r="I35" s="870">
        <f>ROUND((I34/$C$31),0)</f>
        <v>0</v>
      </c>
      <c r="J35" s="870">
        <f>ROUND((J34/$C$31),0)</f>
        <v>45</v>
      </c>
      <c r="K35" s="870">
        <f t="shared" ref="K35:S35" si="64">ROUND((K34/$C$31),0)</f>
        <v>35</v>
      </c>
      <c r="L35" s="870">
        <f>ROUND((L34/$C$31),0)</f>
        <v>851</v>
      </c>
      <c r="M35" s="870">
        <f t="shared" si="64"/>
        <v>0</v>
      </c>
      <c r="N35" s="870">
        <f t="shared" si="64"/>
        <v>0</v>
      </c>
      <c r="O35" s="870">
        <f t="shared" si="64"/>
        <v>1130</v>
      </c>
      <c r="P35" s="870">
        <f t="shared" si="64"/>
        <v>0</v>
      </c>
      <c r="Q35" s="870">
        <f t="shared" si="64"/>
        <v>499</v>
      </c>
      <c r="R35" s="870">
        <f t="shared" si="64"/>
        <v>0</v>
      </c>
      <c r="S35" s="870">
        <f t="shared" si="64"/>
        <v>67</v>
      </c>
      <c r="T35" s="870"/>
      <c r="U35" s="870"/>
      <c r="V35" s="870"/>
      <c r="W35" s="870"/>
      <c r="X35" s="871">
        <f t="shared" si="59"/>
        <v>2627</v>
      </c>
      <c r="Y35" s="871">
        <f>ROUND((X34/C31),0)</f>
        <v>2628</v>
      </c>
      <c r="Z35" s="903"/>
      <c r="AA35" s="903"/>
      <c r="AB35" s="872">
        <f t="shared" ref="AB35:AC35" si="65">SUM(AB33:AB34)-AB32</f>
        <v>0</v>
      </c>
      <c r="AC35" s="873">
        <f t="shared" si="65"/>
        <v>0</v>
      </c>
    </row>
    <row r="36" spans="1:32" ht="17.25" customHeight="1" thickTop="1" thickBot="1">
      <c r="A36" s="846">
        <f>A37+A38</f>
        <v>189</v>
      </c>
      <c r="B36" s="848" t="str">
        <f>'Einnahmen Ausgaben'!C9</f>
        <v>2025.04.06 bis 2025.12.31</v>
      </c>
      <c r="C36" s="849">
        <f>'Conversion rates'!C51</f>
        <v>1.155967</v>
      </c>
      <c r="D36" s="909"/>
      <c r="E36" s="909"/>
      <c r="F36" s="910"/>
      <c r="G36" s="910"/>
      <c r="H36" s="851">
        <v>1</v>
      </c>
      <c r="I36" s="851">
        <v>1</v>
      </c>
      <c r="J36" s="851">
        <f>100%-$A$39</f>
        <v>0.38</v>
      </c>
      <c r="K36" s="851">
        <f t="shared" ref="K36:L36" si="66">100%-$A$39</f>
        <v>0.38</v>
      </c>
      <c r="L36" s="851">
        <f t="shared" si="66"/>
        <v>0.38</v>
      </c>
      <c r="M36" s="851">
        <v>1</v>
      </c>
      <c r="N36" s="851">
        <v>1</v>
      </c>
      <c r="O36" s="851">
        <v>0</v>
      </c>
      <c r="P36" s="851">
        <v>1</v>
      </c>
      <c r="Q36" s="851">
        <f>100%-$A$39</f>
        <v>0.38</v>
      </c>
      <c r="R36" s="851">
        <v>1</v>
      </c>
      <c r="S36" s="851">
        <f>100%-$A$39</f>
        <v>0.38</v>
      </c>
      <c r="T36" s="909"/>
      <c r="U36" s="909"/>
      <c r="V36" s="909"/>
      <c r="W36" s="909"/>
      <c r="X36" s="876"/>
      <c r="Y36" s="877"/>
      <c r="Z36" s="877"/>
      <c r="AA36" s="877"/>
      <c r="AB36" s="877"/>
      <c r="AC36" s="877"/>
      <c r="AD36" s="877"/>
      <c r="AE36" s="877"/>
    </row>
    <row r="37" spans="1:32" ht="17.25" customHeight="1" thickBot="1">
      <c r="A37" s="854">
        <f>Flights!O26</f>
        <v>114</v>
      </c>
      <c r="B37" s="855" t="s">
        <v>645</v>
      </c>
      <c r="C37" s="880" t="s">
        <v>652</v>
      </c>
      <c r="D37" s="857">
        <f>'Einnahmen Ausgaben'!D9</f>
        <v>64517</v>
      </c>
      <c r="E37" s="933">
        <f>'Einnahmen Ausgaben'!E9</f>
        <v>38789.01</v>
      </c>
      <c r="F37" s="940">
        <f>'Einnahmen Ausgaben'!F9</f>
        <v>9138.4</v>
      </c>
      <c r="G37" s="941">
        <f>'Einnahmen Ausgaben'!G9</f>
        <v>10070</v>
      </c>
      <c r="H37" s="858">
        <f>'Einnahmen Ausgaben'!H9</f>
        <v>9178.8100000000013</v>
      </c>
      <c r="I37" s="858">
        <f>'Einnahmen Ausgaben'!I9</f>
        <v>0</v>
      </c>
      <c r="J37" s="858">
        <f>'Einnahmen Ausgaben'!J9</f>
        <v>322.66999999999996</v>
      </c>
      <c r="K37" s="858">
        <f>'Einnahmen Ausgaben'!K9</f>
        <v>841.90000000000009</v>
      </c>
      <c r="L37" s="858">
        <f>'Einnahmen Ausgaben'!L9</f>
        <v>6281.32</v>
      </c>
      <c r="M37" s="858">
        <f>'Einnahmen Ausgaben'!M9</f>
        <v>1434.31</v>
      </c>
      <c r="N37" s="858">
        <f>'Einnahmen Ausgaben'!N9</f>
        <v>12193.24</v>
      </c>
      <c r="O37" s="858">
        <f>'Einnahmen Ausgaben'!O9</f>
        <v>4350.6499999999996</v>
      </c>
      <c r="P37" s="858">
        <f>'Einnahmen Ausgaben'!P9</f>
        <v>2672.4600000000005</v>
      </c>
      <c r="Q37" s="858">
        <f>'Einnahmen Ausgaben'!Q9</f>
        <v>1238.3500000000004</v>
      </c>
      <c r="R37" s="858">
        <f>'Einnahmen Ausgaben'!R9</f>
        <v>3200.74</v>
      </c>
      <c r="S37" s="858">
        <f>'Einnahmen Ausgaben'!S9</f>
        <v>380.40999999999997</v>
      </c>
      <c r="T37" s="858">
        <f>'Einnahmen Ausgaben'!T9</f>
        <v>2881.8</v>
      </c>
      <c r="U37" s="858">
        <f>'Einnahmen Ausgaben'!U9</f>
        <v>0</v>
      </c>
      <c r="V37" s="858">
        <f>'Einnahmen Ausgaben'!V9</f>
        <v>0</v>
      </c>
      <c r="W37" s="858">
        <f>'Einnahmen Ausgaben'!W9</f>
        <v>0</v>
      </c>
      <c r="X37" s="859">
        <f t="shared" ref="X37:X40" si="67">SUM(H37:S37)</f>
        <v>42094.86</v>
      </c>
      <c r="Y37" s="871">
        <f>X39+X38</f>
        <v>42094.86</v>
      </c>
      <c r="Z37" s="881">
        <f t="shared" ref="Z37" si="68">D37</f>
        <v>64517</v>
      </c>
      <c r="AA37" s="882">
        <f t="shared" ref="AA37" si="69">E37</f>
        <v>38789.01</v>
      </c>
      <c r="AB37" s="881">
        <f>Z37+ROUND((AA37/C36),0)</f>
        <v>98072</v>
      </c>
      <c r="AC37" s="882">
        <f>AA37+ROUND((Z37*C36),0)</f>
        <v>113369.01000000001</v>
      </c>
      <c r="AD37" s="881">
        <f>(D38+D39)/C36</f>
        <v>64516.997457539881</v>
      </c>
      <c r="AE37" s="882">
        <f>E39+E38</f>
        <v>38789.006200000003</v>
      </c>
    </row>
    <row r="38" spans="1:32" ht="17.25" customHeight="1">
      <c r="A38" s="854">
        <f>Flights!P26</f>
        <v>75</v>
      </c>
      <c r="B38" s="855" t="s">
        <v>647</v>
      </c>
      <c r="C38" s="856" t="s">
        <v>653</v>
      </c>
      <c r="D38" s="883">
        <f>ROUND((D37*(100%-A39))*C36,2)</f>
        <v>28340.22</v>
      </c>
      <c r="E38" s="930">
        <f>ROUND(E37*(100%-A39),2)</f>
        <v>14739.82</v>
      </c>
      <c r="F38" s="936"/>
      <c r="G38" s="937"/>
      <c r="H38" s="858">
        <f>H37</f>
        <v>9178.8100000000013</v>
      </c>
      <c r="I38" s="858">
        <f>I37</f>
        <v>0</v>
      </c>
      <c r="J38" s="858">
        <f>J37-J39</f>
        <v>193.59999999999997</v>
      </c>
      <c r="K38" s="858">
        <f t="shared" ref="K38" si="70">K37-K39</f>
        <v>505.1400000000001</v>
      </c>
      <c r="L38" s="858">
        <f t="shared" ref="L38" si="71">L37-L39</f>
        <v>3768.7899999999995</v>
      </c>
      <c r="M38" s="858">
        <f t="shared" ref="M38" si="72">M37-M39</f>
        <v>1434.31</v>
      </c>
      <c r="N38" s="858">
        <f t="shared" ref="N38" si="73">N37-N39</f>
        <v>12193.24</v>
      </c>
      <c r="O38" s="858">
        <f t="shared" ref="O38" si="74">O37-O39</f>
        <v>2610.3899999999994</v>
      </c>
      <c r="P38" s="858">
        <f t="shared" ref="P38" si="75">P37-P39</f>
        <v>2672.4600000000005</v>
      </c>
      <c r="Q38" s="858">
        <f t="shared" ref="Q38" si="76">Q37-Q39</f>
        <v>743.01000000000045</v>
      </c>
      <c r="R38" s="858">
        <f t="shared" ref="R38" si="77">R37-R39</f>
        <v>3200.74</v>
      </c>
      <c r="S38" s="858">
        <f t="shared" ref="S38" si="78">S37-S39</f>
        <v>228.24999999999997</v>
      </c>
      <c r="T38" s="858"/>
      <c r="U38" s="858"/>
      <c r="V38" s="858"/>
      <c r="W38" s="858"/>
      <c r="X38" s="859">
        <f t="shared" si="67"/>
        <v>36728.74</v>
      </c>
      <c r="Y38" s="859"/>
      <c r="Z38" s="903"/>
      <c r="AA38" s="885" t="s">
        <v>654</v>
      </c>
      <c r="AB38" s="881">
        <f>AB37*(100%-$A$29)</f>
        <v>58843.199999999997</v>
      </c>
      <c r="AC38" s="882">
        <f>AC37*(100%-$A$29)</f>
        <v>68021.406000000003</v>
      </c>
      <c r="AD38" s="881">
        <f>D40+(D38/C36)</f>
        <v>64517.001110048994</v>
      </c>
      <c r="AE38" s="882">
        <f>(E40*C36)+E38</f>
        <v>38789.008295129999</v>
      </c>
    </row>
    <row r="39" spans="1:32" ht="17.25" customHeight="1">
      <c r="A39" s="865">
        <f>Flights!Q26</f>
        <v>0.62</v>
      </c>
      <c r="B39" s="855" t="s">
        <v>649</v>
      </c>
      <c r="C39" s="856" t="s">
        <v>655</v>
      </c>
      <c r="D39" s="866">
        <f>ROUND((D37*A39)*C36,2)</f>
        <v>46239.3</v>
      </c>
      <c r="E39" s="931">
        <f>E37*A39</f>
        <v>24049.1862</v>
      </c>
      <c r="F39" s="936"/>
      <c r="G39" s="937"/>
      <c r="H39" s="858">
        <v>0</v>
      </c>
      <c r="I39" s="858">
        <v>0</v>
      </c>
      <c r="J39" s="858">
        <f>ROUND(J37*$A$29,2)</f>
        <v>129.07</v>
      </c>
      <c r="K39" s="858">
        <f t="shared" ref="K39:L39" si="79">ROUND(K37*$A$29,2)</f>
        <v>336.76</v>
      </c>
      <c r="L39" s="858">
        <f t="shared" si="79"/>
        <v>2512.5300000000002</v>
      </c>
      <c r="M39" s="858">
        <v>0</v>
      </c>
      <c r="N39" s="858">
        <v>0</v>
      </c>
      <c r="O39" s="858">
        <f t="shared" ref="O39" si="80">ROUND(O37*$A$29,2)</f>
        <v>1740.26</v>
      </c>
      <c r="P39" s="858">
        <v>0</v>
      </c>
      <c r="Q39" s="858">
        <f t="shared" ref="Q39" si="81">ROUND(Q37*$A$29,2)</f>
        <v>495.34</v>
      </c>
      <c r="R39" s="858">
        <v>0</v>
      </c>
      <c r="S39" s="858">
        <f t="shared" ref="S39" si="82">ROUND(S37*$A$29,2)</f>
        <v>152.16</v>
      </c>
      <c r="T39" s="858"/>
      <c r="U39" s="858"/>
      <c r="V39" s="858"/>
      <c r="W39" s="858"/>
      <c r="X39" s="859">
        <f t="shared" si="67"/>
        <v>5366.12</v>
      </c>
      <c r="Y39" s="859"/>
      <c r="Z39" s="903"/>
      <c r="AA39" s="885" t="s">
        <v>161</v>
      </c>
      <c r="AB39" s="881">
        <f>AB37*$A$29</f>
        <v>39228.800000000003</v>
      </c>
      <c r="AC39" s="882">
        <f>AC37*$A$29</f>
        <v>45347.604000000007</v>
      </c>
      <c r="AD39" s="918">
        <f>D40+E40+(D38+E38)/C36</f>
        <v>98072.464453838213</v>
      </c>
      <c r="AE39" s="918">
        <f>D38+E38+D39+E39</f>
        <v>113368.52619999999</v>
      </c>
      <c r="AF39" s="1050">
        <f>D40-Y40</f>
        <v>35358.54</v>
      </c>
    </row>
    <row r="40" spans="1:32" ht="17.25" customHeight="1" thickBot="1">
      <c r="A40" s="854">
        <f>A32+A33+A37+A38</f>
        <v>279</v>
      </c>
      <c r="B40" s="878" t="s">
        <v>2405</v>
      </c>
      <c r="C40" s="856" t="s">
        <v>656</v>
      </c>
      <c r="D40" s="869">
        <f>ROUND(D39/C36,2)</f>
        <v>40000.54</v>
      </c>
      <c r="E40" s="934">
        <f>ROUND(E39/C36,2)</f>
        <v>20804.39</v>
      </c>
      <c r="F40" s="938"/>
      <c r="G40" s="939"/>
      <c r="H40" s="870">
        <f>ROUND((H39/$C$36),0)</f>
        <v>0</v>
      </c>
      <c r="I40" s="870">
        <f>ROUND((I39/$C$36),0)</f>
        <v>0</v>
      </c>
      <c r="J40" s="870">
        <f>ROUND((J39/$C$36),0)</f>
        <v>112</v>
      </c>
      <c r="K40" s="870">
        <f>ROUND((K39/$C$36),0)</f>
        <v>291</v>
      </c>
      <c r="L40" s="870">
        <f t="shared" ref="L40:S40" si="83">ROUND((L39/$C$36),0)</f>
        <v>2174</v>
      </c>
      <c r="M40" s="870">
        <f t="shared" si="83"/>
        <v>0</v>
      </c>
      <c r="N40" s="870">
        <f t="shared" si="83"/>
        <v>0</v>
      </c>
      <c r="O40" s="870">
        <f t="shared" si="83"/>
        <v>1505</v>
      </c>
      <c r="P40" s="870">
        <f t="shared" si="83"/>
        <v>0</v>
      </c>
      <c r="Q40" s="870">
        <f t="shared" si="83"/>
        <v>429</v>
      </c>
      <c r="R40" s="870">
        <f t="shared" si="83"/>
        <v>0</v>
      </c>
      <c r="S40" s="870">
        <f t="shared" si="83"/>
        <v>132</v>
      </c>
      <c r="T40" s="870"/>
      <c r="U40" s="870"/>
      <c r="V40" s="870"/>
      <c r="W40" s="870"/>
      <c r="X40" s="871">
        <f t="shared" si="67"/>
        <v>4643</v>
      </c>
      <c r="Y40" s="871">
        <f>ROUND((X39/C36),0)</f>
        <v>4642</v>
      </c>
      <c r="Z40" s="903"/>
      <c r="AA40" s="903"/>
      <c r="AB40" s="872">
        <f t="shared" ref="AB40:AC40" si="84">SUM(AB38:AB39)-AB37</f>
        <v>0</v>
      </c>
      <c r="AC40" s="873">
        <f t="shared" si="84"/>
        <v>0</v>
      </c>
    </row>
    <row r="41" spans="1:32" ht="17.25" customHeight="1">
      <c r="A41" s="910"/>
      <c r="B41" s="910"/>
      <c r="C41" s="910"/>
      <c r="D41" s="910">
        <f>D29+D35</f>
        <v>55764.918696000008</v>
      </c>
      <c r="E41" s="910">
        <f>E30+E35</f>
        <v>23097.166450319804</v>
      </c>
      <c r="F41" s="910"/>
      <c r="G41" s="910"/>
      <c r="H41" s="910"/>
      <c r="I41" s="910"/>
      <c r="J41" s="910"/>
      <c r="K41" s="910"/>
      <c r="L41" s="910"/>
      <c r="M41" s="910"/>
      <c r="N41" s="910"/>
      <c r="O41" s="910"/>
      <c r="P41" s="910"/>
      <c r="Q41" s="910"/>
      <c r="R41" s="910"/>
      <c r="S41" s="910"/>
      <c r="T41" s="910"/>
      <c r="U41" s="910"/>
      <c r="V41" s="910"/>
      <c r="W41" s="910"/>
      <c r="X41" s="910"/>
      <c r="Y41" s="911"/>
      <c r="Z41" s="911"/>
      <c r="AA41" s="911"/>
      <c r="AB41" s="911"/>
      <c r="AC41" s="911"/>
      <c r="AD41" s="911"/>
      <c r="AE41" s="911"/>
    </row>
    <row r="42" spans="1:32" ht="17.25" customHeight="1">
      <c r="A42" s="910"/>
      <c r="B42" s="910"/>
      <c r="C42" s="910"/>
      <c r="D42" s="910"/>
      <c r="E42" s="910"/>
      <c r="F42" s="910"/>
      <c r="G42" s="910"/>
      <c r="H42" s="910"/>
      <c r="I42" s="910"/>
      <c r="J42" s="910"/>
      <c r="K42" s="910"/>
      <c r="L42" s="910"/>
      <c r="M42" s="910"/>
      <c r="N42" s="910"/>
      <c r="O42" s="910"/>
      <c r="P42" s="910"/>
      <c r="Q42" s="910"/>
      <c r="R42" s="910"/>
      <c r="S42" s="910"/>
      <c r="T42" s="910"/>
      <c r="U42" s="910"/>
      <c r="V42" s="910"/>
      <c r="W42" s="910"/>
      <c r="X42" s="910"/>
      <c r="Y42" s="911"/>
      <c r="Z42" s="911"/>
      <c r="AA42" s="911"/>
      <c r="AB42" s="911"/>
      <c r="AC42" s="911"/>
      <c r="AD42" s="911"/>
      <c r="AE42" s="911"/>
    </row>
    <row r="43" spans="1:32" ht="17.25" customHeight="1">
      <c r="A43" s="910"/>
      <c r="B43" s="910"/>
      <c r="C43" s="910"/>
      <c r="D43" s="910"/>
      <c r="E43" s="910"/>
      <c r="F43" s="910"/>
      <c r="G43" s="910"/>
      <c r="H43" s="910"/>
      <c r="I43" s="910"/>
      <c r="J43" s="910"/>
      <c r="K43" s="910"/>
      <c r="L43" s="910"/>
      <c r="M43" s="910"/>
      <c r="N43" s="910"/>
      <c r="O43" s="910"/>
      <c r="P43" s="910"/>
      <c r="Q43" s="910"/>
      <c r="R43" s="910"/>
      <c r="S43" s="910"/>
      <c r="T43" s="910"/>
      <c r="U43" s="910"/>
      <c r="V43" s="910"/>
      <c r="W43" s="910"/>
      <c r="X43" s="910"/>
      <c r="Y43" s="911"/>
      <c r="Z43" s="911"/>
      <c r="AA43" s="911"/>
      <c r="AB43" s="911"/>
      <c r="AC43" s="911"/>
      <c r="AD43" s="911"/>
      <c r="AE43" s="911"/>
    </row>
    <row r="44" spans="1:32" ht="17.25" customHeight="1">
      <c r="A44" s="910"/>
      <c r="B44" s="910"/>
      <c r="C44" s="910"/>
      <c r="D44" s="910"/>
      <c r="E44" s="910"/>
      <c r="F44" s="910"/>
      <c r="G44" s="910"/>
      <c r="H44" s="910"/>
      <c r="I44" s="910"/>
      <c r="J44" s="910"/>
      <c r="K44" s="910"/>
      <c r="L44" s="910"/>
      <c r="M44" s="910"/>
      <c r="N44" s="910"/>
      <c r="O44" s="910"/>
      <c r="P44" s="910"/>
      <c r="Q44" s="910"/>
      <c r="R44" s="910"/>
      <c r="S44" s="910"/>
      <c r="T44" s="910"/>
      <c r="U44" s="910"/>
      <c r="V44" s="910"/>
      <c r="W44" s="910"/>
      <c r="X44" s="910"/>
      <c r="Y44" s="911"/>
      <c r="Z44" s="911"/>
      <c r="AA44" s="911"/>
      <c r="AB44" s="911"/>
      <c r="AC44" s="911"/>
      <c r="AD44" s="911"/>
      <c r="AE44" s="911"/>
    </row>
    <row r="45" spans="1:32" ht="17.25" customHeight="1">
      <c r="A45" s="910"/>
      <c r="B45" s="910"/>
      <c r="C45" s="910"/>
      <c r="D45" s="910"/>
      <c r="E45" s="910"/>
      <c r="F45" s="910"/>
      <c r="G45" s="910"/>
      <c r="H45" s="910"/>
      <c r="I45" s="910"/>
      <c r="J45" s="910"/>
      <c r="K45" s="910"/>
      <c r="L45" s="910"/>
      <c r="M45" s="910"/>
      <c r="N45" s="910"/>
      <c r="O45" s="910"/>
      <c r="P45" s="910"/>
      <c r="Q45" s="910"/>
      <c r="R45" s="910"/>
      <c r="S45" s="910"/>
      <c r="T45" s="910"/>
      <c r="U45" s="910"/>
      <c r="V45" s="910"/>
      <c r="W45" s="910"/>
      <c r="X45" s="910"/>
      <c r="Y45" s="911"/>
      <c r="Z45" s="911"/>
      <c r="AA45" s="911"/>
      <c r="AB45" s="911"/>
      <c r="AC45" s="911"/>
      <c r="AD45" s="911"/>
      <c r="AE45" s="911"/>
    </row>
    <row r="46" spans="1:32" ht="17.25" customHeight="1">
      <c r="A46" s="910"/>
      <c r="B46" s="910"/>
      <c r="C46" s="910"/>
      <c r="D46" s="910"/>
      <c r="E46" s="910"/>
      <c r="F46" s="910"/>
      <c r="G46" s="910"/>
      <c r="H46" s="910"/>
      <c r="I46" s="910"/>
      <c r="J46" s="910"/>
      <c r="K46" s="910"/>
      <c r="L46" s="910"/>
      <c r="M46" s="910"/>
      <c r="N46" s="910"/>
      <c r="O46" s="910"/>
      <c r="P46" s="910"/>
      <c r="Q46" s="910"/>
      <c r="R46" s="910"/>
      <c r="S46" s="910"/>
      <c r="T46" s="910"/>
      <c r="U46" s="910"/>
      <c r="V46" s="910"/>
      <c r="W46" s="910"/>
      <c r="X46" s="910"/>
      <c r="Y46" s="911"/>
      <c r="Z46" s="911"/>
      <c r="AA46" s="911"/>
      <c r="AB46" s="911"/>
      <c r="AC46" s="911"/>
      <c r="AD46" s="911"/>
      <c r="AE46" s="911"/>
    </row>
    <row r="47" spans="1:32" ht="17.25" customHeight="1">
      <c r="A47" s="910"/>
      <c r="B47" s="910"/>
      <c r="C47" s="910"/>
      <c r="D47" s="910"/>
      <c r="E47" s="910"/>
      <c r="F47" s="910"/>
      <c r="G47" s="910"/>
      <c r="H47" s="910"/>
      <c r="I47" s="910"/>
      <c r="J47" s="910"/>
      <c r="K47" s="910"/>
      <c r="L47" s="910"/>
      <c r="M47" s="910"/>
      <c r="N47" s="910"/>
      <c r="O47" s="910"/>
      <c r="P47" s="910"/>
      <c r="Q47" s="910"/>
      <c r="R47" s="910"/>
      <c r="S47" s="910"/>
      <c r="T47" s="910"/>
      <c r="U47" s="910"/>
      <c r="V47" s="910"/>
      <c r="W47" s="910"/>
      <c r="X47" s="910"/>
      <c r="Y47" s="911"/>
      <c r="Z47" s="911"/>
      <c r="AA47" s="911"/>
      <c r="AB47" s="911"/>
      <c r="AC47" s="911"/>
      <c r="AD47" s="911"/>
      <c r="AE47" s="911"/>
    </row>
    <row r="48" spans="1:32" ht="17.25" customHeight="1">
      <c r="A48" s="910"/>
      <c r="B48" s="910"/>
      <c r="C48" s="910"/>
      <c r="D48" s="910"/>
      <c r="E48" s="910"/>
      <c r="F48" s="910"/>
      <c r="G48" s="910"/>
      <c r="H48" s="910"/>
      <c r="I48" s="910"/>
      <c r="J48" s="910"/>
      <c r="K48" s="910"/>
      <c r="L48" s="910"/>
      <c r="M48" s="910"/>
      <c r="N48" s="910"/>
      <c r="O48" s="910"/>
      <c r="P48" s="910"/>
      <c r="Q48" s="910"/>
      <c r="R48" s="910"/>
      <c r="S48" s="910"/>
      <c r="T48" s="910"/>
      <c r="U48" s="910"/>
      <c r="V48" s="910"/>
      <c r="W48" s="910"/>
      <c r="X48" s="910"/>
      <c r="Y48" s="911"/>
      <c r="Z48" s="911"/>
      <c r="AA48" s="911"/>
      <c r="AB48" s="911"/>
      <c r="AC48" s="911"/>
      <c r="AD48" s="911"/>
      <c r="AE48" s="911"/>
    </row>
    <row r="49" spans="1:31" ht="17.25" customHeight="1">
      <c r="A49" s="910"/>
      <c r="B49" s="910"/>
      <c r="C49" s="910"/>
      <c r="D49" s="910"/>
      <c r="E49" s="910"/>
      <c r="F49" s="910"/>
      <c r="G49" s="910"/>
      <c r="H49" s="910"/>
      <c r="I49" s="910"/>
      <c r="J49" s="910"/>
      <c r="K49" s="910"/>
      <c r="L49" s="910"/>
      <c r="M49" s="910"/>
      <c r="N49" s="910"/>
      <c r="O49" s="910"/>
      <c r="P49" s="910"/>
      <c r="Q49" s="910"/>
      <c r="R49" s="910"/>
      <c r="S49" s="910"/>
      <c r="T49" s="910"/>
      <c r="U49" s="910"/>
      <c r="V49" s="910"/>
      <c r="W49" s="910"/>
      <c r="X49" s="910"/>
      <c r="Y49" s="911"/>
      <c r="Z49" s="911"/>
      <c r="AA49" s="911"/>
      <c r="AB49" s="911"/>
      <c r="AC49" s="911"/>
      <c r="AD49" s="911"/>
      <c r="AE49" s="911"/>
    </row>
    <row r="50" spans="1:31" ht="17.25" customHeight="1">
      <c r="A50" s="910"/>
      <c r="B50" s="910"/>
      <c r="C50" s="910"/>
      <c r="D50" s="910"/>
      <c r="E50" s="910"/>
      <c r="F50" s="910"/>
      <c r="G50" s="910"/>
      <c r="H50" s="910"/>
      <c r="I50" s="910"/>
      <c r="J50" s="910"/>
      <c r="K50" s="910"/>
      <c r="L50" s="910"/>
      <c r="M50" s="910"/>
      <c r="N50" s="910"/>
      <c r="O50" s="910"/>
      <c r="P50" s="910"/>
      <c r="Q50" s="910"/>
      <c r="R50" s="910"/>
      <c r="S50" s="910"/>
      <c r="T50" s="910"/>
      <c r="U50" s="910"/>
      <c r="V50" s="910"/>
      <c r="W50" s="910"/>
      <c r="X50" s="910"/>
      <c r="Y50" s="911"/>
      <c r="Z50" s="911"/>
      <c r="AA50" s="911"/>
      <c r="AB50" s="911"/>
      <c r="AC50" s="911"/>
      <c r="AD50" s="911"/>
      <c r="AE50" s="911"/>
    </row>
    <row r="51" spans="1:31" ht="17.25" customHeight="1">
      <c r="A51" s="910"/>
      <c r="B51" s="910"/>
      <c r="C51" s="910"/>
      <c r="D51" s="910"/>
      <c r="E51" s="910"/>
      <c r="F51" s="910"/>
      <c r="G51" s="910"/>
      <c r="H51" s="910"/>
      <c r="I51" s="910"/>
      <c r="J51" s="910"/>
      <c r="K51" s="910"/>
      <c r="L51" s="910"/>
      <c r="M51" s="910"/>
      <c r="N51" s="910"/>
      <c r="O51" s="910"/>
      <c r="P51" s="910"/>
      <c r="Q51" s="910"/>
      <c r="R51" s="910"/>
      <c r="S51" s="910"/>
      <c r="T51" s="910"/>
      <c r="U51" s="910"/>
      <c r="V51" s="910"/>
      <c r="W51" s="910"/>
      <c r="X51" s="910"/>
      <c r="Y51" s="911"/>
      <c r="Z51" s="911"/>
      <c r="AA51" s="911"/>
      <c r="AB51" s="911"/>
      <c r="AC51" s="911"/>
      <c r="AD51" s="911"/>
      <c r="AE51" s="911"/>
    </row>
    <row r="52" spans="1:31" ht="17.25" customHeight="1">
      <c r="A52" s="910"/>
      <c r="B52" s="910"/>
      <c r="C52" s="910"/>
      <c r="D52" s="910"/>
      <c r="E52" s="910"/>
      <c r="F52" s="910"/>
      <c r="G52" s="910"/>
      <c r="H52" s="910"/>
      <c r="I52" s="910"/>
      <c r="J52" s="910"/>
      <c r="K52" s="910"/>
      <c r="L52" s="910"/>
      <c r="M52" s="910"/>
      <c r="N52" s="910"/>
      <c r="O52" s="910"/>
      <c r="P52" s="910"/>
      <c r="Q52" s="910"/>
      <c r="R52" s="910"/>
      <c r="S52" s="910"/>
      <c r="T52" s="910"/>
      <c r="U52" s="910"/>
      <c r="V52" s="910"/>
      <c r="W52" s="910"/>
      <c r="X52" s="910"/>
      <c r="Y52" s="911"/>
      <c r="Z52" s="911"/>
      <c r="AA52" s="911"/>
      <c r="AB52" s="911"/>
      <c r="AC52" s="911"/>
      <c r="AD52" s="911"/>
      <c r="AE52" s="911"/>
    </row>
    <row r="53" spans="1:31" ht="15.75" customHeight="1">
      <c r="A53" s="910"/>
      <c r="B53" s="910"/>
      <c r="C53" s="910"/>
      <c r="D53" s="910"/>
      <c r="E53" s="910"/>
      <c r="F53" s="910"/>
      <c r="G53" s="910"/>
      <c r="H53" s="910"/>
      <c r="I53" s="910"/>
      <c r="J53" s="910"/>
      <c r="K53" s="910"/>
      <c r="L53" s="910"/>
      <c r="M53" s="910"/>
      <c r="N53" s="910"/>
      <c r="O53" s="910"/>
      <c r="P53" s="910"/>
      <c r="Q53" s="910"/>
      <c r="R53" s="910"/>
      <c r="S53" s="910"/>
      <c r="T53" s="910"/>
      <c r="U53" s="910"/>
      <c r="V53" s="910"/>
      <c r="W53" s="910"/>
      <c r="X53" s="910"/>
      <c r="Y53" s="911"/>
      <c r="Z53" s="911"/>
      <c r="AA53" s="911"/>
      <c r="AB53" s="911"/>
      <c r="AC53" s="911"/>
      <c r="AD53" s="911"/>
      <c r="AE53" s="911"/>
    </row>
    <row r="54" spans="1:31" ht="15.75" customHeight="1">
      <c r="A54" s="910"/>
      <c r="B54" s="910"/>
      <c r="C54" s="910"/>
      <c r="D54" s="910"/>
      <c r="E54" s="910"/>
      <c r="F54" s="910"/>
      <c r="G54" s="910"/>
      <c r="H54" s="910"/>
      <c r="I54" s="910"/>
      <c r="J54" s="910"/>
      <c r="K54" s="910"/>
      <c r="L54" s="910"/>
      <c r="M54" s="910"/>
      <c r="N54" s="910"/>
      <c r="O54" s="910"/>
      <c r="P54" s="910"/>
      <c r="Q54" s="910"/>
      <c r="R54" s="910"/>
      <c r="S54" s="910"/>
      <c r="T54" s="910"/>
      <c r="U54" s="910"/>
      <c r="V54" s="910"/>
      <c r="W54" s="910"/>
      <c r="X54" s="910"/>
      <c r="Y54" s="911"/>
      <c r="Z54" s="911"/>
      <c r="AA54" s="911"/>
      <c r="AB54" s="911"/>
      <c r="AC54" s="911"/>
      <c r="AD54" s="911"/>
      <c r="AE54" s="911"/>
    </row>
    <row r="55" spans="1:31" ht="15.75" customHeight="1">
      <c r="A55" s="910"/>
      <c r="B55" s="910"/>
      <c r="C55" s="910"/>
      <c r="D55" s="910"/>
      <c r="E55" s="910"/>
      <c r="F55" s="910"/>
      <c r="G55" s="910"/>
      <c r="H55" s="910"/>
      <c r="I55" s="910"/>
      <c r="J55" s="910"/>
      <c r="K55" s="910"/>
      <c r="L55" s="910"/>
      <c r="M55" s="910"/>
      <c r="N55" s="910"/>
      <c r="O55" s="910"/>
      <c r="P55" s="910"/>
      <c r="Q55" s="910"/>
      <c r="R55" s="910"/>
      <c r="S55" s="910"/>
      <c r="T55" s="910"/>
      <c r="U55" s="910"/>
      <c r="V55" s="910"/>
      <c r="W55" s="910"/>
      <c r="X55" s="910"/>
      <c r="Y55" s="911"/>
      <c r="Z55" s="911"/>
      <c r="AA55" s="911"/>
      <c r="AB55" s="911"/>
      <c r="AC55" s="911"/>
      <c r="AD55" s="911"/>
      <c r="AE55" s="911"/>
    </row>
    <row r="56" spans="1:31" ht="15.75" customHeight="1">
      <c r="A56" s="910"/>
      <c r="B56" s="910"/>
      <c r="C56" s="910"/>
      <c r="D56" s="910"/>
      <c r="E56" s="910"/>
      <c r="F56" s="910"/>
      <c r="G56" s="910"/>
      <c r="H56" s="910"/>
      <c r="I56" s="910"/>
      <c r="J56" s="910"/>
      <c r="K56" s="910"/>
      <c r="L56" s="910"/>
      <c r="M56" s="910"/>
      <c r="N56" s="910"/>
      <c r="O56" s="910"/>
      <c r="P56" s="910"/>
      <c r="Q56" s="910"/>
      <c r="R56" s="910"/>
      <c r="S56" s="910"/>
      <c r="T56" s="910"/>
      <c r="U56" s="910"/>
      <c r="V56" s="910"/>
      <c r="W56" s="910"/>
      <c r="X56" s="910"/>
      <c r="Y56" s="911"/>
      <c r="Z56" s="911"/>
      <c r="AA56" s="911"/>
      <c r="AB56" s="911"/>
      <c r="AC56" s="911"/>
      <c r="AD56" s="911"/>
      <c r="AE56" s="911"/>
    </row>
    <row r="57" spans="1:31" ht="15.75" customHeight="1">
      <c r="A57" s="910"/>
      <c r="B57" s="910"/>
      <c r="C57" s="910"/>
      <c r="D57" s="910"/>
      <c r="E57" s="910"/>
      <c r="F57" s="910"/>
      <c r="G57" s="910"/>
      <c r="H57" s="910"/>
      <c r="I57" s="910"/>
      <c r="J57" s="910"/>
      <c r="K57" s="910"/>
      <c r="L57" s="910"/>
      <c r="M57" s="910"/>
      <c r="N57" s="910"/>
      <c r="O57" s="910"/>
      <c r="P57" s="910"/>
      <c r="Q57" s="910"/>
      <c r="R57" s="910"/>
      <c r="S57" s="910"/>
      <c r="T57" s="910"/>
      <c r="U57" s="910"/>
      <c r="V57" s="910"/>
      <c r="W57" s="910"/>
      <c r="X57" s="910"/>
      <c r="Y57" s="911"/>
      <c r="Z57" s="911"/>
      <c r="AA57" s="911"/>
      <c r="AB57" s="911"/>
      <c r="AC57" s="911"/>
      <c r="AD57" s="911"/>
      <c r="AE57" s="911"/>
    </row>
    <row r="58" spans="1:31" ht="15.75" customHeight="1">
      <c r="A58" s="910"/>
      <c r="B58" s="910"/>
      <c r="C58" s="910"/>
      <c r="D58" s="910"/>
      <c r="E58" s="910"/>
      <c r="F58" s="910"/>
      <c r="G58" s="910"/>
      <c r="H58" s="910"/>
      <c r="I58" s="910"/>
      <c r="J58" s="910"/>
      <c r="K58" s="910"/>
      <c r="L58" s="910"/>
      <c r="M58" s="910"/>
      <c r="N58" s="910"/>
      <c r="O58" s="910"/>
      <c r="P58" s="910"/>
      <c r="Q58" s="910"/>
      <c r="R58" s="910"/>
      <c r="S58" s="910"/>
      <c r="T58" s="910"/>
      <c r="U58" s="910"/>
      <c r="V58" s="910"/>
      <c r="W58" s="910"/>
      <c r="X58" s="910"/>
      <c r="Y58" s="911"/>
      <c r="Z58" s="911"/>
      <c r="AA58" s="911"/>
      <c r="AB58" s="911"/>
      <c r="AC58" s="911"/>
      <c r="AD58" s="911"/>
      <c r="AE58" s="911"/>
    </row>
    <row r="59" spans="1:31" ht="15.75" customHeight="1">
      <c r="A59" s="910"/>
      <c r="B59" s="910"/>
      <c r="C59" s="910"/>
      <c r="D59" s="910"/>
      <c r="E59" s="910"/>
      <c r="F59" s="910"/>
      <c r="G59" s="910"/>
      <c r="H59" s="910"/>
      <c r="I59" s="910"/>
      <c r="J59" s="910"/>
      <c r="K59" s="910"/>
      <c r="L59" s="910"/>
      <c r="M59" s="910"/>
      <c r="N59" s="910"/>
      <c r="O59" s="910"/>
      <c r="P59" s="910"/>
      <c r="Q59" s="910"/>
      <c r="R59" s="910"/>
      <c r="S59" s="910"/>
      <c r="T59" s="910"/>
      <c r="U59" s="910"/>
      <c r="V59" s="910"/>
      <c r="W59" s="910"/>
      <c r="X59" s="910"/>
      <c r="Y59" s="911"/>
      <c r="Z59" s="911"/>
      <c r="AA59" s="911"/>
      <c r="AB59" s="911"/>
      <c r="AC59" s="911"/>
      <c r="AD59" s="911"/>
      <c r="AE59" s="911"/>
    </row>
    <row r="60" spans="1:31" ht="15.75" customHeight="1">
      <c r="A60" s="910"/>
      <c r="B60" s="910"/>
      <c r="C60" s="910"/>
      <c r="D60" s="910"/>
      <c r="E60" s="910"/>
      <c r="F60" s="910"/>
      <c r="G60" s="910"/>
      <c r="H60" s="910"/>
      <c r="I60" s="910"/>
      <c r="J60" s="910"/>
      <c r="K60" s="910"/>
      <c r="L60" s="910"/>
      <c r="M60" s="910"/>
      <c r="N60" s="910"/>
      <c r="O60" s="910"/>
      <c r="P60" s="910"/>
      <c r="Q60" s="910"/>
      <c r="R60" s="910"/>
      <c r="S60" s="910"/>
      <c r="T60" s="910"/>
      <c r="U60" s="910"/>
      <c r="V60" s="910"/>
      <c r="W60" s="910"/>
      <c r="X60" s="910"/>
      <c r="Y60" s="911"/>
      <c r="Z60" s="911"/>
      <c r="AA60" s="911"/>
      <c r="AB60" s="911"/>
      <c r="AC60" s="911"/>
      <c r="AD60" s="911"/>
      <c r="AE60" s="911"/>
    </row>
    <row r="61" spans="1:31" ht="15.75" customHeight="1">
      <c r="A61" s="910"/>
      <c r="B61" s="910"/>
      <c r="C61" s="910"/>
      <c r="D61" s="910"/>
      <c r="E61" s="910"/>
      <c r="F61" s="910"/>
      <c r="G61" s="910"/>
      <c r="H61" s="910"/>
      <c r="I61" s="910"/>
      <c r="J61" s="910"/>
      <c r="K61" s="910"/>
      <c r="L61" s="910"/>
      <c r="M61" s="910"/>
      <c r="N61" s="910"/>
      <c r="O61" s="910"/>
      <c r="P61" s="910"/>
      <c r="Q61" s="910"/>
      <c r="R61" s="910"/>
      <c r="S61" s="910"/>
      <c r="T61" s="910"/>
      <c r="U61" s="910"/>
      <c r="V61" s="910"/>
      <c r="W61" s="910"/>
      <c r="X61" s="910"/>
      <c r="Y61" s="911"/>
      <c r="Z61" s="911"/>
      <c r="AA61" s="911"/>
      <c r="AB61" s="911"/>
      <c r="AC61" s="911"/>
      <c r="AD61" s="911"/>
      <c r="AE61" s="911"/>
    </row>
    <row r="62" spans="1:31" ht="15.75" customHeight="1">
      <c r="A62" s="654"/>
      <c r="B62" s="654"/>
      <c r="C62" s="654"/>
      <c r="D62" s="608"/>
      <c r="E62" s="608"/>
      <c r="F62" s="608"/>
      <c r="G62" s="608"/>
      <c r="H62" s="608"/>
      <c r="I62" s="608"/>
      <c r="J62" s="608"/>
      <c r="K62" s="608"/>
      <c r="L62" s="608"/>
      <c r="M62" s="608"/>
      <c r="N62" s="608"/>
      <c r="O62" s="608"/>
      <c r="P62" s="608"/>
      <c r="Q62" s="608"/>
      <c r="R62" s="608"/>
      <c r="S62" s="608"/>
      <c r="T62" s="608"/>
      <c r="U62" s="608"/>
      <c r="V62" s="608"/>
      <c r="W62" s="608"/>
      <c r="X62" s="518"/>
      <c r="Y62" s="604"/>
      <c r="Z62" s="903"/>
      <c r="AA62" s="903"/>
      <c r="AB62" s="903"/>
      <c r="AC62" s="903"/>
    </row>
    <row r="63" spans="1:31" ht="15.75" customHeight="1">
      <c r="A63" s="654"/>
      <c r="B63" s="654"/>
      <c r="C63" s="654"/>
      <c r="D63" s="608"/>
      <c r="E63" s="608"/>
      <c r="F63" s="608"/>
      <c r="G63" s="608"/>
      <c r="H63" s="608"/>
      <c r="I63" s="608"/>
      <c r="J63" s="608"/>
      <c r="K63" s="608"/>
      <c r="L63" s="608"/>
      <c r="M63" s="608"/>
      <c r="N63" s="608"/>
      <c r="O63" s="608"/>
      <c r="P63" s="608"/>
      <c r="Q63" s="608"/>
      <c r="R63" s="608"/>
      <c r="S63" s="608"/>
      <c r="T63" s="608"/>
      <c r="U63" s="608"/>
      <c r="V63" s="608"/>
      <c r="W63" s="608"/>
      <c r="X63" s="518"/>
      <c r="Y63" s="604"/>
      <c r="Z63" s="903"/>
      <c r="AA63" s="903"/>
      <c r="AB63" s="903"/>
      <c r="AC63" s="903"/>
    </row>
    <row r="64" spans="1:31" ht="15.75" customHeight="1">
      <c r="A64" s="654"/>
      <c r="B64" s="654"/>
      <c r="C64" s="654"/>
      <c r="D64" s="608"/>
      <c r="E64" s="608"/>
      <c r="F64" s="608"/>
      <c r="G64" s="608"/>
      <c r="H64" s="608"/>
      <c r="I64" s="608"/>
      <c r="J64" s="608"/>
      <c r="K64" s="608"/>
      <c r="L64" s="608"/>
      <c r="M64" s="608"/>
      <c r="N64" s="608"/>
      <c r="O64" s="608"/>
      <c r="P64" s="608"/>
      <c r="Q64" s="608"/>
      <c r="R64" s="608"/>
      <c r="S64" s="608"/>
      <c r="T64" s="608"/>
      <c r="U64" s="608"/>
      <c r="V64" s="608"/>
      <c r="W64" s="608"/>
      <c r="X64" s="518"/>
      <c r="Y64" s="604"/>
      <c r="Z64" s="903"/>
      <c r="AA64" s="903"/>
      <c r="AB64" s="903"/>
      <c r="AC64" s="903"/>
    </row>
    <row r="65" spans="1:29" ht="15.75" customHeight="1">
      <c r="A65" s="654"/>
      <c r="B65" s="654"/>
      <c r="C65" s="654"/>
      <c r="D65" s="608"/>
      <c r="E65" s="608"/>
      <c r="F65" s="608"/>
      <c r="G65" s="608"/>
      <c r="H65" s="608"/>
      <c r="I65" s="608"/>
      <c r="J65" s="608"/>
      <c r="K65" s="608"/>
      <c r="L65" s="608"/>
      <c r="M65" s="608"/>
      <c r="N65" s="608"/>
      <c r="O65" s="608"/>
      <c r="P65" s="608"/>
      <c r="Q65" s="608"/>
      <c r="R65" s="608"/>
      <c r="S65" s="608"/>
      <c r="T65" s="608"/>
      <c r="U65" s="608"/>
      <c r="V65" s="608"/>
      <c r="W65" s="608"/>
      <c r="X65" s="518"/>
      <c r="Y65" s="604"/>
      <c r="Z65" s="903"/>
      <c r="AA65" s="903"/>
      <c r="AB65" s="903"/>
      <c r="AC65" s="903"/>
    </row>
    <row r="66" spans="1:29" ht="15.75" customHeight="1">
      <c r="A66" s="654"/>
      <c r="B66" s="654"/>
      <c r="C66" s="654"/>
      <c r="D66" s="608"/>
      <c r="E66" s="608"/>
      <c r="F66" s="608"/>
      <c r="G66" s="608"/>
      <c r="H66" s="608"/>
      <c r="I66" s="608"/>
      <c r="J66" s="608"/>
      <c r="K66" s="608"/>
      <c r="L66" s="608"/>
      <c r="M66" s="608"/>
      <c r="N66" s="608"/>
      <c r="O66" s="608"/>
      <c r="P66" s="608"/>
      <c r="Q66" s="608"/>
      <c r="R66" s="608"/>
      <c r="S66" s="608"/>
      <c r="T66" s="608"/>
      <c r="U66" s="608"/>
      <c r="V66" s="608"/>
      <c r="W66" s="608"/>
      <c r="X66" s="518"/>
      <c r="Y66" s="604"/>
      <c r="Z66" s="903"/>
      <c r="AA66" s="903"/>
      <c r="AB66" s="903"/>
      <c r="AC66" s="903"/>
    </row>
    <row r="67" spans="1:29" ht="15.75" customHeight="1">
      <c r="A67" s="654"/>
      <c r="B67" s="654"/>
      <c r="C67" s="654"/>
      <c r="D67" s="608"/>
      <c r="E67" s="608"/>
      <c r="F67" s="608"/>
      <c r="G67" s="608"/>
      <c r="H67" s="608"/>
      <c r="I67" s="608"/>
      <c r="J67" s="608"/>
      <c r="K67" s="608"/>
      <c r="L67" s="608"/>
      <c r="M67" s="608"/>
      <c r="N67" s="608"/>
      <c r="O67" s="608"/>
      <c r="P67" s="608"/>
      <c r="Q67" s="608"/>
      <c r="R67" s="608"/>
      <c r="S67" s="608"/>
      <c r="T67" s="608"/>
      <c r="U67" s="608"/>
      <c r="V67" s="608"/>
      <c r="W67" s="608"/>
      <c r="X67" s="518"/>
      <c r="Y67" s="604"/>
      <c r="Z67" s="903"/>
      <c r="AA67" s="903"/>
      <c r="AB67" s="903"/>
      <c r="AC67" s="903"/>
    </row>
    <row r="68" spans="1:29" ht="15.75" customHeight="1">
      <c r="A68" s="654"/>
      <c r="B68" s="654"/>
      <c r="C68" s="654"/>
      <c r="D68" s="608"/>
      <c r="E68" s="608"/>
      <c r="F68" s="608"/>
      <c r="G68" s="608"/>
      <c r="H68" s="608"/>
      <c r="I68" s="608"/>
      <c r="J68" s="608"/>
      <c r="K68" s="608"/>
      <c r="L68" s="608"/>
      <c r="M68" s="608"/>
      <c r="N68" s="608"/>
      <c r="O68" s="608"/>
      <c r="P68" s="608"/>
      <c r="Q68" s="608"/>
      <c r="R68" s="608"/>
      <c r="S68" s="608"/>
      <c r="T68" s="608"/>
      <c r="U68" s="608"/>
      <c r="V68" s="608"/>
      <c r="W68" s="608"/>
      <c r="X68" s="518"/>
      <c r="Y68" s="604"/>
      <c r="Z68" s="903"/>
      <c r="AA68" s="903"/>
      <c r="AB68" s="903"/>
      <c r="AC68" s="903"/>
    </row>
    <row r="69" spans="1:29" ht="15.75" customHeight="1">
      <c r="A69" s="654"/>
      <c r="B69" s="654"/>
      <c r="C69" s="654"/>
      <c r="D69" s="608"/>
      <c r="E69" s="608"/>
      <c r="F69" s="608"/>
      <c r="G69" s="608"/>
      <c r="H69" s="608"/>
      <c r="I69" s="608"/>
      <c r="J69" s="608"/>
      <c r="K69" s="608"/>
      <c r="L69" s="608"/>
      <c r="M69" s="608"/>
      <c r="N69" s="608"/>
      <c r="O69" s="608"/>
      <c r="P69" s="608"/>
      <c r="Q69" s="608"/>
      <c r="R69" s="608"/>
      <c r="S69" s="608"/>
      <c r="T69" s="608"/>
      <c r="U69" s="608"/>
      <c r="V69" s="608"/>
      <c r="W69" s="608"/>
      <c r="X69" s="518"/>
      <c r="Y69" s="604"/>
      <c r="Z69" s="903"/>
      <c r="AA69" s="903"/>
      <c r="AB69" s="903"/>
      <c r="AC69" s="903"/>
    </row>
    <row r="70" spans="1:29" ht="15.75" customHeight="1">
      <c r="A70" s="654"/>
      <c r="B70" s="654"/>
      <c r="C70" s="654"/>
      <c r="D70" s="608"/>
      <c r="E70" s="608"/>
      <c r="F70" s="608"/>
      <c r="G70" s="608"/>
      <c r="H70" s="608"/>
      <c r="I70" s="608"/>
      <c r="J70" s="608"/>
      <c r="K70" s="608"/>
      <c r="L70" s="608"/>
      <c r="M70" s="608"/>
      <c r="N70" s="608"/>
      <c r="O70" s="608"/>
      <c r="P70" s="608"/>
      <c r="Q70" s="608"/>
      <c r="R70" s="608"/>
      <c r="S70" s="608"/>
      <c r="T70" s="608"/>
      <c r="U70" s="608"/>
      <c r="V70" s="608"/>
      <c r="W70" s="608"/>
      <c r="X70" s="518"/>
      <c r="Y70" s="604"/>
      <c r="Z70" s="903"/>
      <c r="AA70" s="903"/>
      <c r="AB70" s="903"/>
      <c r="AC70" s="903"/>
    </row>
    <row r="71" spans="1:29" ht="15.75" customHeight="1">
      <c r="A71" s="654"/>
      <c r="B71" s="654"/>
      <c r="C71" s="654"/>
      <c r="D71" s="608"/>
      <c r="E71" s="608"/>
      <c r="F71" s="608"/>
      <c r="G71" s="608"/>
      <c r="H71" s="608"/>
      <c r="I71" s="608"/>
      <c r="J71" s="608"/>
      <c r="K71" s="608"/>
      <c r="L71" s="608"/>
      <c r="M71" s="608"/>
      <c r="N71" s="608"/>
      <c r="O71" s="608"/>
      <c r="P71" s="608"/>
      <c r="Q71" s="608"/>
      <c r="R71" s="608"/>
      <c r="S71" s="608"/>
      <c r="T71" s="608"/>
      <c r="U71" s="608"/>
      <c r="V71" s="608"/>
      <c r="W71" s="608"/>
      <c r="X71" s="518"/>
      <c r="Y71" s="604"/>
      <c r="Z71" s="903"/>
      <c r="AA71" s="903"/>
      <c r="AB71" s="903"/>
      <c r="AC71" s="903"/>
    </row>
    <row r="72" spans="1:29" ht="15.75" customHeight="1">
      <c r="A72" s="654"/>
      <c r="B72" s="654"/>
      <c r="C72" s="654"/>
      <c r="D72" s="608"/>
      <c r="E72" s="608"/>
      <c r="F72" s="608"/>
      <c r="G72" s="608"/>
      <c r="H72" s="608"/>
      <c r="I72" s="608"/>
      <c r="J72" s="608"/>
      <c r="K72" s="608"/>
      <c r="L72" s="608"/>
      <c r="M72" s="608"/>
      <c r="N72" s="608"/>
      <c r="O72" s="608"/>
      <c r="P72" s="608"/>
      <c r="Q72" s="608"/>
      <c r="R72" s="608"/>
      <c r="S72" s="608"/>
      <c r="T72" s="608"/>
      <c r="U72" s="608"/>
      <c r="V72" s="608"/>
      <c r="W72" s="608"/>
      <c r="X72" s="518"/>
      <c r="Y72" s="604"/>
      <c r="Z72" s="903"/>
      <c r="AA72" s="903"/>
      <c r="AB72" s="903"/>
      <c r="AC72" s="903"/>
    </row>
    <row r="73" spans="1:29" ht="15.75" customHeight="1">
      <c r="A73" s="654"/>
      <c r="B73" s="654"/>
      <c r="C73" s="654"/>
      <c r="D73" s="608"/>
      <c r="E73" s="608"/>
      <c r="F73" s="608"/>
      <c r="G73" s="608"/>
      <c r="H73" s="608"/>
      <c r="I73" s="608"/>
      <c r="J73" s="608"/>
      <c r="K73" s="608"/>
      <c r="L73" s="608"/>
      <c r="M73" s="608"/>
      <c r="N73" s="608"/>
      <c r="O73" s="608"/>
      <c r="P73" s="608"/>
      <c r="Q73" s="608"/>
      <c r="R73" s="608"/>
      <c r="S73" s="608"/>
      <c r="T73" s="608"/>
      <c r="U73" s="608"/>
      <c r="V73" s="608"/>
      <c r="W73" s="608"/>
      <c r="X73" s="518"/>
      <c r="Y73" s="604"/>
      <c r="Z73" s="903"/>
      <c r="AA73" s="903"/>
      <c r="AB73" s="903"/>
      <c r="AC73" s="903"/>
    </row>
    <row r="74" spans="1:29" ht="15.75" customHeight="1">
      <c r="A74" s="654"/>
      <c r="B74" s="654"/>
      <c r="C74" s="654"/>
      <c r="D74" s="608"/>
      <c r="E74" s="608"/>
      <c r="F74" s="608"/>
      <c r="G74" s="608"/>
      <c r="H74" s="608"/>
      <c r="I74" s="608"/>
      <c r="J74" s="608"/>
      <c r="K74" s="608"/>
      <c r="L74" s="608"/>
      <c r="M74" s="608"/>
      <c r="N74" s="608"/>
      <c r="O74" s="608"/>
      <c r="P74" s="608"/>
      <c r="Q74" s="608"/>
      <c r="R74" s="608"/>
      <c r="S74" s="608"/>
      <c r="T74" s="608"/>
      <c r="U74" s="608"/>
      <c r="V74" s="608"/>
      <c r="W74" s="608"/>
      <c r="X74" s="518"/>
      <c r="Y74" s="604"/>
      <c r="Z74" s="903"/>
      <c r="AA74" s="903"/>
      <c r="AB74" s="903"/>
      <c r="AC74" s="903"/>
    </row>
    <row r="75" spans="1:29" ht="15.75" customHeight="1">
      <c r="A75" s="654"/>
      <c r="B75" s="654"/>
      <c r="C75" s="654"/>
      <c r="D75" s="608"/>
      <c r="E75" s="608"/>
      <c r="F75" s="608"/>
      <c r="G75" s="608"/>
      <c r="H75" s="608"/>
      <c r="I75" s="608"/>
      <c r="J75" s="608"/>
      <c r="K75" s="608"/>
      <c r="L75" s="608"/>
      <c r="M75" s="608"/>
      <c r="N75" s="608"/>
      <c r="O75" s="608"/>
      <c r="P75" s="608"/>
      <c r="Q75" s="608"/>
      <c r="R75" s="608"/>
      <c r="S75" s="608"/>
      <c r="T75" s="608"/>
      <c r="U75" s="608"/>
      <c r="V75" s="608"/>
      <c r="W75" s="608"/>
      <c r="X75" s="518"/>
      <c r="Y75" s="604"/>
      <c r="Z75" s="903"/>
      <c r="AA75" s="903"/>
      <c r="AB75" s="903"/>
      <c r="AC75" s="903"/>
    </row>
    <row r="76" spans="1:29" ht="15.75" customHeight="1">
      <c r="A76" s="654"/>
      <c r="B76" s="654"/>
      <c r="C76" s="654"/>
      <c r="D76" s="608"/>
      <c r="E76" s="608"/>
      <c r="F76" s="608"/>
      <c r="G76" s="608"/>
      <c r="H76" s="608"/>
      <c r="I76" s="608"/>
      <c r="J76" s="608"/>
      <c r="K76" s="608"/>
      <c r="L76" s="608"/>
      <c r="M76" s="608"/>
      <c r="N76" s="608"/>
      <c r="O76" s="608"/>
      <c r="P76" s="608"/>
      <c r="Q76" s="608"/>
      <c r="R76" s="608"/>
      <c r="S76" s="608"/>
      <c r="T76" s="608"/>
      <c r="U76" s="608"/>
      <c r="V76" s="608"/>
      <c r="W76" s="608"/>
      <c r="X76" s="518"/>
      <c r="Y76" s="604"/>
      <c r="Z76" s="903"/>
      <c r="AA76" s="903"/>
      <c r="AB76" s="903"/>
      <c r="AC76" s="903"/>
    </row>
    <row r="77" spans="1:29" ht="15.75" customHeight="1">
      <c r="A77" s="654"/>
      <c r="B77" s="654"/>
      <c r="C77" s="654"/>
      <c r="D77" s="608"/>
      <c r="E77" s="608"/>
      <c r="F77" s="608"/>
      <c r="G77" s="608"/>
      <c r="H77" s="608"/>
      <c r="I77" s="608"/>
      <c r="J77" s="608"/>
      <c r="K77" s="608"/>
      <c r="L77" s="608"/>
      <c r="M77" s="608"/>
      <c r="N77" s="608"/>
      <c r="O77" s="608"/>
      <c r="P77" s="608"/>
      <c r="Q77" s="608"/>
      <c r="R77" s="608"/>
      <c r="S77" s="608"/>
      <c r="T77" s="608"/>
      <c r="U77" s="608"/>
      <c r="V77" s="608"/>
      <c r="W77" s="608"/>
      <c r="X77" s="518"/>
      <c r="Y77" s="604"/>
      <c r="Z77" s="903"/>
      <c r="AA77" s="903"/>
      <c r="AB77" s="903"/>
      <c r="AC77" s="903"/>
    </row>
    <row r="78" spans="1:29" ht="15.75" customHeight="1">
      <c r="A78" s="654"/>
      <c r="B78" s="654"/>
      <c r="C78" s="654"/>
      <c r="D78" s="608"/>
      <c r="E78" s="608"/>
      <c r="F78" s="608"/>
      <c r="G78" s="608"/>
      <c r="H78" s="608"/>
      <c r="I78" s="608"/>
      <c r="J78" s="608"/>
      <c r="K78" s="608"/>
      <c r="L78" s="608"/>
      <c r="M78" s="608"/>
      <c r="N78" s="608"/>
      <c r="O78" s="608"/>
      <c r="P78" s="608"/>
      <c r="Q78" s="608"/>
      <c r="R78" s="608"/>
      <c r="S78" s="608"/>
      <c r="T78" s="608"/>
      <c r="U78" s="608"/>
      <c r="V78" s="608"/>
      <c r="W78" s="608"/>
      <c r="X78" s="518"/>
      <c r="Y78" s="604"/>
      <c r="Z78" s="903"/>
      <c r="AA78" s="903"/>
      <c r="AB78" s="903"/>
      <c r="AC78" s="903"/>
    </row>
    <row r="79" spans="1:29" ht="15.75" customHeight="1">
      <c r="A79" s="654"/>
      <c r="B79" s="654"/>
      <c r="C79" s="654"/>
      <c r="D79" s="608"/>
      <c r="E79" s="608"/>
      <c r="F79" s="608"/>
      <c r="G79" s="608"/>
      <c r="H79" s="608"/>
      <c r="I79" s="608"/>
      <c r="J79" s="608"/>
      <c r="K79" s="608"/>
      <c r="L79" s="608"/>
      <c r="M79" s="608"/>
      <c r="N79" s="608"/>
      <c r="O79" s="608"/>
      <c r="P79" s="608"/>
      <c r="Q79" s="608"/>
      <c r="R79" s="608"/>
      <c r="S79" s="608"/>
      <c r="T79" s="608"/>
      <c r="U79" s="608"/>
      <c r="V79" s="608"/>
      <c r="W79" s="608"/>
      <c r="X79" s="518"/>
      <c r="Y79" s="604"/>
      <c r="Z79" s="903"/>
      <c r="AA79" s="903"/>
      <c r="AB79" s="903"/>
      <c r="AC79" s="903"/>
    </row>
    <row r="80" spans="1:29" ht="15.75" customHeight="1">
      <c r="A80" s="654"/>
      <c r="B80" s="654"/>
      <c r="C80" s="654"/>
      <c r="D80" s="608"/>
      <c r="E80" s="608"/>
      <c r="F80" s="608"/>
      <c r="G80" s="608"/>
      <c r="H80" s="608"/>
      <c r="I80" s="608"/>
      <c r="J80" s="608"/>
      <c r="K80" s="608"/>
      <c r="L80" s="608"/>
      <c r="M80" s="608"/>
      <c r="N80" s="608"/>
      <c r="O80" s="608"/>
      <c r="P80" s="608"/>
      <c r="Q80" s="608"/>
      <c r="R80" s="608"/>
      <c r="S80" s="608"/>
      <c r="T80" s="608"/>
      <c r="U80" s="608"/>
      <c r="V80" s="608"/>
      <c r="W80" s="608"/>
      <c r="X80" s="518"/>
      <c r="Y80" s="604"/>
      <c r="Z80" s="903"/>
      <c r="AA80" s="903"/>
      <c r="AB80" s="903"/>
      <c r="AC80" s="903"/>
    </row>
    <row r="81" spans="1:29" ht="15.75" customHeight="1">
      <c r="A81" s="654"/>
      <c r="B81" s="654"/>
      <c r="C81" s="654"/>
      <c r="D81" s="608"/>
      <c r="E81" s="608"/>
      <c r="F81" s="608"/>
      <c r="G81" s="608"/>
      <c r="H81" s="608"/>
      <c r="I81" s="608"/>
      <c r="J81" s="608"/>
      <c r="K81" s="608"/>
      <c r="L81" s="608"/>
      <c r="M81" s="608"/>
      <c r="N81" s="608"/>
      <c r="O81" s="608"/>
      <c r="P81" s="608"/>
      <c r="Q81" s="608"/>
      <c r="R81" s="608"/>
      <c r="S81" s="608"/>
      <c r="T81" s="608"/>
      <c r="U81" s="608"/>
      <c r="V81" s="608"/>
      <c r="W81" s="608"/>
      <c r="X81" s="518"/>
      <c r="Y81" s="604"/>
      <c r="Z81" s="903"/>
      <c r="AA81" s="903"/>
      <c r="AB81" s="903"/>
      <c r="AC81" s="903"/>
    </row>
    <row r="82" spans="1:29" ht="15.75" customHeight="1">
      <c r="A82" s="654"/>
      <c r="B82" s="654"/>
      <c r="C82" s="654"/>
      <c r="D82" s="608"/>
      <c r="E82" s="608"/>
      <c r="F82" s="608"/>
      <c r="G82" s="608"/>
      <c r="H82" s="608"/>
      <c r="I82" s="608"/>
      <c r="J82" s="608"/>
      <c r="K82" s="608"/>
      <c r="L82" s="608"/>
      <c r="M82" s="608"/>
      <c r="N82" s="608"/>
      <c r="O82" s="608"/>
      <c r="P82" s="608"/>
      <c r="Q82" s="608"/>
      <c r="R82" s="608"/>
      <c r="S82" s="608"/>
      <c r="T82" s="608"/>
      <c r="U82" s="608"/>
      <c r="V82" s="608"/>
      <c r="W82" s="608"/>
      <c r="X82" s="518"/>
      <c r="Y82" s="604"/>
      <c r="Z82" s="903"/>
      <c r="AA82" s="903"/>
      <c r="AB82" s="903"/>
      <c r="AC82" s="903"/>
    </row>
    <row r="83" spans="1:29" ht="15.75" customHeight="1">
      <c r="A83" s="654"/>
      <c r="B83" s="654"/>
      <c r="C83" s="654"/>
      <c r="D83" s="608"/>
      <c r="E83" s="608"/>
      <c r="F83" s="608"/>
      <c r="G83" s="608"/>
      <c r="H83" s="608"/>
      <c r="I83" s="608"/>
      <c r="J83" s="608"/>
      <c r="K83" s="608"/>
      <c r="L83" s="608"/>
      <c r="M83" s="608"/>
      <c r="N83" s="608"/>
      <c r="O83" s="608"/>
      <c r="P83" s="608"/>
      <c r="Q83" s="608"/>
      <c r="R83" s="608"/>
      <c r="S83" s="608"/>
      <c r="T83" s="608"/>
      <c r="U83" s="608"/>
      <c r="V83" s="608"/>
      <c r="W83" s="608"/>
      <c r="X83" s="518"/>
      <c r="Y83" s="604"/>
      <c r="Z83" s="903"/>
      <c r="AA83" s="903"/>
      <c r="AB83" s="903"/>
      <c r="AC83" s="903"/>
    </row>
    <row r="84" spans="1:29" ht="15.75" customHeight="1">
      <c r="A84" s="654"/>
      <c r="B84" s="654"/>
      <c r="C84" s="654"/>
      <c r="D84" s="608"/>
      <c r="E84" s="608"/>
      <c r="F84" s="608"/>
      <c r="G84" s="608"/>
      <c r="H84" s="608"/>
      <c r="I84" s="608"/>
      <c r="J84" s="608"/>
      <c r="K84" s="608"/>
      <c r="L84" s="608"/>
      <c r="M84" s="608"/>
      <c r="N84" s="608"/>
      <c r="O84" s="608"/>
      <c r="P84" s="608"/>
      <c r="Q84" s="608"/>
      <c r="R84" s="608"/>
      <c r="S84" s="608"/>
      <c r="T84" s="608"/>
      <c r="U84" s="608"/>
      <c r="V84" s="608"/>
      <c r="W84" s="608"/>
      <c r="X84" s="518"/>
      <c r="Y84" s="604"/>
      <c r="Z84" s="903"/>
      <c r="AA84" s="903"/>
      <c r="AB84" s="903"/>
      <c r="AC84" s="903"/>
    </row>
    <row r="85" spans="1:29" ht="15.75" customHeight="1">
      <c r="A85" s="654"/>
      <c r="B85" s="654"/>
      <c r="C85" s="654"/>
      <c r="D85" s="608"/>
      <c r="E85" s="608"/>
      <c r="F85" s="608"/>
      <c r="G85" s="608"/>
      <c r="H85" s="608"/>
      <c r="I85" s="608"/>
      <c r="J85" s="608"/>
      <c r="K85" s="608"/>
      <c r="L85" s="608"/>
      <c r="M85" s="608"/>
      <c r="N85" s="608"/>
      <c r="O85" s="608"/>
      <c r="P85" s="608"/>
      <c r="Q85" s="608"/>
      <c r="R85" s="608"/>
      <c r="S85" s="608"/>
      <c r="T85" s="608"/>
      <c r="U85" s="608"/>
      <c r="V85" s="608"/>
      <c r="W85" s="608"/>
      <c r="X85" s="518"/>
      <c r="Y85" s="604"/>
      <c r="Z85" s="903"/>
      <c r="AA85" s="903"/>
      <c r="AB85" s="903"/>
      <c r="AC85" s="903"/>
    </row>
    <row r="86" spans="1:29" ht="15.75" customHeight="1">
      <c r="A86" s="654"/>
      <c r="B86" s="654"/>
      <c r="C86" s="654"/>
      <c r="D86" s="608"/>
      <c r="E86" s="608"/>
      <c r="F86" s="608"/>
      <c r="G86" s="608"/>
      <c r="H86" s="608"/>
      <c r="I86" s="608"/>
      <c r="J86" s="608"/>
      <c r="K86" s="608"/>
      <c r="L86" s="608"/>
      <c r="M86" s="608"/>
      <c r="N86" s="608"/>
      <c r="O86" s="608"/>
      <c r="P86" s="608"/>
      <c r="Q86" s="608"/>
      <c r="R86" s="608"/>
      <c r="S86" s="608"/>
      <c r="T86" s="608"/>
      <c r="U86" s="608"/>
      <c r="V86" s="608"/>
      <c r="W86" s="608"/>
      <c r="X86" s="518"/>
      <c r="Y86" s="604"/>
      <c r="Z86" s="903"/>
      <c r="AA86" s="903"/>
      <c r="AB86" s="903"/>
      <c r="AC86" s="903"/>
    </row>
    <row r="87" spans="1:29" ht="15.75" customHeight="1">
      <c r="A87" s="654"/>
      <c r="B87" s="654"/>
      <c r="C87" s="654"/>
      <c r="D87" s="608"/>
      <c r="E87" s="608"/>
      <c r="F87" s="608"/>
      <c r="G87" s="608"/>
      <c r="H87" s="608"/>
      <c r="I87" s="608"/>
      <c r="J87" s="608"/>
      <c r="K87" s="608"/>
      <c r="L87" s="608"/>
      <c r="M87" s="608"/>
      <c r="N87" s="608"/>
      <c r="O87" s="608"/>
      <c r="P87" s="608"/>
      <c r="Q87" s="608"/>
      <c r="R87" s="608"/>
      <c r="S87" s="608"/>
      <c r="T87" s="608"/>
      <c r="U87" s="608"/>
      <c r="V87" s="608"/>
      <c r="W87" s="608"/>
      <c r="X87" s="518"/>
      <c r="Y87" s="604"/>
      <c r="Z87" s="903"/>
      <c r="AA87" s="903"/>
      <c r="AB87" s="903"/>
      <c r="AC87" s="903"/>
    </row>
    <row r="88" spans="1:29" ht="15.75" customHeight="1">
      <c r="A88" s="654"/>
      <c r="B88" s="654"/>
      <c r="C88" s="654"/>
      <c r="D88" s="608"/>
      <c r="E88" s="608"/>
      <c r="F88" s="608"/>
      <c r="G88" s="608"/>
      <c r="H88" s="608"/>
      <c r="I88" s="608"/>
      <c r="J88" s="608"/>
      <c r="K88" s="608"/>
      <c r="L88" s="608"/>
      <c r="M88" s="608"/>
      <c r="N88" s="608"/>
      <c r="O88" s="608"/>
      <c r="P88" s="608"/>
      <c r="Q88" s="608"/>
      <c r="R88" s="608"/>
      <c r="S88" s="608"/>
      <c r="T88" s="608"/>
      <c r="U88" s="608"/>
      <c r="V88" s="608"/>
      <c r="W88" s="608"/>
      <c r="X88" s="518"/>
      <c r="Y88" s="604"/>
      <c r="Z88" s="903"/>
      <c r="AA88" s="903"/>
      <c r="AB88" s="903"/>
      <c r="AC88" s="903"/>
    </row>
    <row r="89" spans="1:29" ht="15.75" customHeight="1">
      <c r="A89" s="654"/>
      <c r="B89" s="654"/>
      <c r="C89" s="654"/>
      <c r="D89" s="608"/>
      <c r="E89" s="608"/>
      <c r="F89" s="608"/>
      <c r="G89" s="608"/>
      <c r="H89" s="608"/>
      <c r="I89" s="608"/>
      <c r="J89" s="608"/>
      <c r="K89" s="608"/>
      <c r="L89" s="608"/>
      <c r="M89" s="608"/>
      <c r="N89" s="608"/>
      <c r="O89" s="608"/>
      <c r="P89" s="608"/>
      <c r="Q89" s="608"/>
      <c r="R89" s="608"/>
      <c r="S89" s="608"/>
      <c r="T89" s="608"/>
      <c r="U89" s="608"/>
      <c r="V89" s="608"/>
      <c r="W89" s="608"/>
      <c r="X89" s="518"/>
      <c r="Y89" s="604"/>
      <c r="Z89" s="903"/>
      <c r="AA89" s="903"/>
      <c r="AB89" s="903"/>
      <c r="AC89" s="903"/>
    </row>
    <row r="90" spans="1:29" ht="15.75" customHeight="1">
      <c r="A90" s="654"/>
      <c r="B90" s="654"/>
      <c r="C90" s="654"/>
      <c r="D90" s="608"/>
      <c r="E90" s="608"/>
      <c r="F90" s="608"/>
      <c r="G90" s="608"/>
      <c r="H90" s="608"/>
      <c r="I90" s="608"/>
      <c r="J90" s="608"/>
      <c r="K90" s="608"/>
      <c r="L90" s="608"/>
      <c r="M90" s="608"/>
      <c r="N90" s="608"/>
      <c r="O90" s="608"/>
      <c r="P90" s="608"/>
      <c r="Q90" s="608"/>
      <c r="R90" s="608"/>
      <c r="S90" s="608"/>
      <c r="T90" s="608"/>
      <c r="U90" s="608"/>
      <c r="V90" s="608"/>
      <c r="W90" s="608"/>
      <c r="X90" s="518"/>
      <c r="Y90" s="604"/>
      <c r="Z90" s="903"/>
      <c r="AA90" s="903"/>
      <c r="AB90" s="903"/>
      <c r="AC90" s="903"/>
    </row>
    <row r="91" spans="1:29" ht="15.75" customHeight="1">
      <c r="A91" s="654"/>
      <c r="B91" s="654"/>
      <c r="C91" s="654"/>
      <c r="D91" s="608"/>
      <c r="E91" s="608"/>
      <c r="F91" s="608"/>
      <c r="G91" s="608"/>
      <c r="H91" s="608"/>
      <c r="I91" s="608"/>
      <c r="J91" s="608"/>
      <c r="K91" s="608"/>
      <c r="L91" s="608"/>
      <c r="M91" s="608"/>
      <c r="N91" s="608"/>
      <c r="O91" s="608"/>
      <c r="P91" s="608"/>
      <c r="Q91" s="608"/>
      <c r="R91" s="608"/>
      <c r="S91" s="608"/>
      <c r="T91" s="608"/>
      <c r="U91" s="608"/>
      <c r="V91" s="608"/>
      <c r="W91" s="608"/>
      <c r="X91" s="518"/>
      <c r="Y91" s="604"/>
      <c r="Z91" s="903"/>
      <c r="AA91" s="903"/>
      <c r="AB91" s="903"/>
      <c r="AC91" s="903"/>
    </row>
    <row r="92" spans="1:29" ht="15.75" customHeight="1">
      <c r="A92" s="654"/>
      <c r="B92" s="654"/>
      <c r="C92" s="654"/>
      <c r="D92" s="608"/>
      <c r="E92" s="608"/>
      <c r="F92" s="608"/>
      <c r="G92" s="608"/>
      <c r="H92" s="608"/>
      <c r="I92" s="608"/>
      <c r="J92" s="608"/>
      <c r="K92" s="608"/>
      <c r="L92" s="608"/>
      <c r="M92" s="608"/>
      <c r="N92" s="608"/>
      <c r="O92" s="608"/>
      <c r="P92" s="608"/>
      <c r="Q92" s="608"/>
      <c r="R92" s="608"/>
      <c r="S92" s="608"/>
      <c r="T92" s="608"/>
      <c r="U92" s="608"/>
      <c r="V92" s="608"/>
      <c r="W92" s="608"/>
      <c r="X92" s="518"/>
      <c r="Y92" s="604"/>
      <c r="Z92" s="903"/>
      <c r="AA92" s="903"/>
      <c r="AB92" s="903"/>
      <c r="AC92" s="903"/>
    </row>
    <row r="93" spans="1:29" ht="15.75" customHeight="1">
      <c r="A93" s="654"/>
      <c r="B93" s="654"/>
      <c r="C93" s="654"/>
      <c r="D93" s="608"/>
      <c r="E93" s="608"/>
      <c r="F93" s="608"/>
      <c r="G93" s="608"/>
      <c r="H93" s="608"/>
      <c r="I93" s="608"/>
      <c r="J93" s="608"/>
      <c r="K93" s="608"/>
      <c r="L93" s="608"/>
      <c r="M93" s="608"/>
      <c r="N93" s="608"/>
      <c r="O93" s="608"/>
      <c r="P93" s="608"/>
      <c r="Q93" s="608"/>
      <c r="R93" s="608"/>
      <c r="S93" s="608"/>
      <c r="T93" s="608"/>
      <c r="U93" s="608"/>
      <c r="V93" s="608"/>
      <c r="W93" s="608"/>
      <c r="X93" s="518"/>
      <c r="Y93" s="604"/>
      <c r="Z93" s="903"/>
      <c r="AA93" s="903"/>
      <c r="AB93" s="903"/>
      <c r="AC93" s="903"/>
    </row>
    <row r="94" spans="1:29" ht="15.75" customHeight="1">
      <c r="A94" s="654"/>
      <c r="B94" s="654"/>
      <c r="C94" s="654"/>
      <c r="D94" s="608"/>
      <c r="E94" s="608"/>
      <c r="F94" s="608"/>
      <c r="G94" s="608"/>
      <c r="H94" s="608"/>
      <c r="I94" s="608"/>
      <c r="J94" s="608"/>
      <c r="K94" s="608"/>
      <c r="L94" s="608"/>
      <c r="M94" s="608"/>
      <c r="N94" s="608"/>
      <c r="O94" s="608"/>
      <c r="P94" s="608"/>
      <c r="Q94" s="608"/>
      <c r="R94" s="608"/>
      <c r="S94" s="608"/>
      <c r="T94" s="608"/>
      <c r="U94" s="608"/>
      <c r="V94" s="608"/>
      <c r="W94" s="608"/>
      <c r="X94" s="518"/>
      <c r="Y94" s="604"/>
      <c r="Z94" s="903"/>
      <c r="AA94" s="903"/>
      <c r="AB94" s="903"/>
      <c r="AC94" s="903"/>
    </row>
    <row r="95" spans="1:29" ht="15.75" customHeight="1">
      <c r="A95" s="654"/>
      <c r="B95" s="654"/>
      <c r="C95" s="654"/>
      <c r="D95" s="608"/>
      <c r="E95" s="608"/>
      <c r="F95" s="608"/>
      <c r="G95" s="608"/>
      <c r="H95" s="608"/>
      <c r="I95" s="608"/>
      <c r="J95" s="608"/>
      <c r="K95" s="608"/>
      <c r="L95" s="608"/>
      <c r="M95" s="608"/>
      <c r="N95" s="608"/>
      <c r="O95" s="608"/>
      <c r="P95" s="608"/>
      <c r="Q95" s="608"/>
      <c r="R95" s="608"/>
      <c r="S95" s="608"/>
      <c r="T95" s="608"/>
      <c r="U95" s="608"/>
      <c r="V95" s="608"/>
      <c r="W95" s="608"/>
      <c r="X95" s="518"/>
      <c r="Y95" s="604"/>
      <c r="Z95" s="903"/>
      <c r="AA95" s="903"/>
      <c r="AB95" s="903"/>
      <c r="AC95" s="903"/>
    </row>
    <row r="96" spans="1:29" ht="15.75" customHeight="1">
      <c r="A96" s="654"/>
      <c r="B96" s="654"/>
      <c r="C96" s="654"/>
      <c r="D96" s="608"/>
      <c r="E96" s="608"/>
      <c r="F96" s="608"/>
      <c r="G96" s="608"/>
      <c r="H96" s="608"/>
      <c r="I96" s="608"/>
      <c r="J96" s="608"/>
      <c r="K96" s="608"/>
      <c r="L96" s="608"/>
      <c r="M96" s="608"/>
      <c r="N96" s="608"/>
      <c r="O96" s="608"/>
      <c r="P96" s="608"/>
      <c r="Q96" s="608"/>
      <c r="R96" s="608"/>
      <c r="S96" s="608"/>
      <c r="T96" s="608"/>
      <c r="U96" s="608"/>
      <c r="V96" s="608"/>
      <c r="W96" s="608"/>
      <c r="X96" s="518"/>
      <c r="Y96" s="604"/>
      <c r="Z96" s="903"/>
      <c r="AA96" s="903"/>
      <c r="AB96" s="903"/>
      <c r="AC96" s="903"/>
    </row>
    <row r="97" spans="1:29" ht="15.75" customHeight="1">
      <c r="A97" s="654"/>
      <c r="B97" s="654"/>
      <c r="C97" s="654"/>
      <c r="D97" s="608"/>
      <c r="E97" s="608"/>
      <c r="F97" s="608"/>
      <c r="G97" s="608"/>
      <c r="H97" s="608"/>
      <c r="I97" s="608"/>
      <c r="J97" s="608"/>
      <c r="K97" s="608"/>
      <c r="L97" s="608"/>
      <c r="M97" s="608"/>
      <c r="N97" s="608"/>
      <c r="O97" s="608"/>
      <c r="P97" s="608"/>
      <c r="Q97" s="608"/>
      <c r="R97" s="608"/>
      <c r="S97" s="608"/>
      <c r="T97" s="608"/>
      <c r="U97" s="608"/>
      <c r="V97" s="608"/>
      <c r="W97" s="608"/>
      <c r="X97" s="518"/>
      <c r="Y97" s="604"/>
      <c r="Z97" s="903"/>
      <c r="AA97" s="903"/>
      <c r="AB97" s="903"/>
      <c r="AC97" s="903"/>
    </row>
    <row r="98" spans="1:29" ht="15.75" customHeight="1">
      <c r="A98" s="654"/>
      <c r="B98" s="654"/>
      <c r="C98" s="654"/>
      <c r="D98" s="608"/>
      <c r="E98" s="608"/>
      <c r="F98" s="608"/>
      <c r="G98" s="608"/>
      <c r="H98" s="608"/>
      <c r="I98" s="608"/>
      <c r="J98" s="608"/>
      <c r="K98" s="608"/>
      <c r="L98" s="608"/>
      <c r="M98" s="608"/>
      <c r="N98" s="608"/>
      <c r="O98" s="608"/>
      <c r="P98" s="608"/>
      <c r="Q98" s="608"/>
      <c r="R98" s="608"/>
      <c r="S98" s="608"/>
      <c r="T98" s="608"/>
      <c r="U98" s="608"/>
      <c r="V98" s="608"/>
      <c r="W98" s="608"/>
      <c r="X98" s="518"/>
      <c r="Y98" s="604"/>
      <c r="Z98" s="903"/>
      <c r="AA98" s="903"/>
      <c r="AB98" s="903"/>
      <c r="AC98" s="903"/>
    </row>
    <row r="99" spans="1:29" ht="15.75" customHeight="1">
      <c r="A99" s="654"/>
      <c r="B99" s="654"/>
      <c r="C99" s="654"/>
      <c r="D99" s="608"/>
      <c r="E99" s="608"/>
      <c r="F99" s="608"/>
      <c r="G99" s="608"/>
      <c r="H99" s="608"/>
      <c r="I99" s="608"/>
      <c r="J99" s="608"/>
      <c r="K99" s="608"/>
      <c r="L99" s="608"/>
      <c r="M99" s="608"/>
      <c r="N99" s="608"/>
      <c r="O99" s="608"/>
      <c r="P99" s="608"/>
      <c r="Q99" s="608"/>
      <c r="R99" s="608"/>
      <c r="S99" s="608"/>
      <c r="T99" s="608"/>
      <c r="U99" s="608"/>
      <c r="V99" s="608"/>
      <c r="W99" s="608"/>
      <c r="X99" s="518"/>
      <c r="Y99" s="604"/>
      <c r="Z99" s="903"/>
      <c r="AA99" s="903"/>
      <c r="AB99" s="903"/>
      <c r="AC99" s="903"/>
    </row>
    <row r="100" spans="1:29" ht="15.75" customHeight="1">
      <c r="A100" s="654"/>
      <c r="B100" s="654"/>
      <c r="C100" s="654"/>
      <c r="D100" s="608"/>
      <c r="E100" s="608"/>
      <c r="F100" s="608"/>
      <c r="G100" s="608"/>
      <c r="H100" s="608"/>
      <c r="I100" s="608"/>
      <c r="J100" s="608"/>
      <c r="K100" s="608"/>
      <c r="L100" s="608"/>
      <c r="M100" s="608"/>
      <c r="N100" s="608"/>
      <c r="O100" s="608"/>
      <c r="P100" s="608"/>
      <c r="Q100" s="608"/>
      <c r="R100" s="608"/>
      <c r="S100" s="608"/>
      <c r="T100" s="608"/>
      <c r="U100" s="608"/>
      <c r="V100" s="608"/>
      <c r="W100" s="608"/>
      <c r="X100" s="518"/>
      <c r="Y100" s="604"/>
      <c r="Z100" s="903"/>
      <c r="AA100" s="903"/>
      <c r="AB100" s="903"/>
      <c r="AC100" s="903"/>
    </row>
    <row r="101" spans="1:29" ht="15.75" customHeight="1">
      <c r="A101" s="654"/>
      <c r="B101" s="654"/>
      <c r="C101" s="654"/>
      <c r="D101" s="608"/>
      <c r="E101" s="608"/>
      <c r="F101" s="608"/>
      <c r="G101" s="608"/>
      <c r="H101" s="608"/>
      <c r="I101" s="608"/>
      <c r="J101" s="608"/>
      <c r="K101" s="608"/>
      <c r="L101" s="608"/>
      <c r="M101" s="608"/>
      <c r="N101" s="608"/>
      <c r="O101" s="608"/>
      <c r="P101" s="608"/>
      <c r="Q101" s="608"/>
      <c r="R101" s="608"/>
      <c r="S101" s="608"/>
      <c r="T101" s="608"/>
      <c r="U101" s="608"/>
      <c r="V101" s="608"/>
      <c r="W101" s="608"/>
      <c r="X101" s="518"/>
      <c r="Y101" s="604"/>
      <c r="Z101" s="903"/>
      <c r="AA101" s="903"/>
      <c r="AB101" s="903"/>
      <c r="AC101" s="903"/>
    </row>
    <row r="102" spans="1:29" ht="15.75" customHeight="1">
      <c r="A102" s="654"/>
      <c r="B102" s="654"/>
      <c r="C102" s="654"/>
      <c r="D102" s="608"/>
      <c r="E102" s="608"/>
      <c r="F102" s="608"/>
      <c r="G102" s="608"/>
      <c r="H102" s="608"/>
      <c r="I102" s="608"/>
      <c r="J102" s="608"/>
      <c r="K102" s="608"/>
      <c r="L102" s="608"/>
      <c r="M102" s="608"/>
      <c r="N102" s="608"/>
      <c r="O102" s="608"/>
      <c r="P102" s="608"/>
      <c r="Q102" s="608"/>
      <c r="R102" s="608"/>
      <c r="S102" s="608"/>
      <c r="T102" s="608"/>
      <c r="U102" s="608"/>
      <c r="V102" s="608"/>
      <c r="W102" s="608"/>
      <c r="X102" s="518"/>
      <c r="Y102" s="604"/>
      <c r="Z102" s="903"/>
      <c r="AA102" s="903"/>
      <c r="AB102" s="903"/>
      <c r="AC102" s="903"/>
    </row>
    <row r="103" spans="1:29" ht="15.75" customHeight="1">
      <c r="A103" s="654"/>
      <c r="B103" s="654"/>
      <c r="C103" s="654"/>
      <c r="D103" s="608"/>
      <c r="E103" s="608"/>
      <c r="F103" s="608"/>
      <c r="G103" s="608"/>
      <c r="H103" s="608"/>
      <c r="I103" s="608"/>
      <c r="J103" s="608"/>
      <c r="K103" s="608"/>
      <c r="L103" s="608"/>
      <c r="M103" s="608"/>
      <c r="N103" s="608"/>
      <c r="O103" s="608"/>
      <c r="P103" s="608"/>
      <c r="Q103" s="608"/>
      <c r="R103" s="608"/>
      <c r="S103" s="608"/>
      <c r="T103" s="608"/>
      <c r="U103" s="608"/>
      <c r="V103" s="608"/>
      <c r="W103" s="608"/>
      <c r="X103" s="518"/>
      <c r="Y103" s="604"/>
      <c r="Z103" s="903"/>
      <c r="AA103" s="903"/>
      <c r="AB103" s="903"/>
      <c r="AC103" s="903"/>
    </row>
    <row r="104" spans="1:29" ht="15.75" customHeight="1">
      <c r="A104" s="654"/>
      <c r="B104" s="654"/>
      <c r="C104" s="654"/>
      <c r="D104" s="608"/>
      <c r="E104" s="608"/>
      <c r="F104" s="608"/>
      <c r="G104" s="608"/>
      <c r="H104" s="608"/>
      <c r="I104" s="608"/>
      <c r="J104" s="608"/>
      <c r="K104" s="608"/>
      <c r="L104" s="608"/>
      <c r="M104" s="608"/>
      <c r="N104" s="608"/>
      <c r="O104" s="608"/>
      <c r="P104" s="608"/>
      <c r="Q104" s="608"/>
      <c r="R104" s="608"/>
      <c r="S104" s="608"/>
      <c r="T104" s="608"/>
      <c r="U104" s="608"/>
      <c r="V104" s="608"/>
      <c r="W104" s="608"/>
      <c r="X104" s="518"/>
      <c r="Y104" s="604"/>
      <c r="Z104" s="903"/>
      <c r="AA104" s="903"/>
      <c r="AB104" s="903"/>
      <c r="AC104" s="903"/>
    </row>
    <row r="105" spans="1:29" ht="15.75" customHeight="1">
      <c r="A105" s="654"/>
      <c r="B105" s="654"/>
      <c r="C105" s="654"/>
      <c r="D105" s="608"/>
      <c r="E105" s="608"/>
      <c r="F105" s="608"/>
      <c r="G105" s="608"/>
      <c r="H105" s="608"/>
      <c r="I105" s="608"/>
      <c r="J105" s="608"/>
      <c r="K105" s="608"/>
      <c r="L105" s="608"/>
      <c r="M105" s="608"/>
      <c r="N105" s="608"/>
      <c r="O105" s="608"/>
      <c r="P105" s="608"/>
      <c r="Q105" s="608"/>
      <c r="R105" s="608"/>
      <c r="S105" s="608"/>
      <c r="T105" s="608"/>
      <c r="U105" s="608"/>
      <c r="V105" s="608"/>
      <c r="W105" s="608"/>
      <c r="X105" s="518"/>
      <c r="Y105" s="604"/>
      <c r="Z105" s="903"/>
      <c r="AA105" s="903"/>
      <c r="AB105" s="903"/>
      <c r="AC105" s="903"/>
    </row>
    <row r="106" spans="1:29" ht="15.75" customHeight="1">
      <c r="A106" s="654"/>
      <c r="B106" s="654"/>
      <c r="C106" s="654"/>
      <c r="D106" s="608"/>
      <c r="E106" s="608"/>
      <c r="F106" s="608"/>
      <c r="G106" s="608"/>
      <c r="H106" s="608"/>
      <c r="I106" s="608"/>
      <c r="J106" s="608"/>
      <c r="K106" s="608"/>
      <c r="L106" s="608"/>
      <c r="M106" s="608"/>
      <c r="N106" s="608"/>
      <c r="O106" s="608"/>
      <c r="P106" s="608"/>
      <c r="Q106" s="608"/>
      <c r="R106" s="608"/>
      <c r="S106" s="608"/>
      <c r="T106" s="608"/>
      <c r="U106" s="608"/>
      <c r="V106" s="608"/>
      <c r="W106" s="608"/>
      <c r="X106" s="518"/>
      <c r="Y106" s="604"/>
      <c r="Z106" s="903"/>
      <c r="AA106" s="903"/>
      <c r="AB106" s="903"/>
      <c r="AC106" s="903"/>
    </row>
    <row r="107" spans="1:29" ht="15.75" customHeight="1">
      <c r="A107" s="654"/>
      <c r="B107" s="654"/>
      <c r="C107" s="654"/>
      <c r="D107" s="608"/>
      <c r="E107" s="608"/>
      <c r="F107" s="608"/>
      <c r="G107" s="608"/>
      <c r="H107" s="608"/>
      <c r="I107" s="608"/>
      <c r="J107" s="608"/>
      <c r="K107" s="608"/>
      <c r="L107" s="608"/>
      <c r="M107" s="608"/>
      <c r="N107" s="608"/>
      <c r="O107" s="608"/>
      <c r="P107" s="608"/>
      <c r="Q107" s="608"/>
      <c r="R107" s="608"/>
      <c r="S107" s="608"/>
      <c r="T107" s="608"/>
      <c r="U107" s="608"/>
      <c r="V107" s="608"/>
      <c r="W107" s="608"/>
      <c r="X107" s="518"/>
      <c r="Y107" s="604"/>
      <c r="Z107" s="903"/>
      <c r="AA107" s="903"/>
      <c r="AB107" s="903"/>
      <c r="AC107" s="903"/>
    </row>
    <row r="108" spans="1:29" ht="15.75" customHeight="1">
      <c r="A108" s="653">
        <v>2023</v>
      </c>
      <c r="B108" s="653"/>
      <c r="C108" s="654"/>
      <c r="D108" s="870">
        <f t="shared" ref="D108:E108" si="85">D27+D22</f>
        <v>113487</v>
      </c>
      <c r="E108" s="858">
        <f t="shared" si="85"/>
        <v>37369</v>
      </c>
      <c r="F108" s="608"/>
      <c r="G108" s="608"/>
      <c r="H108" s="608"/>
      <c r="I108" s="608"/>
      <c r="J108" s="608"/>
      <c r="K108" s="608"/>
      <c r="L108" s="608"/>
      <c r="M108" s="608"/>
      <c r="N108" s="608"/>
      <c r="O108" s="608"/>
      <c r="P108" s="608"/>
      <c r="Q108" s="608"/>
      <c r="R108" s="608"/>
      <c r="S108" s="608"/>
      <c r="T108" s="608"/>
      <c r="U108" s="608"/>
      <c r="V108" s="608"/>
      <c r="W108" s="608"/>
      <c r="X108" s="518"/>
      <c r="Y108" s="604"/>
      <c r="Z108" s="903"/>
      <c r="AA108" s="903"/>
      <c r="AB108" s="903"/>
      <c r="AC108" s="903"/>
    </row>
    <row r="109" spans="1:29" ht="15.75" customHeight="1">
      <c r="A109" s="653" t="s">
        <v>161</v>
      </c>
      <c r="B109" s="654"/>
      <c r="C109" s="654"/>
      <c r="D109" s="870"/>
      <c r="E109" s="858"/>
      <c r="F109" s="608"/>
      <c r="G109" s="608"/>
      <c r="H109" s="608" t="s">
        <v>660</v>
      </c>
      <c r="I109" s="608" t="s">
        <v>661</v>
      </c>
      <c r="J109" s="608" t="s">
        <v>662</v>
      </c>
      <c r="K109" s="608"/>
      <c r="L109" s="608"/>
      <c r="M109" s="608"/>
      <c r="N109" s="608"/>
      <c r="O109" s="608"/>
      <c r="P109" s="608"/>
      <c r="Q109" s="608"/>
      <c r="R109" s="608"/>
      <c r="S109" s="608"/>
      <c r="T109" s="608"/>
      <c r="U109" s="608"/>
      <c r="V109" s="608"/>
      <c r="W109" s="608"/>
      <c r="X109" s="518"/>
      <c r="Y109" s="604"/>
      <c r="Z109" s="903"/>
      <c r="AA109" s="903"/>
      <c r="AB109" s="903"/>
      <c r="AC109" s="903"/>
    </row>
    <row r="110" spans="1:29" ht="15.75" customHeight="1">
      <c r="A110" s="653" t="s">
        <v>654</v>
      </c>
      <c r="B110" s="654"/>
      <c r="C110" s="654"/>
      <c r="D110" s="858">
        <f>(D22*C21)+(D27*C26)</f>
        <v>134440.91334000003</v>
      </c>
      <c r="E110" s="858">
        <f>E108</f>
        <v>37369</v>
      </c>
      <c r="F110" s="608"/>
      <c r="G110" s="608"/>
      <c r="H110" s="858">
        <f>E110+D110</f>
        <v>171809.91334000003</v>
      </c>
      <c r="I110" s="858">
        <f>SUM(H23:S23)+SUM(H27:S27)</f>
        <v>42296.183199999999</v>
      </c>
      <c r="J110" s="858">
        <f>H110-I110</f>
        <v>129513.73014000003</v>
      </c>
      <c r="K110" s="912">
        <f>J110/H110</f>
        <v>0.75381989096113011</v>
      </c>
      <c r="L110" s="858">
        <f>J110/12</f>
        <v>10792.810845000002</v>
      </c>
      <c r="M110" s="913" t="s">
        <v>663</v>
      </c>
      <c r="N110" s="608"/>
      <c r="O110" s="608"/>
      <c r="P110" s="608"/>
      <c r="Q110" s="608"/>
      <c r="R110" s="608"/>
      <c r="S110" s="608"/>
      <c r="T110" s="608"/>
      <c r="U110" s="608"/>
      <c r="V110" s="608"/>
      <c r="W110" s="608"/>
      <c r="X110" s="518"/>
      <c r="Y110" s="604"/>
      <c r="Z110" s="903"/>
      <c r="AA110" s="903"/>
      <c r="AB110" s="903"/>
      <c r="AC110" s="903"/>
    </row>
    <row r="111" spans="1:29" ht="15.75" customHeight="1">
      <c r="A111" s="76"/>
      <c r="B111" s="88"/>
      <c r="C111" s="7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46"/>
      <c r="Y111" s="18"/>
    </row>
    <row r="112" spans="1:29" ht="15.75" customHeight="1">
      <c r="A112" s="88"/>
      <c r="B112" s="76"/>
      <c r="C112" s="107" t="s">
        <v>664</v>
      </c>
      <c r="D112" s="108">
        <f>SUM(D113:D114)</f>
        <v>80664.548004000011</v>
      </c>
      <c r="E112" s="109"/>
      <c r="F112" s="109"/>
      <c r="G112" s="109"/>
      <c r="H112" s="108">
        <f t="shared" ref="H112:S112" si="86">SUM(H113:H114)</f>
        <v>10271.75</v>
      </c>
      <c r="I112" s="108">
        <f t="shared" si="86"/>
        <v>0</v>
      </c>
      <c r="J112" s="108">
        <f t="shared" si="86"/>
        <v>149.72</v>
      </c>
      <c r="K112" s="108">
        <f t="shared" si="86"/>
        <v>836.39</v>
      </c>
      <c r="L112" s="108">
        <f t="shared" si="86"/>
        <v>4913.26</v>
      </c>
      <c r="M112" s="108">
        <f t="shared" si="86"/>
        <v>2050.6</v>
      </c>
      <c r="N112" s="108">
        <f t="shared" si="86"/>
        <v>12708.7032</v>
      </c>
      <c r="O112" s="108">
        <f t="shared" si="86"/>
        <v>0</v>
      </c>
      <c r="P112" s="108">
        <f t="shared" si="86"/>
        <v>1334.99</v>
      </c>
      <c r="Q112" s="108">
        <f t="shared" si="86"/>
        <v>909.56</v>
      </c>
      <c r="R112" s="108">
        <f t="shared" si="86"/>
        <v>2531</v>
      </c>
      <c r="S112" s="108">
        <f t="shared" si="86"/>
        <v>403.61</v>
      </c>
      <c r="T112" s="86"/>
      <c r="U112" s="86"/>
      <c r="V112" s="86"/>
      <c r="W112" s="86"/>
      <c r="X112" s="46"/>
      <c r="Y112" s="18"/>
    </row>
    <row r="113" spans="1:25" ht="15.75" customHeight="1">
      <c r="A113" s="88"/>
      <c r="B113" s="76"/>
      <c r="C113" s="111" t="str">
        <f>B21</f>
        <v>2024.01.01 bis 2024.04.05</v>
      </c>
      <c r="D113" s="112">
        <f>D23</f>
        <v>11318.70996</v>
      </c>
      <c r="E113" s="113"/>
      <c r="F113" s="919">
        <f t="shared" ref="F113:G113" si="87">F12+F17+F22</f>
        <v>13069.57</v>
      </c>
      <c r="G113" s="113">
        <f t="shared" si="87"/>
        <v>18575</v>
      </c>
      <c r="H113" s="112">
        <f t="shared" ref="H113:S113" si="88">H23</f>
        <v>2550.75</v>
      </c>
      <c r="I113" s="112">
        <f t="shared" si="88"/>
        <v>0</v>
      </c>
      <c r="J113" s="112">
        <f t="shared" si="88"/>
        <v>36.32</v>
      </c>
      <c r="K113" s="112">
        <f t="shared" si="88"/>
        <v>180.59000000000003</v>
      </c>
      <c r="L113" s="112">
        <f t="shared" si="88"/>
        <v>627.46</v>
      </c>
      <c r="M113" s="112">
        <f t="shared" si="88"/>
        <v>581.59999999999991</v>
      </c>
      <c r="N113" s="112">
        <f t="shared" si="88"/>
        <v>3736.7032000000004</v>
      </c>
      <c r="O113" s="112">
        <f t="shared" si="88"/>
        <v>0</v>
      </c>
      <c r="P113" s="112">
        <f t="shared" si="88"/>
        <v>910.99</v>
      </c>
      <c r="Q113" s="112">
        <f t="shared" si="88"/>
        <v>533.95999999999992</v>
      </c>
      <c r="R113" s="112">
        <f t="shared" si="88"/>
        <v>0</v>
      </c>
      <c r="S113" s="112">
        <f t="shared" si="88"/>
        <v>47.809999999999988</v>
      </c>
      <c r="T113" s="86"/>
      <c r="U113" s="86"/>
      <c r="V113" s="86"/>
      <c r="W113" s="86"/>
      <c r="X113" s="46"/>
      <c r="Y113" s="18"/>
    </row>
    <row r="114" spans="1:25" ht="15.75" customHeight="1">
      <c r="A114" s="88"/>
      <c r="B114" s="76"/>
      <c r="C114" s="111" t="str">
        <f>B26</f>
        <v>2024.04.06 bis 2024.12.31</v>
      </c>
      <c r="D114" s="112">
        <f>D28</f>
        <v>69345.838044000004</v>
      </c>
      <c r="E114" s="113"/>
      <c r="F114" s="919">
        <f>SUM('Einnahmen Ausgaben'!F4:F6)</f>
        <v>13069.57</v>
      </c>
      <c r="G114" s="113">
        <f>SUM('Einnahmen Ausgaben'!G4:G6)</f>
        <v>18575</v>
      </c>
      <c r="H114" s="112">
        <f t="shared" ref="H114:S114" si="89">H28</f>
        <v>7721</v>
      </c>
      <c r="I114" s="112">
        <f t="shared" si="89"/>
        <v>0</v>
      </c>
      <c r="J114" s="112">
        <f t="shared" si="89"/>
        <v>113.4</v>
      </c>
      <c r="K114" s="112">
        <f t="shared" si="89"/>
        <v>655.8</v>
      </c>
      <c r="L114" s="112">
        <f t="shared" si="89"/>
        <v>4285.8</v>
      </c>
      <c r="M114" s="112">
        <f t="shared" si="89"/>
        <v>1469</v>
      </c>
      <c r="N114" s="112">
        <f t="shared" si="89"/>
        <v>8972</v>
      </c>
      <c r="O114" s="112">
        <f t="shared" si="89"/>
        <v>0</v>
      </c>
      <c r="P114" s="112">
        <f t="shared" si="89"/>
        <v>424</v>
      </c>
      <c r="Q114" s="112">
        <f t="shared" si="89"/>
        <v>375.6</v>
      </c>
      <c r="R114" s="112">
        <f t="shared" si="89"/>
        <v>2531</v>
      </c>
      <c r="S114" s="112">
        <f t="shared" si="89"/>
        <v>355.8</v>
      </c>
      <c r="T114" s="86"/>
      <c r="U114" s="86"/>
      <c r="V114" s="86"/>
      <c r="W114" s="86"/>
      <c r="X114" s="46"/>
      <c r="Y114" s="18"/>
    </row>
    <row r="115" spans="1:25" ht="15.75" customHeight="1">
      <c r="A115" s="76"/>
      <c r="B115" s="76"/>
      <c r="C115" s="76"/>
      <c r="D115" s="86"/>
      <c r="E115" s="86"/>
      <c r="F115" s="920"/>
      <c r="G115" s="921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46"/>
      <c r="Y115" s="18"/>
    </row>
    <row r="116" spans="1:25" ht="15.75" customHeight="1">
      <c r="A116" s="76"/>
      <c r="B116" s="76"/>
      <c r="C116" s="76"/>
      <c r="D116" s="86"/>
      <c r="E116" s="86"/>
      <c r="F116" s="920"/>
      <c r="G116" s="921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46"/>
      <c r="Y116" s="18"/>
    </row>
    <row r="117" spans="1:25" ht="15.75" customHeight="1">
      <c r="A117" s="76"/>
      <c r="B117" s="76"/>
      <c r="C117" s="88"/>
      <c r="D117" s="86"/>
      <c r="E117" s="86"/>
      <c r="F117" s="920"/>
      <c r="G117" s="921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46"/>
      <c r="Y117" s="18"/>
    </row>
    <row r="118" spans="1:25" ht="15.75" customHeight="1">
      <c r="A118" s="76"/>
      <c r="B118" s="76"/>
      <c r="C118" s="76"/>
      <c r="D118" s="86"/>
      <c r="E118" s="86"/>
      <c r="F118" s="920"/>
      <c r="G118" s="921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46"/>
      <c r="Y118" s="18"/>
    </row>
    <row r="119" spans="1:25" ht="15.75" customHeight="1">
      <c r="A119" s="76"/>
      <c r="B119" s="76"/>
      <c r="C119" s="76"/>
      <c r="D119" s="86"/>
      <c r="E119" s="86"/>
      <c r="F119" s="920"/>
      <c r="G119" s="921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46"/>
      <c r="Y119" s="18"/>
    </row>
    <row r="120" spans="1:25" ht="15.75" customHeight="1">
      <c r="A120" s="76"/>
      <c r="B120" s="76"/>
      <c r="C120" s="76"/>
      <c r="D120" s="86"/>
      <c r="E120" s="86"/>
      <c r="F120" s="920"/>
      <c r="G120" s="921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46"/>
      <c r="Y120" s="18"/>
    </row>
    <row r="121" spans="1:25" ht="15.75" customHeight="1">
      <c r="A121" s="76"/>
      <c r="B121" s="76"/>
      <c r="C121" s="76"/>
      <c r="D121" s="86"/>
      <c r="E121" s="86"/>
      <c r="F121" s="920"/>
      <c r="G121" s="921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46"/>
      <c r="Y121" s="18"/>
    </row>
    <row r="122" spans="1:25" ht="15.75" customHeight="1">
      <c r="A122" s="76"/>
      <c r="B122" s="76"/>
      <c r="C122" s="76"/>
      <c r="D122" s="86"/>
      <c r="E122" s="86"/>
      <c r="F122" s="920"/>
      <c r="G122" s="921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46"/>
      <c r="Y122" s="18"/>
    </row>
    <row r="123" spans="1:25" ht="15.75" customHeight="1">
      <c r="A123" s="76"/>
      <c r="B123" s="76"/>
      <c r="C123" s="76"/>
      <c r="D123" s="86"/>
      <c r="E123" s="86"/>
      <c r="F123" s="920"/>
      <c r="G123" s="921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46"/>
      <c r="Y123" s="18"/>
    </row>
    <row r="124" spans="1:25" ht="15.75" customHeight="1">
      <c r="A124" s="76"/>
      <c r="B124" s="76"/>
      <c r="C124" s="76"/>
      <c r="D124" s="86"/>
      <c r="E124" s="86"/>
      <c r="F124" s="920"/>
      <c r="G124" s="921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46"/>
      <c r="Y124" s="18"/>
    </row>
    <row r="125" spans="1:25" ht="15.75" customHeight="1">
      <c r="A125" s="76"/>
      <c r="B125" s="76"/>
      <c r="C125" s="76"/>
      <c r="D125" s="86"/>
      <c r="E125" s="86"/>
      <c r="F125" s="920"/>
      <c r="G125" s="921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46"/>
      <c r="Y125" s="18"/>
    </row>
    <row r="126" spans="1:25" ht="15.75" customHeight="1">
      <c r="A126" s="76"/>
      <c r="B126" s="88" t="s">
        <v>665</v>
      </c>
      <c r="C126" s="88"/>
      <c r="D126" s="86"/>
      <c r="E126" s="86"/>
      <c r="F126" s="920"/>
      <c r="G126" s="921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46"/>
      <c r="Y126" s="18"/>
    </row>
    <row r="127" spans="1:25" ht="15.75" customHeight="1">
      <c r="A127" s="76"/>
      <c r="B127" s="114" t="s">
        <v>154</v>
      </c>
      <c r="C127" s="76"/>
      <c r="D127" s="86"/>
      <c r="E127" s="46"/>
      <c r="F127" s="922"/>
      <c r="G127" s="923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18"/>
    </row>
    <row r="128" spans="1:25" ht="15.75" customHeight="1">
      <c r="A128" s="76"/>
      <c r="B128" s="76"/>
      <c r="C128" s="76"/>
      <c r="D128" s="86"/>
      <c r="E128" s="46"/>
      <c r="F128" s="922"/>
      <c r="G128" s="923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18"/>
    </row>
    <row r="129" spans="1:29" ht="15.75" customHeight="1">
      <c r="A129" s="76"/>
      <c r="B129" s="115" t="s">
        <v>666</v>
      </c>
      <c r="C129" s="116" t="s">
        <v>667</v>
      </c>
      <c r="D129" s="117">
        <f>D9+D15</f>
        <v>57961.26</v>
      </c>
      <c r="E129" s="118"/>
      <c r="F129" s="924"/>
      <c r="G129" s="925"/>
      <c r="H129" s="119">
        <f t="shared" ref="H129:S129" si="90">(H9*$C$7)+(H14*$C$11)</f>
        <v>0</v>
      </c>
      <c r="I129" s="119">
        <f t="shared" si="90"/>
        <v>0</v>
      </c>
      <c r="J129" s="119">
        <f t="shared" si="90"/>
        <v>159.52461191683167</v>
      </c>
      <c r="K129" s="119">
        <f t="shared" si="90"/>
        <v>1443.0042594064648</v>
      </c>
      <c r="L129" s="119">
        <f t="shared" si="90"/>
        <v>1071.3637025580315</v>
      </c>
      <c r="M129" s="119">
        <f t="shared" si="90"/>
        <v>0</v>
      </c>
      <c r="N129" s="119">
        <f t="shared" si="90"/>
        <v>0</v>
      </c>
      <c r="O129" s="119">
        <f t="shared" si="90"/>
        <v>1857.5318430389259</v>
      </c>
      <c r="P129" s="119">
        <f t="shared" si="90"/>
        <v>0</v>
      </c>
      <c r="Q129" s="119">
        <f t="shared" si="90"/>
        <v>686.52937751605123</v>
      </c>
      <c r="R129" s="119">
        <f t="shared" si="90"/>
        <v>1237.4824093702969</v>
      </c>
      <c r="S129" s="120">
        <f t="shared" si="90"/>
        <v>183.75068502610367</v>
      </c>
      <c r="T129" s="46"/>
      <c r="U129" s="46"/>
      <c r="V129" s="46"/>
      <c r="W129" s="46"/>
      <c r="X129" s="110">
        <f>D129-SUM(E129:S129)</f>
        <v>51322.073111167294</v>
      </c>
      <c r="Y129" s="18"/>
    </row>
    <row r="130" spans="1:29" ht="17.25" customHeight="1">
      <c r="A130" s="99"/>
      <c r="B130" s="100"/>
      <c r="C130" s="100">
        <f>'Conversion rates'!C41</f>
        <v>0</v>
      </c>
      <c r="D130" s="103"/>
      <c r="E130" s="104"/>
      <c r="F130" s="926"/>
      <c r="G130" s="926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926"/>
      <c r="U130" s="926"/>
      <c r="V130" s="926"/>
      <c r="W130" s="926"/>
      <c r="X130" s="105"/>
      <c r="Y130" s="106"/>
    </row>
    <row r="131" spans="1:29" ht="15.75" customHeight="1">
      <c r="A131" s="76"/>
      <c r="B131" s="76"/>
      <c r="C131" s="76"/>
      <c r="D131" s="8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18"/>
    </row>
    <row r="132" spans="1:29" ht="15.75" customHeight="1">
      <c r="A132" s="76"/>
      <c r="B132" s="76"/>
      <c r="C132" s="7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18"/>
    </row>
    <row r="133" spans="1:29" ht="15.75" customHeight="1">
      <c r="A133" s="76"/>
      <c r="B133" s="76"/>
      <c r="C133" s="7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18"/>
    </row>
    <row r="134" spans="1:29" ht="15.75" customHeight="1">
      <c r="A134" s="76"/>
      <c r="B134" s="76"/>
      <c r="C134" s="7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18"/>
    </row>
    <row r="135" spans="1:29" ht="15.75" customHeight="1">
      <c r="A135" s="76"/>
      <c r="B135" s="76"/>
      <c r="C135" s="76"/>
      <c r="D135" s="8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18"/>
    </row>
    <row r="136" spans="1:29" ht="15.75" customHeight="1">
      <c r="A136" s="76"/>
      <c r="B136" s="76"/>
      <c r="C136" s="76"/>
      <c r="D136" s="8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18"/>
    </row>
    <row r="137" spans="1:29" ht="15.75" customHeight="1">
      <c r="A137" s="76"/>
      <c r="B137" s="76"/>
      <c r="C137" s="76"/>
      <c r="D137" s="8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18"/>
    </row>
    <row r="138" spans="1:29" ht="15.75" customHeight="1">
      <c r="A138" s="76"/>
      <c r="B138" s="76"/>
      <c r="C138" s="76"/>
      <c r="D138" s="8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18"/>
    </row>
    <row r="139" spans="1:29" ht="15.75" customHeight="1">
      <c r="A139" s="76"/>
      <c r="B139" s="76"/>
      <c r="C139" s="76"/>
      <c r="D139" s="8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18"/>
    </row>
    <row r="140" spans="1:29" ht="15.75" customHeight="1">
      <c r="A140" s="76"/>
      <c r="B140" s="76"/>
      <c r="C140" s="76"/>
      <c r="D140" s="8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18"/>
    </row>
    <row r="141" spans="1:29" ht="15.75" customHeight="1">
      <c r="A141" s="76"/>
      <c r="B141" s="76"/>
      <c r="C141" s="76"/>
      <c r="D141" s="8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18"/>
    </row>
    <row r="142" spans="1:29" ht="15.75" customHeight="1">
      <c r="A142" s="76"/>
      <c r="B142" s="76"/>
      <c r="C142" s="76"/>
      <c r="D142" s="8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18"/>
    </row>
    <row r="143" spans="1:29" ht="33" hidden="1" customHeight="1">
      <c r="A143" s="76"/>
      <c r="B143" s="121" t="s">
        <v>668</v>
      </c>
      <c r="C143" s="122" t="s">
        <v>669</v>
      </c>
      <c r="D143" s="123">
        <f>E4+E8+(D4/C3)+(D8/C7)</f>
        <v>114937.17947500001</v>
      </c>
      <c r="E143" s="123"/>
      <c r="F143" s="927"/>
      <c r="G143" s="927"/>
      <c r="H143" s="124">
        <f t="shared" ref="H143:S143" si="91">H4+H8</f>
        <v>11914.35</v>
      </c>
      <c r="I143" s="123">
        <f t="shared" si="91"/>
        <v>138.69</v>
      </c>
      <c r="J143" s="124">
        <f t="shared" si="91"/>
        <v>308.78999999999996</v>
      </c>
      <c r="K143" s="124">
        <f t="shared" si="91"/>
        <v>2931.8300000000004</v>
      </c>
      <c r="L143" s="124">
        <f t="shared" si="91"/>
        <v>3150.7200000000003</v>
      </c>
      <c r="M143" s="124">
        <f t="shared" si="91"/>
        <v>1687.05</v>
      </c>
      <c r="N143" s="124">
        <f t="shared" si="91"/>
        <v>10360</v>
      </c>
      <c r="O143" s="124">
        <f t="shared" si="91"/>
        <v>2092.4299999999998</v>
      </c>
      <c r="P143" s="124">
        <f t="shared" si="91"/>
        <v>218.6</v>
      </c>
      <c r="Q143" s="124">
        <f t="shared" si="91"/>
        <v>1579.1999999999998</v>
      </c>
      <c r="R143" s="124">
        <f t="shared" si="91"/>
        <v>2985.94</v>
      </c>
      <c r="S143" s="124">
        <f t="shared" si="91"/>
        <v>379.43999999999988</v>
      </c>
      <c r="T143" s="46"/>
      <c r="U143" s="46"/>
      <c r="V143" s="46"/>
      <c r="W143" s="46"/>
      <c r="X143" s="125">
        <f>D143-(SUM(E143:S143)-I143+600)</f>
        <v>76728.829475000006</v>
      </c>
      <c r="Y143" s="11"/>
      <c r="Z143" s="87"/>
      <c r="AA143" s="87"/>
      <c r="AB143" s="87"/>
      <c r="AC143" s="87"/>
    </row>
    <row r="144" spans="1:29" ht="33" customHeight="1">
      <c r="A144" s="76"/>
      <c r="B144" s="121" t="s">
        <v>668</v>
      </c>
      <c r="C144" s="126" t="s">
        <v>670</v>
      </c>
      <c r="D144" s="127">
        <f>(D15/C11)+(D18/C16)</f>
        <v>97198.15422947958</v>
      </c>
      <c r="E144" s="128">
        <f>E12+E17</f>
        <v>36719.119999999995</v>
      </c>
      <c r="F144" s="927"/>
      <c r="G144" s="927"/>
      <c r="H144" s="129">
        <f t="shared" ref="H144:S144" si="92">H13+H19</f>
        <v>2471.34</v>
      </c>
      <c r="I144" s="124">
        <f t="shared" si="92"/>
        <v>232.07</v>
      </c>
      <c r="J144" s="129">
        <f t="shared" si="92"/>
        <v>108.61</v>
      </c>
      <c r="K144" s="129">
        <f t="shared" si="92"/>
        <v>709.29000000000019</v>
      </c>
      <c r="L144" s="129">
        <f t="shared" si="92"/>
        <v>2281.9699999999998</v>
      </c>
      <c r="M144" s="129">
        <f t="shared" si="92"/>
        <v>437.17999999999995</v>
      </c>
      <c r="N144" s="129">
        <f t="shared" si="92"/>
        <v>3622.6495999999997</v>
      </c>
      <c r="O144" s="124">
        <f t="shared" si="92"/>
        <v>2028.2477568600002</v>
      </c>
      <c r="P144" s="129">
        <f t="shared" si="92"/>
        <v>1</v>
      </c>
      <c r="Q144" s="129">
        <f t="shared" si="92"/>
        <v>495.07000000000005</v>
      </c>
      <c r="R144" s="129">
        <f t="shared" si="92"/>
        <v>549.02</v>
      </c>
      <c r="S144" s="129">
        <f t="shared" si="92"/>
        <v>191.32999999999998</v>
      </c>
      <c r="T144" s="46"/>
      <c r="U144" s="46"/>
      <c r="V144" s="46"/>
      <c r="W144" s="46"/>
      <c r="X144" s="125">
        <f>(D144+E144)-H144-SUM(J144:N144)-SUM(P144:S144)-600</f>
        <v>122449.81462947959</v>
      </c>
      <c r="Y144" s="11"/>
      <c r="Z144" s="87"/>
      <c r="AA144" s="87"/>
      <c r="AB144" s="87"/>
      <c r="AC144" s="87"/>
    </row>
    <row r="145" spans="1:25" ht="15.75" customHeight="1">
      <c r="A145" s="76"/>
      <c r="B145" s="76"/>
      <c r="E145" s="46"/>
      <c r="F145" s="130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18"/>
    </row>
    <row r="146" spans="1:25" ht="15.75" customHeight="1">
      <c r="A146" s="76"/>
      <c r="B146" s="76"/>
      <c r="C146" s="76"/>
      <c r="D146" s="86">
        <f>D144+E144</f>
        <v>133917.27422947958</v>
      </c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18"/>
    </row>
    <row r="147" spans="1:25" ht="15.75" customHeight="1">
      <c r="A147" s="76"/>
      <c r="B147" s="76"/>
      <c r="C147" s="76"/>
      <c r="D147" s="8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18"/>
    </row>
    <row r="148" spans="1:25" ht="15.75" customHeight="1">
      <c r="A148" s="76"/>
      <c r="B148" s="76"/>
      <c r="C148" s="76"/>
      <c r="D148" s="8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18"/>
    </row>
    <row r="149" spans="1:25" ht="15.75" customHeight="1">
      <c r="A149" s="76"/>
      <c r="C149" s="76"/>
      <c r="D149" s="8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18"/>
    </row>
    <row r="150" spans="1:25" ht="15.75" customHeight="1">
      <c r="A150" s="76"/>
      <c r="B150" s="76"/>
      <c r="C150" s="76"/>
      <c r="D150" s="8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18"/>
    </row>
    <row r="151" spans="1:25" ht="15.75" customHeight="1">
      <c r="A151" s="76"/>
      <c r="B151" s="76"/>
      <c r="C151" s="76"/>
      <c r="D151" s="8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18"/>
    </row>
    <row r="152" spans="1:25" ht="15.75" customHeight="1">
      <c r="A152" s="76"/>
      <c r="B152" s="76"/>
      <c r="C152" s="76"/>
      <c r="D152" s="8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18"/>
    </row>
    <row r="153" spans="1:25" ht="15.75" customHeight="1">
      <c r="A153" s="76"/>
      <c r="B153" s="76"/>
      <c r="C153" s="76"/>
      <c r="D153" s="8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18"/>
    </row>
    <row r="154" spans="1:25" ht="15.75" customHeight="1">
      <c r="A154" s="76"/>
      <c r="B154" s="76"/>
      <c r="C154" s="76"/>
      <c r="D154" s="8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18"/>
    </row>
    <row r="155" spans="1:25" ht="15.75" customHeight="1">
      <c r="A155" s="76"/>
      <c r="B155" s="76"/>
      <c r="C155" s="76"/>
      <c r="D155" s="8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18"/>
    </row>
    <row r="156" spans="1:25" ht="15.75" customHeight="1">
      <c r="A156" s="76"/>
      <c r="B156" s="76"/>
      <c r="C156" s="76"/>
      <c r="D156" s="8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18"/>
    </row>
    <row r="157" spans="1:25" ht="15.75" customHeight="1">
      <c r="A157" s="76"/>
      <c r="B157" s="76"/>
      <c r="C157" s="76"/>
      <c r="D157" s="8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18"/>
    </row>
    <row r="158" spans="1:25" ht="15.75" customHeight="1">
      <c r="A158" s="76"/>
      <c r="B158" s="76"/>
      <c r="C158" s="76"/>
      <c r="D158" s="8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18"/>
    </row>
    <row r="159" spans="1:25" ht="15.75" customHeight="1">
      <c r="A159" s="76"/>
      <c r="B159" s="76"/>
      <c r="C159" s="76"/>
    </row>
    <row r="160" spans="1:25" ht="15.75" customHeight="1">
      <c r="A160" s="76"/>
      <c r="B160" s="76"/>
      <c r="C160" s="76"/>
    </row>
    <row r="161" spans="1:3" ht="15.75" customHeight="1">
      <c r="A161" s="76"/>
      <c r="B161" s="76"/>
      <c r="C161" s="76"/>
    </row>
    <row r="162" spans="1:3" ht="15.75" customHeight="1">
      <c r="A162" s="76"/>
      <c r="B162" s="76"/>
      <c r="C162" s="76"/>
    </row>
    <row r="163" spans="1:3" ht="15.75" customHeight="1">
      <c r="A163" s="76"/>
      <c r="B163" s="76"/>
      <c r="C163" s="76"/>
    </row>
    <row r="164" spans="1:3" ht="15.75" customHeight="1">
      <c r="A164" s="76"/>
      <c r="B164" s="76"/>
      <c r="C164" s="76"/>
    </row>
    <row r="165" spans="1:3" ht="15.75" customHeight="1">
      <c r="A165" s="76"/>
      <c r="B165" s="76"/>
      <c r="C165" s="76"/>
    </row>
    <row r="166" spans="1:3" ht="15.75" customHeight="1">
      <c r="A166" s="76"/>
      <c r="B166" s="76"/>
      <c r="C166" s="76"/>
    </row>
    <row r="167" spans="1:3" ht="15.75" customHeight="1">
      <c r="A167" s="76"/>
      <c r="B167" s="76"/>
      <c r="C167" s="76"/>
    </row>
    <row r="168" spans="1:3" ht="15.75" customHeight="1">
      <c r="A168" s="76"/>
      <c r="B168" s="76"/>
      <c r="C168" s="76"/>
    </row>
    <row r="169" spans="1:3" ht="15.75" customHeight="1">
      <c r="A169" s="76"/>
      <c r="B169" s="76"/>
      <c r="C169" s="76"/>
    </row>
    <row r="170" spans="1:3" ht="15.75" customHeight="1">
      <c r="A170" s="76"/>
      <c r="B170" s="76"/>
      <c r="C170" s="76"/>
    </row>
    <row r="171" spans="1:3" ht="15.75" customHeight="1">
      <c r="A171" s="76"/>
      <c r="B171" s="76"/>
      <c r="C171" s="76"/>
    </row>
    <row r="172" spans="1:3" ht="15.75" customHeight="1">
      <c r="A172" s="76"/>
      <c r="B172" s="76"/>
      <c r="C172" s="76"/>
    </row>
    <row r="173" spans="1:3" ht="15.75" customHeight="1">
      <c r="A173" s="76"/>
      <c r="B173" s="76"/>
      <c r="C173" s="76"/>
    </row>
    <row r="174" spans="1:3" ht="15.75" customHeight="1">
      <c r="A174" s="76"/>
      <c r="B174" s="76"/>
      <c r="C174" s="76"/>
    </row>
    <row r="175" spans="1:3" ht="15.75" customHeight="1">
      <c r="A175" s="76"/>
      <c r="B175" s="76"/>
      <c r="C175" s="76"/>
    </row>
    <row r="176" spans="1:3" ht="15.75" customHeight="1">
      <c r="A176" s="76"/>
      <c r="B176" s="76"/>
      <c r="C176" s="76"/>
    </row>
    <row r="177" spans="1:3" ht="15.75" customHeight="1">
      <c r="A177" s="76"/>
      <c r="B177" s="76"/>
      <c r="C177" s="76"/>
    </row>
    <row r="178" spans="1:3" ht="15.75" customHeight="1">
      <c r="A178" s="76"/>
      <c r="B178" s="76"/>
      <c r="C178" s="76"/>
    </row>
    <row r="179" spans="1:3" ht="15.75" customHeight="1">
      <c r="A179" s="76"/>
      <c r="B179" s="76"/>
      <c r="C179" s="76"/>
    </row>
    <row r="180" spans="1:3" ht="15.75" customHeight="1">
      <c r="A180" s="131"/>
      <c r="C180" s="132"/>
    </row>
    <row r="181" spans="1:3" ht="15.75" customHeight="1">
      <c r="A181" s="131"/>
      <c r="C181" s="132"/>
    </row>
    <row r="182" spans="1:3" ht="15.75" customHeight="1">
      <c r="A182" s="131"/>
      <c r="C182" s="132"/>
    </row>
    <row r="183" spans="1:3" ht="15.75" customHeight="1">
      <c r="A183" s="131"/>
      <c r="C183" s="132"/>
    </row>
    <row r="184" spans="1:3" ht="15.75" customHeight="1">
      <c r="A184" s="131"/>
      <c r="C184" s="132"/>
    </row>
    <row r="185" spans="1:3" ht="15.75" customHeight="1">
      <c r="A185" s="131"/>
      <c r="C185" s="132"/>
    </row>
    <row r="186" spans="1:3" ht="15.75" customHeight="1">
      <c r="A186" s="131"/>
      <c r="C186" s="132"/>
    </row>
    <row r="187" spans="1:3" ht="15.75" customHeight="1">
      <c r="A187" s="131"/>
      <c r="C187" s="132"/>
    </row>
    <row r="188" spans="1:3" ht="15.75" customHeight="1">
      <c r="A188" s="131"/>
      <c r="C188" s="132"/>
    </row>
    <row r="189" spans="1:3" ht="15.75" customHeight="1">
      <c r="A189" s="131"/>
      <c r="C189" s="132"/>
    </row>
    <row r="190" spans="1:3" ht="15.75" customHeight="1">
      <c r="A190" s="131"/>
      <c r="C190" s="132"/>
    </row>
    <row r="191" spans="1:3" ht="15.75" customHeight="1">
      <c r="A191" s="131"/>
      <c r="C191" s="132"/>
    </row>
    <row r="192" spans="1:3" ht="15.75" customHeight="1">
      <c r="A192" s="131"/>
      <c r="C192" s="132"/>
    </row>
    <row r="193" spans="1:3" ht="15.75" customHeight="1">
      <c r="A193" s="131"/>
      <c r="C193" s="132"/>
    </row>
    <row r="194" spans="1:3" ht="15.75" customHeight="1">
      <c r="A194" s="131"/>
      <c r="C194" s="132"/>
    </row>
    <row r="195" spans="1:3" ht="15.75" customHeight="1">
      <c r="A195" s="131"/>
      <c r="C195" s="132"/>
    </row>
    <row r="196" spans="1:3" ht="15.75" customHeight="1">
      <c r="A196" s="131"/>
      <c r="C196" s="132"/>
    </row>
    <row r="197" spans="1:3" ht="15.75" customHeight="1">
      <c r="A197" s="131"/>
      <c r="C197" s="132"/>
    </row>
    <row r="198" spans="1:3" ht="15.75" customHeight="1">
      <c r="A198" s="131"/>
      <c r="C198" s="132"/>
    </row>
    <row r="199" spans="1:3" ht="15.75" customHeight="1">
      <c r="A199" s="131"/>
      <c r="C199" s="132"/>
    </row>
    <row r="200" spans="1:3" ht="15.75" customHeight="1">
      <c r="A200" s="131"/>
      <c r="C200" s="132"/>
    </row>
    <row r="201" spans="1:3" ht="15.75" customHeight="1">
      <c r="A201" s="131"/>
      <c r="C201" s="132"/>
    </row>
    <row r="202" spans="1:3" ht="15.75" customHeight="1">
      <c r="A202" s="131"/>
      <c r="C202" s="132"/>
    </row>
    <row r="203" spans="1:3" ht="15.75" customHeight="1">
      <c r="A203" s="131"/>
      <c r="C203" s="132"/>
    </row>
    <row r="204" spans="1:3" ht="15.75" customHeight="1">
      <c r="A204" s="131"/>
      <c r="C204" s="132"/>
    </row>
    <row r="205" spans="1:3" ht="15.75" customHeight="1">
      <c r="A205" s="131"/>
      <c r="C205" s="132"/>
    </row>
    <row r="206" spans="1:3" ht="15.75" customHeight="1">
      <c r="A206" s="131"/>
      <c r="C206" s="132"/>
    </row>
    <row r="207" spans="1:3" ht="15.75" customHeight="1">
      <c r="A207" s="131"/>
      <c r="C207" s="132"/>
    </row>
    <row r="208" spans="1:3" ht="15.75" customHeight="1">
      <c r="A208" s="131"/>
      <c r="C208" s="132"/>
    </row>
    <row r="209" spans="1:3" ht="15.75" customHeight="1">
      <c r="A209" s="131"/>
      <c r="C209" s="132"/>
    </row>
    <row r="210" spans="1:3" ht="15.75" customHeight="1">
      <c r="A210" s="131"/>
      <c r="C210" s="132"/>
    </row>
    <row r="211" spans="1:3" ht="15.75" customHeight="1">
      <c r="A211" s="131"/>
      <c r="C211" s="132"/>
    </row>
    <row r="212" spans="1:3" ht="15.75" customHeight="1">
      <c r="A212" s="131"/>
      <c r="C212" s="132"/>
    </row>
    <row r="213" spans="1:3" ht="15.75" customHeight="1">
      <c r="A213" s="131"/>
      <c r="C213" s="132"/>
    </row>
    <row r="214" spans="1:3" ht="15.75" customHeight="1">
      <c r="A214" s="131"/>
      <c r="C214" s="132"/>
    </row>
    <row r="215" spans="1:3" ht="15.75" customHeight="1">
      <c r="A215" s="131"/>
      <c r="C215" s="132"/>
    </row>
    <row r="216" spans="1:3" ht="15.75" customHeight="1">
      <c r="A216" s="131"/>
      <c r="C216" s="132"/>
    </row>
    <row r="217" spans="1:3" ht="15.75" customHeight="1">
      <c r="A217" s="131"/>
      <c r="C217" s="132"/>
    </row>
    <row r="218" spans="1:3" ht="15.75" customHeight="1">
      <c r="A218" s="131"/>
      <c r="C218" s="132"/>
    </row>
    <row r="219" spans="1:3" ht="15.75" customHeight="1">
      <c r="A219" s="131"/>
      <c r="C219" s="132"/>
    </row>
    <row r="220" spans="1:3" ht="15.75" customHeight="1">
      <c r="A220" s="131"/>
      <c r="C220" s="132"/>
    </row>
    <row r="221" spans="1:3" ht="15.75" customHeight="1">
      <c r="A221" s="131"/>
      <c r="C221" s="132"/>
    </row>
    <row r="222" spans="1:3" ht="15.75" customHeight="1">
      <c r="A222" s="131"/>
      <c r="C222" s="132"/>
    </row>
    <row r="223" spans="1:3" ht="15.75" customHeight="1">
      <c r="A223" s="131"/>
      <c r="C223" s="132"/>
    </row>
    <row r="224" spans="1:3" ht="15.75" customHeight="1">
      <c r="A224" s="131"/>
      <c r="C224" s="132"/>
    </row>
    <row r="225" spans="1:3" ht="15.75" customHeight="1">
      <c r="A225" s="131"/>
      <c r="C225" s="132"/>
    </row>
    <row r="226" spans="1:3" ht="15.75" customHeight="1">
      <c r="A226" s="131"/>
      <c r="C226" s="132"/>
    </row>
    <row r="227" spans="1:3" ht="15.75" customHeight="1">
      <c r="A227" s="131"/>
      <c r="C227" s="132"/>
    </row>
    <row r="228" spans="1:3" ht="15.75" customHeight="1">
      <c r="A228" s="131"/>
      <c r="C228" s="132"/>
    </row>
    <row r="229" spans="1:3" ht="15.75" customHeight="1">
      <c r="A229" s="131"/>
      <c r="C229" s="132"/>
    </row>
    <row r="230" spans="1:3" ht="15.75" customHeight="1">
      <c r="A230" s="131"/>
      <c r="C230" s="132"/>
    </row>
    <row r="231" spans="1:3" ht="15.75" customHeight="1">
      <c r="A231" s="131"/>
      <c r="C231" s="132"/>
    </row>
    <row r="232" spans="1:3" ht="15.75" customHeight="1">
      <c r="A232" s="131"/>
      <c r="C232" s="132"/>
    </row>
    <row r="233" spans="1:3" ht="15.75" customHeight="1">
      <c r="A233" s="131"/>
      <c r="C233" s="132"/>
    </row>
    <row r="234" spans="1:3" ht="15.75" customHeight="1">
      <c r="A234" s="131"/>
      <c r="C234" s="132"/>
    </row>
    <row r="235" spans="1:3" ht="15.75" customHeight="1">
      <c r="A235" s="131"/>
      <c r="C235" s="132"/>
    </row>
    <row r="236" spans="1:3" ht="15.75" customHeight="1">
      <c r="A236" s="131"/>
      <c r="C236" s="132"/>
    </row>
    <row r="237" spans="1:3" ht="15.75" customHeight="1">
      <c r="A237" s="131"/>
      <c r="C237" s="132"/>
    </row>
    <row r="238" spans="1:3" ht="15.75" customHeight="1">
      <c r="A238" s="131"/>
      <c r="C238" s="132"/>
    </row>
    <row r="239" spans="1:3" ht="15.75" customHeight="1">
      <c r="A239" s="131"/>
      <c r="C239" s="132"/>
    </row>
    <row r="240" spans="1:3" ht="15.75" customHeight="1">
      <c r="A240" s="131"/>
      <c r="C240" s="132"/>
    </row>
    <row r="241" spans="1:3" ht="15.75" customHeight="1">
      <c r="A241" s="131"/>
      <c r="C241" s="132"/>
    </row>
    <row r="242" spans="1:3" ht="15.75" customHeight="1">
      <c r="A242" s="131"/>
      <c r="C242" s="132"/>
    </row>
    <row r="243" spans="1:3" ht="15.75" customHeight="1">
      <c r="A243" s="131"/>
      <c r="C243" s="132"/>
    </row>
    <row r="244" spans="1:3" ht="15.75" customHeight="1">
      <c r="A244" s="131"/>
      <c r="C244" s="132"/>
    </row>
    <row r="245" spans="1:3" ht="15.75" customHeight="1">
      <c r="A245" s="131"/>
      <c r="C245" s="132"/>
    </row>
    <row r="246" spans="1:3" ht="15.75" customHeight="1">
      <c r="A246" s="131"/>
      <c r="C246" s="132"/>
    </row>
    <row r="247" spans="1:3" ht="15.75" customHeight="1">
      <c r="A247" s="131"/>
      <c r="C247" s="132"/>
    </row>
    <row r="248" spans="1:3" ht="15.75" customHeight="1">
      <c r="A248" s="131"/>
      <c r="C248" s="132"/>
    </row>
    <row r="249" spans="1:3" ht="15.75" customHeight="1">
      <c r="A249" s="131"/>
      <c r="C249" s="132"/>
    </row>
    <row r="250" spans="1:3" ht="15.75" customHeight="1">
      <c r="A250" s="131"/>
      <c r="C250" s="132"/>
    </row>
    <row r="251" spans="1:3" ht="15.75" customHeight="1">
      <c r="A251" s="131"/>
      <c r="C251" s="132"/>
    </row>
    <row r="252" spans="1:3" ht="15.75" customHeight="1">
      <c r="A252" s="131"/>
      <c r="C252" s="132"/>
    </row>
    <row r="253" spans="1:3" ht="15.75" customHeight="1">
      <c r="A253" s="131"/>
      <c r="C253" s="132"/>
    </row>
    <row r="254" spans="1:3" ht="15.75" customHeight="1">
      <c r="A254" s="131"/>
      <c r="C254" s="132"/>
    </row>
    <row r="255" spans="1:3" ht="15.75" customHeight="1">
      <c r="A255" s="131"/>
      <c r="C255" s="132"/>
    </row>
    <row r="256" spans="1:3" ht="15.75" customHeight="1">
      <c r="A256" s="131"/>
      <c r="C256" s="132"/>
    </row>
    <row r="257" spans="1:3" ht="15.75" customHeight="1">
      <c r="A257" s="131"/>
      <c r="C257" s="132"/>
    </row>
    <row r="258" spans="1:3" ht="15.75" customHeight="1">
      <c r="A258" s="131"/>
      <c r="C258" s="132"/>
    </row>
    <row r="259" spans="1:3" ht="15.75" customHeight="1">
      <c r="A259" s="131"/>
      <c r="C259" s="132"/>
    </row>
    <row r="260" spans="1:3" ht="15.75" customHeight="1">
      <c r="A260" s="131"/>
      <c r="C260" s="132"/>
    </row>
    <row r="261" spans="1:3" ht="15.75" customHeight="1">
      <c r="A261" s="131"/>
      <c r="C261" s="132"/>
    </row>
    <row r="262" spans="1:3" ht="15.75" customHeight="1">
      <c r="A262" s="131"/>
      <c r="C262" s="132"/>
    </row>
    <row r="263" spans="1:3" ht="15.75" customHeight="1">
      <c r="A263" s="131"/>
      <c r="C263" s="132"/>
    </row>
    <row r="264" spans="1:3" ht="15.75" customHeight="1">
      <c r="A264" s="131"/>
      <c r="C264" s="132"/>
    </row>
    <row r="265" spans="1:3" ht="15.75" customHeight="1">
      <c r="A265" s="131"/>
      <c r="C265" s="132"/>
    </row>
    <row r="266" spans="1:3" ht="15.75" customHeight="1">
      <c r="A266" s="131"/>
      <c r="C266" s="132"/>
    </row>
    <row r="267" spans="1:3" ht="15.75" customHeight="1">
      <c r="A267" s="131"/>
      <c r="C267" s="132"/>
    </row>
    <row r="268" spans="1:3" ht="15.75" customHeight="1">
      <c r="A268" s="131"/>
      <c r="C268" s="132"/>
    </row>
    <row r="269" spans="1:3" ht="15.75" customHeight="1">
      <c r="A269" s="131"/>
      <c r="C269" s="132"/>
    </row>
    <row r="270" spans="1:3" ht="15.75" customHeight="1">
      <c r="A270" s="131"/>
      <c r="C270" s="132"/>
    </row>
    <row r="271" spans="1:3" ht="15.75" customHeight="1">
      <c r="A271" s="131"/>
      <c r="C271" s="132"/>
    </row>
    <row r="272" spans="1:3" ht="15.75" customHeight="1">
      <c r="A272" s="131"/>
      <c r="C272" s="132"/>
    </row>
    <row r="273" spans="1:3" ht="15.75" customHeight="1">
      <c r="A273" s="131"/>
      <c r="C273" s="132"/>
    </row>
    <row r="274" spans="1:3" ht="15.75" customHeight="1">
      <c r="A274" s="131"/>
      <c r="C274" s="132"/>
    </row>
    <row r="275" spans="1:3" ht="15.75" customHeight="1">
      <c r="A275" s="131"/>
      <c r="C275" s="132"/>
    </row>
    <row r="276" spans="1:3" ht="15.75" customHeight="1">
      <c r="A276" s="131"/>
      <c r="C276" s="132"/>
    </row>
    <row r="277" spans="1:3" ht="15.75" customHeight="1">
      <c r="A277" s="131"/>
      <c r="C277" s="132"/>
    </row>
    <row r="278" spans="1:3" ht="15.75" customHeight="1">
      <c r="A278" s="131"/>
      <c r="C278" s="132"/>
    </row>
    <row r="279" spans="1:3" ht="15.75" customHeight="1">
      <c r="A279" s="131"/>
      <c r="C279" s="132"/>
    </row>
    <row r="280" spans="1:3" ht="15.75" customHeight="1">
      <c r="A280" s="131"/>
      <c r="C280" s="132"/>
    </row>
    <row r="281" spans="1:3" ht="15.75" customHeight="1">
      <c r="A281" s="131"/>
      <c r="C281" s="132"/>
    </row>
    <row r="282" spans="1:3" ht="15.75" customHeight="1">
      <c r="A282" s="131"/>
      <c r="C282" s="132"/>
    </row>
    <row r="283" spans="1:3" ht="15.75" customHeight="1">
      <c r="A283" s="131"/>
      <c r="C283" s="132"/>
    </row>
    <row r="284" spans="1:3" ht="15.75" customHeight="1">
      <c r="A284" s="131"/>
      <c r="C284" s="132"/>
    </row>
    <row r="285" spans="1:3" ht="15.75" customHeight="1">
      <c r="A285" s="131"/>
      <c r="C285" s="132"/>
    </row>
    <row r="286" spans="1:3" ht="15.75" customHeight="1">
      <c r="A286" s="131"/>
      <c r="C286" s="132"/>
    </row>
    <row r="287" spans="1:3" ht="15.75" customHeight="1">
      <c r="A287" s="131"/>
      <c r="C287" s="132"/>
    </row>
    <row r="288" spans="1:3" ht="15.75" customHeight="1">
      <c r="A288" s="131"/>
      <c r="C288" s="132"/>
    </row>
    <row r="289" spans="1:3" ht="15.75" customHeight="1">
      <c r="A289" s="131"/>
      <c r="C289" s="132"/>
    </row>
    <row r="290" spans="1:3" ht="15.75" customHeight="1">
      <c r="A290" s="131"/>
      <c r="C290" s="132"/>
    </row>
    <row r="291" spans="1:3" ht="15.75" customHeight="1">
      <c r="A291" s="131"/>
      <c r="C291" s="132"/>
    </row>
    <row r="292" spans="1:3" ht="15.75" customHeight="1">
      <c r="A292" s="131"/>
      <c r="C292" s="132"/>
    </row>
    <row r="293" spans="1:3" ht="15.75" customHeight="1">
      <c r="A293" s="131"/>
      <c r="C293" s="132"/>
    </row>
    <row r="294" spans="1:3" ht="15.75" customHeight="1">
      <c r="A294" s="131"/>
      <c r="C294" s="132"/>
    </row>
    <row r="295" spans="1:3" ht="15.75" customHeight="1">
      <c r="A295" s="131"/>
      <c r="C295" s="132"/>
    </row>
    <row r="296" spans="1:3" ht="15.75" customHeight="1">
      <c r="A296" s="131"/>
      <c r="C296" s="132"/>
    </row>
    <row r="297" spans="1:3" ht="15.75" customHeight="1">
      <c r="A297" s="131"/>
      <c r="C297" s="132"/>
    </row>
    <row r="298" spans="1:3" ht="15.75" customHeight="1">
      <c r="A298" s="131"/>
      <c r="C298" s="132"/>
    </row>
    <row r="299" spans="1:3" ht="15.75" customHeight="1">
      <c r="A299" s="131"/>
      <c r="C299" s="132"/>
    </row>
    <row r="300" spans="1:3" ht="15.75" customHeight="1">
      <c r="A300" s="131"/>
      <c r="C300" s="132"/>
    </row>
    <row r="301" spans="1:3" ht="15.75" customHeight="1">
      <c r="A301" s="131"/>
      <c r="C301" s="132"/>
    </row>
    <row r="302" spans="1:3" ht="15.75" customHeight="1">
      <c r="A302" s="131"/>
      <c r="C302" s="132"/>
    </row>
    <row r="303" spans="1:3" ht="15.75" customHeight="1">
      <c r="A303" s="131"/>
      <c r="C303" s="132"/>
    </row>
    <row r="304" spans="1:3" ht="15.75" customHeight="1">
      <c r="A304" s="131"/>
      <c r="C304" s="132"/>
    </row>
    <row r="305" spans="1:3" ht="15.75" customHeight="1">
      <c r="A305" s="131"/>
      <c r="C305" s="132"/>
    </row>
    <row r="306" spans="1:3" ht="15.75" customHeight="1">
      <c r="A306" s="131"/>
      <c r="C306" s="132"/>
    </row>
    <row r="307" spans="1:3" ht="15.75" customHeight="1">
      <c r="A307" s="131"/>
      <c r="C307" s="132"/>
    </row>
    <row r="308" spans="1:3" ht="15.75" customHeight="1">
      <c r="A308" s="131"/>
      <c r="C308" s="132"/>
    </row>
    <row r="309" spans="1:3" ht="15.75" customHeight="1">
      <c r="A309" s="131"/>
      <c r="C309" s="132"/>
    </row>
    <row r="310" spans="1:3" ht="15.75" customHeight="1">
      <c r="A310" s="131"/>
      <c r="C310" s="132"/>
    </row>
    <row r="311" spans="1:3" ht="15.75" customHeight="1">
      <c r="A311" s="131"/>
      <c r="C311" s="132"/>
    </row>
    <row r="312" spans="1:3" ht="15.75" customHeight="1">
      <c r="A312" s="131"/>
      <c r="C312" s="132"/>
    </row>
    <row r="313" spans="1:3" ht="15.75" customHeight="1">
      <c r="A313" s="131"/>
      <c r="C313" s="132"/>
    </row>
    <row r="314" spans="1:3" ht="15.75" customHeight="1">
      <c r="A314" s="131"/>
      <c r="C314" s="132"/>
    </row>
    <row r="315" spans="1:3" ht="15.75" customHeight="1">
      <c r="A315" s="131"/>
      <c r="C315" s="132"/>
    </row>
    <row r="316" spans="1:3" ht="15.75" customHeight="1">
      <c r="A316" s="131"/>
      <c r="C316" s="132"/>
    </row>
    <row r="317" spans="1:3" ht="15.75" customHeight="1">
      <c r="A317" s="131"/>
      <c r="C317" s="132"/>
    </row>
    <row r="318" spans="1:3" ht="15.75" customHeight="1">
      <c r="A318" s="131"/>
      <c r="C318" s="132"/>
    </row>
    <row r="319" spans="1:3" ht="15.75" customHeight="1">
      <c r="A319" s="131"/>
      <c r="C319" s="132"/>
    </row>
    <row r="320" spans="1:3" ht="15.75" customHeight="1">
      <c r="A320" s="131"/>
      <c r="C320" s="132"/>
    </row>
    <row r="321" spans="1:3" ht="15.75" customHeight="1">
      <c r="A321" s="131"/>
      <c r="C321" s="132"/>
    </row>
    <row r="322" spans="1:3" ht="15.75" customHeight="1">
      <c r="A322" s="131"/>
      <c r="C322" s="132"/>
    </row>
    <row r="323" spans="1:3" ht="15.75" customHeight="1">
      <c r="A323" s="131"/>
      <c r="C323" s="132"/>
    </row>
    <row r="324" spans="1:3" ht="15.75" customHeight="1">
      <c r="A324" s="131"/>
      <c r="C324" s="132"/>
    </row>
    <row r="325" spans="1:3" ht="15.75" customHeight="1">
      <c r="A325" s="131"/>
      <c r="C325" s="132"/>
    </row>
    <row r="326" spans="1:3" ht="15.75" customHeight="1">
      <c r="A326" s="131"/>
      <c r="C326" s="132"/>
    </row>
    <row r="327" spans="1:3" ht="15.75" customHeight="1">
      <c r="A327" s="131"/>
      <c r="C327" s="132"/>
    </row>
    <row r="328" spans="1:3" ht="15.75" customHeight="1">
      <c r="A328" s="131"/>
      <c r="C328" s="132"/>
    </row>
    <row r="329" spans="1:3" ht="15.75" customHeight="1">
      <c r="A329" s="131"/>
      <c r="C329" s="132"/>
    </row>
    <row r="330" spans="1:3" ht="15.75" customHeight="1">
      <c r="A330" s="131"/>
      <c r="C330" s="132"/>
    </row>
    <row r="331" spans="1:3" ht="15.75" customHeight="1">
      <c r="A331" s="131"/>
      <c r="C331" s="132"/>
    </row>
    <row r="332" spans="1:3" ht="15.75" customHeight="1">
      <c r="A332" s="131"/>
      <c r="C332" s="132"/>
    </row>
    <row r="333" spans="1:3" ht="15.75" customHeight="1">
      <c r="A333" s="131"/>
      <c r="C333" s="132"/>
    </row>
    <row r="334" spans="1:3" ht="15.75" customHeight="1">
      <c r="A334" s="131"/>
      <c r="C334" s="132"/>
    </row>
    <row r="335" spans="1:3" ht="15.75" customHeight="1">
      <c r="A335" s="131"/>
      <c r="C335" s="132"/>
    </row>
    <row r="336" spans="1:3" ht="15.75" customHeight="1">
      <c r="A336" s="131"/>
      <c r="C336" s="132"/>
    </row>
    <row r="337" spans="1:3" ht="15.75" customHeight="1">
      <c r="A337" s="131"/>
      <c r="C337" s="132"/>
    </row>
    <row r="338" spans="1:3" ht="15.75" customHeight="1">
      <c r="A338" s="131"/>
      <c r="C338" s="132"/>
    </row>
    <row r="339" spans="1:3" ht="15.75" customHeight="1">
      <c r="A339" s="131"/>
      <c r="C339" s="132"/>
    </row>
    <row r="340" spans="1:3" ht="15.75" customHeight="1">
      <c r="A340" s="131"/>
      <c r="C340" s="132"/>
    </row>
    <row r="341" spans="1:3" ht="15.75" customHeight="1">
      <c r="A341" s="131"/>
      <c r="C341" s="132"/>
    </row>
    <row r="342" spans="1:3" ht="15.75" customHeight="1">
      <c r="A342" s="131"/>
      <c r="C342" s="132"/>
    </row>
    <row r="343" spans="1:3" ht="15.75" customHeight="1">
      <c r="A343" s="131"/>
      <c r="C343" s="132"/>
    </row>
    <row r="344" spans="1:3" ht="15.75" customHeight="1">
      <c r="A344" s="131"/>
      <c r="C344" s="132"/>
    </row>
    <row r="345" spans="1:3" ht="15.75" customHeight="1">
      <c r="A345" s="131"/>
      <c r="C345" s="132"/>
    </row>
    <row r="346" spans="1:3" ht="15.75" customHeight="1">
      <c r="A346" s="131"/>
      <c r="C346" s="132"/>
    </row>
    <row r="347" spans="1:3" ht="15.75" customHeight="1">
      <c r="A347" s="131"/>
      <c r="C347" s="132"/>
    </row>
    <row r="348" spans="1:3" ht="15.75" customHeight="1">
      <c r="A348" s="131"/>
      <c r="C348" s="132"/>
    </row>
    <row r="349" spans="1:3" ht="15.75" customHeight="1">
      <c r="A349" s="131"/>
      <c r="C349" s="132"/>
    </row>
    <row r="350" spans="1:3" ht="15.75" customHeight="1">
      <c r="A350" s="131"/>
      <c r="C350" s="132"/>
    </row>
    <row r="351" spans="1:3" ht="15.75" customHeight="1">
      <c r="A351" s="131"/>
      <c r="C351" s="132"/>
    </row>
    <row r="352" spans="1:3" ht="15.75" customHeight="1">
      <c r="A352" s="131"/>
      <c r="C352" s="132"/>
    </row>
    <row r="353" spans="1:3" ht="15.75" customHeight="1">
      <c r="A353" s="131"/>
      <c r="C353" s="132"/>
    </row>
    <row r="354" spans="1:3" ht="15.75" customHeight="1">
      <c r="A354" s="131"/>
      <c r="C354" s="132"/>
    </row>
    <row r="355" spans="1:3" ht="15.75" customHeight="1">
      <c r="A355" s="131"/>
      <c r="C355" s="132"/>
    </row>
    <row r="356" spans="1:3" ht="15.75" customHeight="1">
      <c r="A356" s="131"/>
      <c r="C356" s="132"/>
    </row>
    <row r="357" spans="1:3" ht="15.75" customHeight="1">
      <c r="A357" s="131"/>
      <c r="C357" s="132"/>
    </row>
    <row r="358" spans="1:3" ht="15.75" customHeight="1">
      <c r="A358" s="131"/>
      <c r="C358" s="132"/>
    </row>
    <row r="359" spans="1:3" ht="15.75" customHeight="1">
      <c r="A359" s="131"/>
      <c r="C359" s="132"/>
    </row>
    <row r="360" spans="1:3" ht="15.75" customHeight="1">
      <c r="A360" s="131"/>
      <c r="C360" s="132"/>
    </row>
    <row r="361" spans="1:3" ht="15.75" customHeight="1">
      <c r="A361" s="131"/>
      <c r="C361" s="132"/>
    </row>
    <row r="362" spans="1:3" ht="15.75" customHeight="1">
      <c r="A362" s="131"/>
      <c r="C362" s="132"/>
    </row>
    <row r="363" spans="1:3" ht="15.75" customHeight="1">
      <c r="A363" s="131"/>
      <c r="C363" s="132"/>
    </row>
    <row r="364" spans="1:3" ht="15.75" customHeight="1">
      <c r="A364" s="131"/>
      <c r="C364" s="132"/>
    </row>
    <row r="365" spans="1:3" ht="15.75" customHeight="1">
      <c r="A365" s="131"/>
      <c r="C365" s="132"/>
    </row>
    <row r="366" spans="1:3" ht="15.75" customHeight="1">
      <c r="A366" s="131"/>
      <c r="C366" s="132"/>
    </row>
    <row r="367" spans="1:3" ht="15.75" customHeight="1">
      <c r="A367" s="131"/>
      <c r="C367" s="132"/>
    </row>
    <row r="368" spans="1:3" ht="15.75" customHeight="1">
      <c r="A368" s="131"/>
      <c r="C368" s="132"/>
    </row>
    <row r="369" spans="1:3" ht="15.75" customHeight="1">
      <c r="A369" s="131"/>
      <c r="C369" s="132"/>
    </row>
    <row r="370" spans="1:3" ht="15.75" customHeight="1">
      <c r="A370" s="131"/>
      <c r="C370" s="132"/>
    </row>
    <row r="371" spans="1:3" ht="15.75" customHeight="1">
      <c r="A371" s="131"/>
      <c r="C371" s="132"/>
    </row>
    <row r="372" spans="1:3" ht="15.75" customHeight="1">
      <c r="A372" s="131"/>
      <c r="C372" s="132"/>
    </row>
    <row r="373" spans="1:3" ht="15.75" customHeight="1">
      <c r="A373" s="131"/>
      <c r="C373" s="132"/>
    </row>
    <row r="374" spans="1:3" ht="15.75" customHeight="1">
      <c r="A374" s="131"/>
      <c r="C374" s="132"/>
    </row>
    <row r="375" spans="1:3" ht="15.75" customHeight="1">
      <c r="A375" s="131"/>
      <c r="C375" s="132"/>
    </row>
    <row r="376" spans="1:3" ht="15.75" customHeight="1">
      <c r="A376" s="131"/>
      <c r="C376" s="132"/>
    </row>
    <row r="377" spans="1:3" ht="15.75" customHeight="1">
      <c r="A377" s="131"/>
      <c r="C377" s="132"/>
    </row>
    <row r="378" spans="1:3" ht="15.75" customHeight="1">
      <c r="A378" s="131"/>
      <c r="C378" s="132"/>
    </row>
    <row r="379" spans="1:3" ht="15.75" customHeight="1">
      <c r="A379" s="131"/>
      <c r="C379" s="132"/>
    </row>
    <row r="380" spans="1:3" ht="15.75" customHeight="1">
      <c r="A380" s="131"/>
      <c r="C380" s="132"/>
    </row>
    <row r="381" spans="1:3" ht="15.75" customHeight="1">
      <c r="A381" s="131"/>
      <c r="C381" s="132"/>
    </row>
    <row r="382" spans="1:3" ht="15.75" customHeight="1">
      <c r="A382" s="131"/>
      <c r="C382" s="132"/>
    </row>
    <row r="383" spans="1:3" ht="15.75" customHeight="1">
      <c r="A383" s="131"/>
      <c r="C383" s="132"/>
    </row>
    <row r="384" spans="1:3" ht="15.75" customHeight="1">
      <c r="A384" s="131"/>
      <c r="C384" s="132"/>
    </row>
    <row r="385" spans="1:3" ht="15.75" customHeight="1">
      <c r="A385" s="131"/>
      <c r="C385" s="132"/>
    </row>
    <row r="386" spans="1:3" ht="15.75" customHeight="1">
      <c r="A386" s="131"/>
      <c r="C386" s="132"/>
    </row>
    <row r="387" spans="1:3" ht="15.75" customHeight="1">
      <c r="A387" s="131"/>
      <c r="C387" s="132"/>
    </row>
    <row r="388" spans="1:3" ht="15.75" customHeight="1">
      <c r="A388" s="131"/>
      <c r="C388" s="132"/>
    </row>
    <row r="389" spans="1:3" ht="15.75" customHeight="1">
      <c r="A389" s="131"/>
      <c r="C389" s="132"/>
    </row>
    <row r="390" spans="1:3" ht="15.75" customHeight="1">
      <c r="A390" s="131"/>
      <c r="C390" s="132"/>
    </row>
    <row r="391" spans="1:3" ht="15.75" customHeight="1">
      <c r="A391" s="131"/>
      <c r="C391" s="132"/>
    </row>
    <row r="392" spans="1:3" ht="15.75" customHeight="1">
      <c r="A392" s="131"/>
      <c r="C392" s="132"/>
    </row>
    <row r="393" spans="1:3" ht="15.75" customHeight="1">
      <c r="A393" s="131"/>
      <c r="C393" s="132"/>
    </row>
    <row r="394" spans="1:3" ht="15.75" customHeight="1">
      <c r="A394" s="131"/>
      <c r="C394" s="132"/>
    </row>
    <row r="395" spans="1:3" ht="15.75" customHeight="1">
      <c r="A395" s="131"/>
      <c r="C395" s="132"/>
    </row>
    <row r="396" spans="1:3" ht="15.75" customHeight="1">
      <c r="A396" s="131"/>
      <c r="C396" s="132"/>
    </row>
    <row r="397" spans="1:3" ht="15.75" customHeight="1">
      <c r="A397" s="131"/>
      <c r="C397" s="132"/>
    </row>
    <row r="398" spans="1:3" ht="15.75" customHeight="1">
      <c r="A398" s="131"/>
      <c r="C398" s="132"/>
    </row>
    <row r="399" spans="1:3" ht="15.75" customHeight="1">
      <c r="A399" s="131"/>
      <c r="C399" s="132"/>
    </row>
    <row r="400" spans="1:3" ht="15.75" customHeight="1">
      <c r="A400" s="131"/>
      <c r="C400" s="132"/>
    </row>
    <row r="401" spans="1:3" ht="15.75" customHeight="1">
      <c r="A401" s="131"/>
      <c r="C401" s="132"/>
    </row>
    <row r="402" spans="1:3" ht="15.75" customHeight="1">
      <c r="A402" s="131"/>
      <c r="C402" s="132"/>
    </row>
    <row r="403" spans="1:3" ht="15.75" customHeight="1">
      <c r="A403" s="131"/>
      <c r="C403" s="132"/>
    </row>
    <row r="404" spans="1:3" ht="15.75" customHeight="1">
      <c r="A404" s="131"/>
      <c r="C404" s="132"/>
    </row>
    <row r="405" spans="1:3" ht="15.75" customHeight="1">
      <c r="A405" s="131"/>
      <c r="C405" s="132"/>
    </row>
    <row r="406" spans="1:3" ht="15.75" customHeight="1">
      <c r="A406" s="131"/>
      <c r="C406" s="132"/>
    </row>
    <row r="407" spans="1:3" ht="15.75" customHeight="1">
      <c r="A407" s="131"/>
      <c r="C407" s="132"/>
    </row>
    <row r="408" spans="1:3" ht="15.75" customHeight="1">
      <c r="A408" s="131"/>
      <c r="C408" s="132"/>
    </row>
    <row r="409" spans="1:3" ht="15.75" customHeight="1">
      <c r="A409" s="131"/>
      <c r="C409" s="132"/>
    </row>
    <row r="410" spans="1:3" ht="15.75" customHeight="1">
      <c r="A410" s="131"/>
      <c r="C410" s="132"/>
    </row>
    <row r="411" spans="1:3" ht="15.75" customHeight="1">
      <c r="A411" s="131"/>
      <c r="C411" s="132"/>
    </row>
    <row r="412" spans="1:3" ht="15.75" customHeight="1">
      <c r="A412" s="131"/>
      <c r="C412" s="132"/>
    </row>
    <row r="413" spans="1:3" ht="15.75" customHeight="1">
      <c r="A413" s="131"/>
      <c r="C413" s="132"/>
    </row>
    <row r="414" spans="1:3" ht="15.75" customHeight="1">
      <c r="A414" s="131"/>
      <c r="C414" s="132"/>
    </row>
    <row r="415" spans="1:3" ht="15.75" customHeight="1">
      <c r="A415" s="131"/>
      <c r="C415" s="132"/>
    </row>
    <row r="416" spans="1:3" ht="15.75" customHeight="1">
      <c r="A416" s="131"/>
      <c r="C416" s="132"/>
    </row>
    <row r="417" spans="1:3" ht="15.75" customHeight="1">
      <c r="A417" s="131"/>
      <c r="C417" s="132"/>
    </row>
    <row r="418" spans="1:3" ht="15.75" customHeight="1">
      <c r="A418" s="131"/>
      <c r="C418" s="132"/>
    </row>
    <row r="419" spans="1:3" ht="15.75" customHeight="1">
      <c r="A419" s="131"/>
      <c r="C419" s="132"/>
    </row>
    <row r="420" spans="1:3" ht="15.75" customHeight="1">
      <c r="A420" s="131"/>
      <c r="C420" s="132"/>
    </row>
    <row r="421" spans="1:3" ht="15.75" customHeight="1">
      <c r="A421" s="131"/>
      <c r="C421" s="132"/>
    </row>
    <row r="422" spans="1:3" ht="15.75" customHeight="1">
      <c r="A422" s="131"/>
      <c r="C422" s="132"/>
    </row>
    <row r="423" spans="1:3" ht="15.75" customHeight="1">
      <c r="A423" s="131"/>
      <c r="C423" s="132"/>
    </row>
    <row r="424" spans="1:3" ht="15.75" customHeight="1">
      <c r="A424" s="131"/>
      <c r="C424" s="132"/>
    </row>
    <row r="425" spans="1:3" ht="15.75" customHeight="1">
      <c r="A425" s="131"/>
      <c r="C425" s="132"/>
    </row>
    <row r="426" spans="1:3" ht="15.75" customHeight="1">
      <c r="A426" s="131"/>
      <c r="C426" s="132"/>
    </row>
    <row r="427" spans="1:3" ht="15.75" customHeight="1">
      <c r="A427" s="131"/>
      <c r="C427" s="132"/>
    </row>
    <row r="428" spans="1:3" ht="15.75" customHeight="1">
      <c r="A428" s="131"/>
      <c r="C428" s="132"/>
    </row>
    <row r="429" spans="1:3" ht="15.75" customHeight="1">
      <c r="A429" s="131"/>
      <c r="C429" s="132"/>
    </row>
    <row r="430" spans="1:3" ht="15.75" customHeight="1">
      <c r="A430" s="131"/>
      <c r="C430" s="132"/>
    </row>
    <row r="431" spans="1:3" ht="15.75" customHeight="1">
      <c r="A431" s="131"/>
      <c r="C431" s="132"/>
    </row>
    <row r="432" spans="1:3" ht="15.75" customHeight="1">
      <c r="A432" s="131"/>
      <c r="C432" s="132"/>
    </row>
    <row r="433" spans="1:3" ht="15.75" customHeight="1">
      <c r="A433" s="131"/>
      <c r="C433" s="132"/>
    </row>
    <row r="434" spans="1:3" ht="15.75" customHeight="1">
      <c r="A434" s="131"/>
      <c r="C434" s="132"/>
    </row>
    <row r="435" spans="1:3" ht="15.75" customHeight="1">
      <c r="A435" s="131"/>
      <c r="C435" s="132"/>
    </row>
    <row r="436" spans="1:3" ht="15.75" customHeight="1">
      <c r="A436" s="131"/>
      <c r="C436" s="132"/>
    </row>
    <row r="437" spans="1:3" ht="15.75" customHeight="1">
      <c r="A437" s="131"/>
      <c r="C437" s="132"/>
    </row>
    <row r="438" spans="1:3" ht="15.75" customHeight="1">
      <c r="A438" s="131"/>
      <c r="C438" s="132"/>
    </row>
    <row r="439" spans="1:3" ht="15.75" customHeight="1">
      <c r="A439" s="131"/>
      <c r="C439" s="132"/>
    </row>
    <row r="440" spans="1:3" ht="15.75" customHeight="1">
      <c r="A440" s="131"/>
      <c r="C440" s="132"/>
    </row>
    <row r="441" spans="1:3" ht="15.75" customHeight="1">
      <c r="A441" s="131"/>
      <c r="C441" s="132"/>
    </row>
    <row r="442" spans="1:3" ht="15.75" customHeight="1">
      <c r="A442" s="131"/>
      <c r="C442" s="132"/>
    </row>
    <row r="443" spans="1:3" ht="15.75" customHeight="1">
      <c r="A443" s="131"/>
      <c r="C443" s="132"/>
    </row>
    <row r="444" spans="1:3" ht="15.75" customHeight="1">
      <c r="A444" s="131"/>
      <c r="C444" s="132"/>
    </row>
    <row r="445" spans="1:3" ht="15.75" customHeight="1">
      <c r="A445" s="131"/>
      <c r="C445" s="132"/>
    </row>
    <row r="446" spans="1:3" ht="15.75" customHeight="1">
      <c r="A446" s="131"/>
      <c r="C446" s="132"/>
    </row>
    <row r="447" spans="1:3" ht="15.75" customHeight="1">
      <c r="A447" s="131"/>
      <c r="C447" s="132"/>
    </row>
    <row r="448" spans="1:3" ht="15.75" customHeight="1">
      <c r="A448" s="131"/>
      <c r="C448" s="132"/>
    </row>
    <row r="449" spans="1:3" ht="15.75" customHeight="1">
      <c r="A449" s="131"/>
      <c r="C449" s="132"/>
    </row>
    <row r="450" spans="1:3" ht="15.75" customHeight="1">
      <c r="A450" s="131"/>
      <c r="C450" s="132"/>
    </row>
    <row r="451" spans="1:3" ht="15.75" customHeight="1">
      <c r="A451" s="131"/>
      <c r="C451" s="132"/>
    </row>
    <row r="452" spans="1:3" ht="15.75" customHeight="1">
      <c r="A452" s="131"/>
      <c r="C452" s="132"/>
    </row>
    <row r="453" spans="1:3" ht="15.75" customHeight="1">
      <c r="A453" s="131"/>
      <c r="C453" s="132"/>
    </row>
    <row r="454" spans="1:3" ht="15.75" customHeight="1">
      <c r="A454" s="131"/>
      <c r="C454" s="132"/>
    </row>
    <row r="455" spans="1:3" ht="15.75" customHeight="1">
      <c r="A455" s="131"/>
      <c r="C455" s="132"/>
    </row>
    <row r="456" spans="1:3" ht="15.75" customHeight="1">
      <c r="A456" s="131"/>
      <c r="C456" s="132"/>
    </row>
    <row r="457" spans="1:3" ht="15.75" customHeight="1">
      <c r="A457" s="131"/>
      <c r="C457" s="132"/>
    </row>
    <row r="458" spans="1:3" ht="15.75" customHeight="1">
      <c r="A458" s="131"/>
      <c r="C458" s="132"/>
    </row>
    <row r="459" spans="1:3" ht="15.75" customHeight="1">
      <c r="A459" s="131"/>
      <c r="C459" s="132"/>
    </row>
    <row r="460" spans="1:3" ht="15.75" customHeight="1">
      <c r="A460" s="131"/>
      <c r="C460" s="132"/>
    </row>
    <row r="461" spans="1:3" ht="15.75" customHeight="1">
      <c r="A461" s="131"/>
      <c r="C461" s="132"/>
    </row>
    <row r="462" spans="1:3" ht="15.75" customHeight="1">
      <c r="A462" s="131"/>
      <c r="C462" s="132"/>
    </row>
    <row r="463" spans="1:3" ht="15.75" customHeight="1">
      <c r="A463" s="131"/>
      <c r="C463" s="132"/>
    </row>
    <row r="464" spans="1:3" ht="15.75" customHeight="1">
      <c r="A464" s="131"/>
      <c r="C464" s="132"/>
    </row>
    <row r="465" spans="1:3" ht="15.75" customHeight="1">
      <c r="A465" s="131"/>
      <c r="C465" s="132"/>
    </row>
    <row r="466" spans="1:3" ht="15.75" customHeight="1">
      <c r="A466" s="131"/>
      <c r="C466" s="132"/>
    </row>
    <row r="467" spans="1:3" ht="15.75" customHeight="1">
      <c r="A467" s="131"/>
      <c r="C467" s="132"/>
    </row>
    <row r="468" spans="1:3" ht="15.75" customHeight="1">
      <c r="A468" s="131"/>
      <c r="C468" s="132"/>
    </row>
    <row r="469" spans="1:3" ht="15.75" customHeight="1">
      <c r="A469" s="131"/>
      <c r="C469" s="132"/>
    </row>
    <row r="470" spans="1:3" ht="15.75" customHeight="1">
      <c r="A470" s="131"/>
      <c r="C470" s="132"/>
    </row>
    <row r="471" spans="1:3" ht="15.75" customHeight="1">
      <c r="A471" s="131"/>
      <c r="C471" s="132"/>
    </row>
    <row r="472" spans="1:3" ht="15.75" customHeight="1">
      <c r="A472" s="131"/>
      <c r="C472" s="132"/>
    </row>
    <row r="473" spans="1:3" ht="15.75" customHeight="1">
      <c r="A473" s="131"/>
      <c r="C473" s="132"/>
    </row>
    <row r="474" spans="1:3" ht="15.75" customHeight="1">
      <c r="A474" s="131"/>
      <c r="C474" s="132"/>
    </row>
    <row r="475" spans="1:3" ht="15.75" customHeight="1">
      <c r="A475" s="131"/>
      <c r="C475" s="132"/>
    </row>
    <row r="476" spans="1:3" ht="15.75" customHeight="1">
      <c r="A476" s="131"/>
      <c r="C476" s="132"/>
    </row>
    <row r="477" spans="1:3" ht="15.75" customHeight="1">
      <c r="A477" s="131"/>
      <c r="C477" s="132"/>
    </row>
    <row r="478" spans="1:3" ht="15.75" customHeight="1">
      <c r="A478" s="131"/>
      <c r="C478" s="132"/>
    </row>
    <row r="479" spans="1:3" ht="15.75" customHeight="1">
      <c r="A479" s="131"/>
      <c r="C479" s="132"/>
    </row>
    <row r="480" spans="1:3" ht="15.75" customHeight="1">
      <c r="A480" s="131"/>
      <c r="C480" s="132"/>
    </row>
    <row r="481" spans="1:3" ht="15.75" customHeight="1">
      <c r="A481" s="131"/>
      <c r="C481" s="132"/>
    </row>
    <row r="482" spans="1:3" ht="15.75" customHeight="1">
      <c r="A482" s="131"/>
      <c r="C482" s="132"/>
    </row>
    <row r="483" spans="1:3" ht="15.75" customHeight="1">
      <c r="A483" s="131"/>
      <c r="C483" s="132"/>
    </row>
    <row r="484" spans="1:3" ht="15.75" customHeight="1">
      <c r="A484" s="131"/>
      <c r="C484" s="132"/>
    </row>
    <row r="485" spans="1:3" ht="15.75" customHeight="1">
      <c r="A485" s="131"/>
      <c r="C485" s="132"/>
    </row>
    <row r="486" spans="1:3" ht="15.75" customHeight="1">
      <c r="A486" s="131"/>
      <c r="C486" s="132"/>
    </row>
    <row r="487" spans="1:3" ht="15.75" customHeight="1">
      <c r="A487" s="131"/>
      <c r="C487" s="132"/>
    </row>
    <row r="488" spans="1:3" ht="15.75" customHeight="1">
      <c r="A488" s="131"/>
      <c r="C488" s="132"/>
    </row>
    <row r="489" spans="1:3" ht="15.75" customHeight="1">
      <c r="A489" s="131"/>
      <c r="C489" s="132"/>
    </row>
    <row r="490" spans="1:3" ht="15.75" customHeight="1">
      <c r="A490" s="131"/>
      <c r="C490" s="132"/>
    </row>
    <row r="491" spans="1:3" ht="15.75" customHeight="1">
      <c r="A491" s="131"/>
      <c r="C491" s="132"/>
    </row>
    <row r="492" spans="1:3" ht="15.75" customHeight="1">
      <c r="A492" s="131"/>
      <c r="C492" s="132"/>
    </row>
    <row r="493" spans="1:3" ht="15.75" customHeight="1">
      <c r="A493" s="131"/>
      <c r="C493" s="132"/>
    </row>
    <row r="494" spans="1:3" ht="15.75" customHeight="1">
      <c r="A494" s="131"/>
      <c r="C494" s="132"/>
    </row>
    <row r="495" spans="1:3" ht="15.75" customHeight="1">
      <c r="A495" s="131"/>
      <c r="C495" s="132"/>
    </row>
    <row r="496" spans="1:3" ht="15.75" customHeight="1">
      <c r="A496" s="131"/>
      <c r="C496" s="132"/>
    </row>
    <row r="497" spans="1:3" ht="15.75" customHeight="1">
      <c r="A497" s="131"/>
      <c r="C497" s="132"/>
    </row>
    <row r="498" spans="1:3" ht="15.75" customHeight="1">
      <c r="A498" s="131"/>
      <c r="C498" s="132"/>
    </row>
    <row r="499" spans="1:3" ht="15.75" customHeight="1">
      <c r="A499" s="131"/>
      <c r="C499" s="132"/>
    </row>
    <row r="500" spans="1:3" ht="15.75" customHeight="1">
      <c r="A500" s="131"/>
      <c r="C500" s="132"/>
    </row>
    <row r="501" spans="1:3" ht="15.75" customHeight="1">
      <c r="A501" s="131"/>
      <c r="C501" s="132"/>
    </row>
    <row r="502" spans="1:3" ht="15.75" customHeight="1">
      <c r="A502" s="131"/>
      <c r="C502" s="132"/>
    </row>
    <row r="503" spans="1:3" ht="15.75" customHeight="1">
      <c r="A503" s="131"/>
      <c r="C503" s="132"/>
    </row>
    <row r="504" spans="1:3" ht="15.75" customHeight="1">
      <c r="A504" s="131"/>
      <c r="C504" s="132"/>
    </row>
    <row r="505" spans="1:3" ht="15.75" customHeight="1">
      <c r="A505" s="131"/>
      <c r="C505" s="132"/>
    </row>
    <row r="506" spans="1:3" ht="15.75" customHeight="1">
      <c r="A506" s="131"/>
      <c r="C506" s="132"/>
    </row>
    <row r="507" spans="1:3" ht="15.75" customHeight="1">
      <c r="A507" s="131"/>
      <c r="C507" s="132"/>
    </row>
    <row r="508" spans="1:3" ht="15.75" customHeight="1">
      <c r="A508" s="131"/>
      <c r="C508" s="132"/>
    </row>
    <row r="509" spans="1:3" ht="15.75" customHeight="1">
      <c r="A509" s="131"/>
      <c r="C509" s="132"/>
    </row>
    <row r="510" spans="1:3" ht="15.75" customHeight="1">
      <c r="A510" s="131"/>
      <c r="C510" s="132"/>
    </row>
    <row r="511" spans="1:3" ht="15.75" customHeight="1">
      <c r="A511" s="131"/>
      <c r="C511" s="132"/>
    </row>
    <row r="512" spans="1:3" ht="15.75" customHeight="1">
      <c r="A512" s="131"/>
      <c r="C512" s="132"/>
    </row>
    <row r="513" spans="1:3" ht="15.75" customHeight="1">
      <c r="A513" s="131"/>
      <c r="C513" s="132"/>
    </row>
    <row r="514" spans="1:3" ht="15.75" customHeight="1">
      <c r="A514" s="131"/>
      <c r="C514" s="132"/>
    </row>
    <row r="515" spans="1:3" ht="15.75" customHeight="1">
      <c r="A515" s="131"/>
      <c r="C515" s="132"/>
    </row>
    <row r="516" spans="1:3" ht="15.75" customHeight="1">
      <c r="A516" s="131"/>
      <c r="C516" s="132"/>
    </row>
    <row r="517" spans="1:3" ht="15.75" customHeight="1">
      <c r="A517" s="131"/>
      <c r="C517" s="132"/>
    </row>
    <row r="518" spans="1:3" ht="15.75" customHeight="1">
      <c r="A518" s="131"/>
      <c r="C518" s="132"/>
    </row>
    <row r="519" spans="1:3" ht="15.75" customHeight="1">
      <c r="A519" s="131"/>
      <c r="C519" s="132"/>
    </row>
    <row r="520" spans="1:3" ht="15.75" customHeight="1">
      <c r="A520" s="131"/>
      <c r="C520" s="132"/>
    </row>
    <row r="521" spans="1:3" ht="15.75" customHeight="1">
      <c r="A521" s="131"/>
      <c r="C521" s="132"/>
    </row>
    <row r="522" spans="1:3" ht="15.75" customHeight="1">
      <c r="A522" s="131"/>
      <c r="C522" s="132"/>
    </row>
    <row r="523" spans="1:3" ht="15.75" customHeight="1">
      <c r="A523" s="131"/>
      <c r="C523" s="132"/>
    </row>
    <row r="524" spans="1:3" ht="15.75" customHeight="1">
      <c r="A524" s="131"/>
      <c r="C524" s="132"/>
    </row>
    <row r="525" spans="1:3" ht="15.75" customHeight="1">
      <c r="A525" s="131"/>
      <c r="C525" s="132"/>
    </row>
    <row r="526" spans="1:3" ht="15.75" customHeight="1">
      <c r="A526" s="131"/>
      <c r="C526" s="132"/>
    </row>
    <row r="527" spans="1:3" ht="15.75" customHeight="1">
      <c r="A527" s="131"/>
      <c r="C527" s="132"/>
    </row>
    <row r="528" spans="1:3" ht="15.75" customHeight="1">
      <c r="A528" s="131"/>
      <c r="C528" s="132"/>
    </row>
    <row r="529" spans="1:3" ht="15.75" customHeight="1">
      <c r="A529" s="131"/>
      <c r="C529" s="132"/>
    </row>
    <row r="530" spans="1:3" ht="15.75" customHeight="1">
      <c r="A530" s="131"/>
      <c r="C530" s="132"/>
    </row>
    <row r="531" spans="1:3" ht="15.75" customHeight="1">
      <c r="A531" s="131"/>
      <c r="C531" s="132"/>
    </row>
    <row r="532" spans="1:3" ht="15.75" customHeight="1">
      <c r="A532" s="131"/>
      <c r="C532" s="132"/>
    </row>
    <row r="533" spans="1:3" ht="15.75" customHeight="1">
      <c r="A533" s="131"/>
      <c r="C533" s="132"/>
    </row>
    <row r="534" spans="1:3" ht="15.75" customHeight="1">
      <c r="A534" s="131"/>
      <c r="C534" s="132"/>
    </row>
    <row r="535" spans="1:3" ht="15.75" customHeight="1">
      <c r="A535" s="131"/>
      <c r="C535" s="132"/>
    </row>
    <row r="536" spans="1:3" ht="15.75" customHeight="1">
      <c r="A536" s="131"/>
      <c r="C536" s="132"/>
    </row>
    <row r="537" spans="1:3" ht="15.75" customHeight="1">
      <c r="A537" s="131"/>
      <c r="C537" s="132"/>
    </row>
    <row r="538" spans="1:3" ht="15.75" customHeight="1">
      <c r="A538" s="131"/>
      <c r="C538" s="132"/>
    </row>
    <row r="539" spans="1:3" ht="15.75" customHeight="1">
      <c r="A539" s="131"/>
      <c r="C539" s="132"/>
    </row>
    <row r="540" spans="1:3" ht="15.75" customHeight="1">
      <c r="A540" s="131"/>
      <c r="C540" s="132"/>
    </row>
    <row r="541" spans="1:3" ht="15.75" customHeight="1">
      <c r="A541" s="131"/>
      <c r="C541" s="132"/>
    </row>
    <row r="542" spans="1:3" ht="15.75" customHeight="1">
      <c r="A542" s="131"/>
      <c r="C542" s="132"/>
    </row>
    <row r="543" spans="1:3" ht="15.75" customHeight="1">
      <c r="A543" s="131"/>
      <c r="C543" s="132"/>
    </row>
    <row r="544" spans="1:3" ht="15.75" customHeight="1">
      <c r="A544" s="131"/>
      <c r="C544" s="132"/>
    </row>
    <row r="545" spans="1:3" ht="15.75" customHeight="1">
      <c r="A545" s="131"/>
      <c r="C545" s="132"/>
    </row>
    <row r="546" spans="1:3" ht="15.75" customHeight="1">
      <c r="A546" s="131"/>
      <c r="C546" s="132"/>
    </row>
    <row r="547" spans="1:3" ht="15.75" customHeight="1">
      <c r="A547" s="131"/>
      <c r="C547" s="132"/>
    </row>
    <row r="548" spans="1:3" ht="15.75" customHeight="1">
      <c r="A548" s="131"/>
      <c r="C548" s="132"/>
    </row>
    <row r="549" spans="1:3" ht="15.75" customHeight="1">
      <c r="A549" s="131"/>
      <c r="C549" s="132"/>
    </row>
    <row r="550" spans="1:3" ht="15.75" customHeight="1">
      <c r="A550" s="131"/>
      <c r="C550" s="132"/>
    </row>
    <row r="551" spans="1:3" ht="15.75" customHeight="1">
      <c r="A551" s="131"/>
      <c r="C551" s="132"/>
    </row>
    <row r="552" spans="1:3" ht="15.75" customHeight="1">
      <c r="A552" s="131"/>
      <c r="C552" s="132"/>
    </row>
    <row r="553" spans="1:3" ht="15.75" customHeight="1">
      <c r="A553" s="131"/>
      <c r="C553" s="132"/>
    </row>
    <row r="554" spans="1:3" ht="15.75" customHeight="1">
      <c r="A554" s="131"/>
      <c r="C554" s="132"/>
    </row>
    <row r="555" spans="1:3" ht="15.75" customHeight="1">
      <c r="A555" s="131"/>
      <c r="C555" s="132"/>
    </row>
    <row r="556" spans="1:3" ht="15.75" customHeight="1">
      <c r="A556" s="131"/>
      <c r="C556" s="132"/>
    </row>
    <row r="557" spans="1:3" ht="15.75" customHeight="1">
      <c r="A557" s="131"/>
      <c r="C557" s="132"/>
    </row>
    <row r="558" spans="1:3" ht="15.75" customHeight="1">
      <c r="A558" s="131"/>
      <c r="C558" s="132"/>
    </row>
    <row r="559" spans="1:3" ht="15.75" customHeight="1">
      <c r="A559" s="131"/>
      <c r="C559" s="132"/>
    </row>
    <row r="560" spans="1:3" ht="15.75" customHeight="1">
      <c r="A560" s="131"/>
      <c r="C560" s="132"/>
    </row>
    <row r="561" spans="1:3" ht="15.75" customHeight="1">
      <c r="A561" s="131"/>
      <c r="C561" s="132"/>
    </row>
    <row r="562" spans="1:3" ht="15.75" customHeight="1">
      <c r="A562" s="131"/>
      <c r="C562" s="132"/>
    </row>
    <row r="563" spans="1:3" ht="15.75" customHeight="1">
      <c r="A563" s="131"/>
      <c r="C563" s="132"/>
    </row>
    <row r="564" spans="1:3" ht="15.75" customHeight="1">
      <c r="A564" s="131"/>
      <c r="C564" s="132"/>
    </row>
    <row r="565" spans="1:3" ht="15.75" customHeight="1">
      <c r="A565" s="131"/>
      <c r="C565" s="132"/>
    </row>
    <row r="566" spans="1:3" ht="15.75" customHeight="1">
      <c r="A566" s="131"/>
      <c r="C566" s="132"/>
    </row>
    <row r="567" spans="1:3" ht="15.75" customHeight="1">
      <c r="A567" s="131"/>
      <c r="C567" s="132"/>
    </row>
    <row r="568" spans="1:3" ht="15.75" customHeight="1">
      <c r="A568" s="131"/>
      <c r="C568" s="132"/>
    </row>
    <row r="569" spans="1:3" ht="15.75" customHeight="1">
      <c r="A569" s="131"/>
      <c r="C569" s="132"/>
    </row>
    <row r="570" spans="1:3" ht="15.75" customHeight="1">
      <c r="A570" s="131"/>
      <c r="C570" s="132"/>
    </row>
    <row r="571" spans="1:3" ht="15.75" customHeight="1">
      <c r="A571" s="131"/>
      <c r="C571" s="132"/>
    </row>
    <row r="572" spans="1:3" ht="15.75" customHeight="1">
      <c r="A572" s="131"/>
      <c r="C572" s="132"/>
    </row>
    <row r="573" spans="1:3" ht="15.75" customHeight="1">
      <c r="A573" s="131"/>
      <c r="C573" s="132"/>
    </row>
    <row r="574" spans="1:3" ht="15.75" customHeight="1">
      <c r="A574" s="131"/>
      <c r="C574" s="132"/>
    </row>
    <row r="575" spans="1:3" ht="15.75" customHeight="1">
      <c r="A575" s="131"/>
      <c r="C575" s="132"/>
    </row>
    <row r="576" spans="1:3" ht="15.75" customHeight="1">
      <c r="A576" s="131"/>
      <c r="C576" s="132"/>
    </row>
    <row r="577" spans="1:3" ht="15.75" customHeight="1">
      <c r="A577" s="131"/>
      <c r="C577" s="132"/>
    </row>
    <row r="578" spans="1:3" ht="15.75" customHeight="1">
      <c r="A578" s="131"/>
      <c r="C578" s="132"/>
    </row>
    <row r="579" spans="1:3" ht="15.75" customHeight="1">
      <c r="A579" s="131"/>
      <c r="C579" s="132"/>
    </row>
    <row r="580" spans="1:3" ht="15.75" customHeight="1">
      <c r="A580" s="131"/>
      <c r="C580" s="132"/>
    </row>
    <row r="581" spans="1:3" ht="15.75" customHeight="1">
      <c r="A581" s="131"/>
      <c r="C581" s="132"/>
    </row>
    <row r="582" spans="1:3" ht="15.75" customHeight="1">
      <c r="A582" s="131"/>
      <c r="C582" s="132"/>
    </row>
    <row r="583" spans="1:3" ht="15.75" customHeight="1">
      <c r="A583" s="131"/>
      <c r="C583" s="132"/>
    </row>
    <row r="584" spans="1:3" ht="15.75" customHeight="1">
      <c r="A584" s="131"/>
      <c r="C584" s="132"/>
    </row>
    <row r="585" spans="1:3" ht="15.75" customHeight="1">
      <c r="A585" s="131"/>
      <c r="C585" s="132"/>
    </row>
    <row r="586" spans="1:3" ht="15.75" customHeight="1">
      <c r="A586" s="131"/>
      <c r="C586" s="132"/>
    </row>
    <row r="587" spans="1:3" ht="15.75" customHeight="1">
      <c r="A587" s="131"/>
      <c r="C587" s="132"/>
    </row>
    <row r="588" spans="1:3" ht="15.75" customHeight="1">
      <c r="A588" s="131"/>
      <c r="C588" s="132"/>
    </row>
    <row r="589" spans="1:3" ht="15.75" customHeight="1">
      <c r="A589" s="131"/>
      <c r="C589" s="132"/>
    </row>
    <row r="590" spans="1:3" ht="15.75" customHeight="1">
      <c r="A590" s="131"/>
      <c r="C590" s="132"/>
    </row>
    <row r="591" spans="1:3" ht="15.75" customHeight="1">
      <c r="A591" s="131"/>
      <c r="C591" s="132"/>
    </row>
    <row r="592" spans="1:3" ht="15.75" customHeight="1">
      <c r="A592" s="131"/>
      <c r="C592" s="132"/>
    </row>
    <row r="593" spans="1:3" ht="15.75" customHeight="1">
      <c r="A593" s="131"/>
      <c r="C593" s="132"/>
    </row>
    <row r="594" spans="1:3" ht="15.75" customHeight="1">
      <c r="A594" s="131"/>
      <c r="C594" s="132"/>
    </row>
    <row r="595" spans="1:3" ht="15.75" customHeight="1">
      <c r="A595" s="131"/>
      <c r="C595" s="132"/>
    </row>
    <row r="596" spans="1:3" ht="15.75" customHeight="1">
      <c r="A596" s="131"/>
      <c r="C596" s="132"/>
    </row>
    <row r="597" spans="1:3" ht="15.75" customHeight="1">
      <c r="A597" s="131"/>
      <c r="C597" s="132"/>
    </row>
    <row r="598" spans="1:3" ht="15.75" customHeight="1">
      <c r="A598" s="131"/>
      <c r="C598" s="132"/>
    </row>
    <row r="599" spans="1:3" ht="15.75" customHeight="1">
      <c r="A599" s="131"/>
      <c r="C599" s="132"/>
    </row>
    <row r="600" spans="1:3" ht="15.75" customHeight="1">
      <c r="A600" s="131"/>
      <c r="C600" s="132"/>
    </row>
    <row r="601" spans="1:3" ht="15.75" customHeight="1">
      <c r="A601" s="131"/>
      <c r="C601" s="132"/>
    </row>
    <row r="602" spans="1:3" ht="15.75" customHeight="1">
      <c r="A602" s="131"/>
      <c r="C602" s="132"/>
    </row>
    <row r="603" spans="1:3" ht="15.75" customHeight="1">
      <c r="A603" s="131"/>
      <c r="C603" s="132"/>
    </row>
    <row r="604" spans="1:3" ht="15.75" customHeight="1">
      <c r="A604" s="131"/>
      <c r="C604" s="132"/>
    </row>
    <row r="605" spans="1:3" ht="15.75" customHeight="1">
      <c r="A605" s="131"/>
      <c r="C605" s="132"/>
    </row>
    <row r="606" spans="1:3" ht="15.75" customHeight="1">
      <c r="A606" s="131"/>
      <c r="C606" s="132"/>
    </row>
    <row r="607" spans="1:3" ht="15.75" customHeight="1">
      <c r="A607" s="131"/>
      <c r="C607" s="132"/>
    </row>
    <row r="608" spans="1:3" ht="15.75" customHeight="1">
      <c r="A608" s="131"/>
      <c r="C608" s="132"/>
    </row>
    <row r="609" spans="1:3" ht="15.75" customHeight="1">
      <c r="A609" s="131"/>
      <c r="C609" s="132"/>
    </row>
    <row r="610" spans="1:3" ht="15.75" customHeight="1">
      <c r="A610" s="131"/>
      <c r="C610" s="132"/>
    </row>
    <row r="611" spans="1:3" ht="15.75" customHeight="1">
      <c r="A611" s="131"/>
      <c r="C611" s="132"/>
    </row>
    <row r="612" spans="1:3" ht="15.75" customHeight="1">
      <c r="A612" s="131"/>
      <c r="C612" s="132"/>
    </row>
    <row r="613" spans="1:3" ht="15.75" customHeight="1">
      <c r="A613" s="131"/>
      <c r="C613" s="132"/>
    </row>
    <row r="614" spans="1:3" ht="15.75" customHeight="1">
      <c r="A614" s="131"/>
      <c r="C614" s="132"/>
    </row>
    <row r="615" spans="1:3" ht="15.75" customHeight="1">
      <c r="A615" s="131"/>
      <c r="C615" s="132"/>
    </row>
    <row r="616" spans="1:3" ht="15.75" customHeight="1">
      <c r="A616" s="131"/>
      <c r="C616" s="132"/>
    </row>
    <row r="617" spans="1:3" ht="15.75" customHeight="1">
      <c r="A617" s="131"/>
      <c r="C617" s="132"/>
    </row>
    <row r="618" spans="1:3" ht="15.75" customHeight="1">
      <c r="A618" s="131"/>
      <c r="C618" s="132"/>
    </row>
    <row r="619" spans="1:3" ht="15.75" customHeight="1">
      <c r="A619" s="131"/>
      <c r="C619" s="132"/>
    </row>
    <row r="620" spans="1:3" ht="15.75" customHeight="1">
      <c r="A620" s="131"/>
      <c r="C620" s="132"/>
    </row>
    <row r="621" spans="1:3" ht="15.75" customHeight="1">
      <c r="A621" s="131"/>
      <c r="C621" s="132"/>
    </row>
    <row r="622" spans="1:3" ht="15.75" customHeight="1">
      <c r="A622" s="131"/>
      <c r="C622" s="132"/>
    </row>
    <row r="623" spans="1:3" ht="15.75" customHeight="1">
      <c r="A623" s="131"/>
      <c r="C623" s="132"/>
    </row>
    <row r="624" spans="1:3" ht="15.75" customHeight="1">
      <c r="A624" s="131"/>
      <c r="C624" s="132"/>
    </row>
    <row r="625" spans="1:3" ht="15.75" customHeight="1">
      <c r="A625" s="131"/>
      <c r="C625" s="132"/>
    </row>
    <row r="626" spans="1:3" ht="15.75" customHeight="1">
      <c r="A626" s="131"/>
      <c r="C626" s="132"/>
    </row>
    <row r="627" spans="1:3" ht="15.75" customHeight="1">
      <c r="A627" s="131"/>
      <c r="C627" s="132"/>
    </row>
    <row r="628" spans="1:3" ht="15.75" customHeight="1">
      <c r="A628" s="131"/>
      <c r="C628" s="132"/>
    </row>
    <row r="629" spans="1:3" ht="15.75" customHeight="1">
      <c r="A629" s="131"/>
      <c r="C629" s="132"/>
    </row>
    <row r="630" spans="1:3" ht="15.75" customHeight="1">
      <c r="A630" s="131"/>
      <c r="C630" s="132"/>
    </row>
    <row r="631" spans="1:3" ht="15.75" customHeight="1">
      <c r="A631" s="131"/>
      <c r="C631" s="132"/>
    </row>
    <row r="632" spans="1:3" ht="15.75" customHeight="1">
      <c r="A632" s="131"/>
      <c r="C632" s="132"/>
    </row>
    <row r="633" spans="1:3" ht="15.75" customHeight="1">
      <c r="A633" s="131"/>
      <c r="C633" s="132"/>
    </row>
  </sheetData>
  <conditionalFormatting sqref="B2 X2:AE2">
    <cfRule type="cellIs" dxfId="77" priority="55" operator="lessThan">
      <formula>0</formula>
    </cfRule>
  </conditionalFormatting>
  <conditionalFormatting sqref="D13:D14 D18:D19">
    <cfRule type="cellIs" dxfId="76" priority="72" operator="between">
      <formula>AD13+1</formula>
      <formula>AD13-1</formula>
    </cfRule>
    <cfRule type="cellIs" dxfId="75" priority="73" operator="notBetween">
      <formula>AD13+1</formula>
      <formula>AD13-1</formula>
    </cfRule>
  </conditionalFormatting>
  <conditionalFormatting sqref="D15 D20">
    <cfRule type="cellIs" dxfId="74" priority="57" operator="between">
      <formula>AB14-1</formula>
      <formula>AB14+1</formula>
    </cfRule>
    <cfRule type="cellIs" dxfId="73" priority="58" operator="notBetween">
      <formula>AB14+1</formula>
      <formula>AB14-1</formula>
    </cfRule>
  </conditionalFormatting>
  <conditionalFormatting sqref="D112:D113 H112:S113 E113:G113">
    <cfRule type="cellIs" dxfId="72" priority="67" operator="between">
      <formula>D113-1</formula>
      <formula>D113+1</formula>
    </cfRule>
    <cfRule type="cellIs" dxfId="71" priority="69" operator="notBetween">
      <formula>D113-1</formula>
      <formula>D113+1</formula>
    </cfRule>
  </conditionalFormatting>
  <conditionalFormatting sqref="D112:D114 H112:S114">
    <cfRule type="cellIs" dxfId="70" priority="59" operator="between">
      <formula>AC112+1</formula>
      <formula>AC112-1</formula>
    </cfRule>
    <cfRule type="cellIs" dxfId="69" priority="60" operator="notBetween">
      <formula>AC112+1</formula>
      <formula>AC112-1</formula>
    </cfRule>
  </conditionalFormatting>
  <conditionalFormatting sqref="D114:S114">
    <cfRule type="cellIs" dxfId="68" priority="68" operator="notBetween">
      <formula>D114+1</formula>
      <formula>D114-1</formula>
    </cfRule>
  </conditionalFormatting>
  <conditionalFormatting sqref="E13 E18">
    <cfRule type="cellIs" dxfId="67" priority="78" operator="between">
      <formula>AD12-1</formula>
      <formula>AD12+1</formula>
    </cfRule>
    <cfRule type="cellIs" dxfId="66" priority="79" operator="notBetween">
      <formula>AD12-1</formula>
      <formula>AD12+1</formula>
    </cfRule>
  </conditionalFormatting>
  <conditionalFormatting sqref="E15 E20">
    <cfRule type="cellIs" dxfId="65" priority="63" operator="between">
      <formula>AB12-1</formula>
      <formula>AB12+1</formula>
    </cfRule>
    <cfRule type="cellIs" dxfId="64" priority="64" operator="notBetween">
      <formula>AB12-1</formula>
      <formula>AB12+1</formula>
    </cfRule>
  </conditionalFormatting>
  <conditionalFormatting sqref="Y12">
    <cfRule type="expression" dxfId="63" priority="5">
      <formula>ABS(Y12-X12)&gt;=1.5</formula>
    </cfRule>
    <cfRule type="expression" dxfId="62" priority="6">
      <formula>ABS(Y12-X12)&lt;1.5</formula>
    </cfRule>
  </conditionalFormatting>
  <conditionalFormatting sqref="Y15">
    <cfRule type="expression" dxfId="61" priority="7">
      <formula>ABS(Y15-X15)&gt;=1.5</formula>
    </cfRule>
    <cfRule type="expression" dxfId="60" priority="8">
      <formula>ABS(Y15-X15)&lt;1.5</formula>
    </cfRule>
  </conditionalFormatting>
  <conditionalFormatting sqref="Y17">
    <cfRule type="expression" dxfId="59" priority="17">
      <formula>ABS(Y17-X17)&gt;=1.5</formula>
    </cfRule>
    <cfRule type="expression" dxfId="58" priority="18">
      <formula>ABS(Y17-X17)&lt;1.5</formula>
    </cfRule>
  </conditionalFormatting>
  <conditionalFormatting sqref="Y20">
    <cfRule type="expression" dxfId="57" priority="25">
      <formula>ABS(Y20-X20)&gt;=1.5</formula>
    </cfRule>
    <cfRule type="expression" dxfId="56" priority="26">
      <formula>ABS(Y20-X20)&lt;1.5</formula>
    </cfRule>
  </conditionalFormatting>
  <conditionalFormatting sqref="Y22">
    <cfRule type="expression" dxfId="55" priority="9">
      <formula>ABS(Y22-X22)&gt;=1.5</formula>
    </cfRule>
    <cfRule type="expression" dxfId="54" priority="10">
      <formula>ABS(Y22-X22)&lt;1.5</formula>
    </cfRule>
  </conditionalFormatting>
  <conditionalFormatting sqref="Y25">
    <cfRule type="expression" dxfId="53" priority="23">
      <formula>ABS(Y25-X25)&gt;=1.5</formula>
    </cfRule>
    <cfRule type="expression" dxfId="52" priority="24">
      <formula>ABS(Y25-X25)&lt;1.5</formula>
    </cfRule>
  </conditionalFormatting>
  <conditionalFormatting sqref="Y27">
    <cfRule type="expression" dxfId="51" priority="15">
      <formula>ABS(Y27-X27)&gt;=1.5</formula>
    </cfRule>
    <cfRule type="expression" dxfId="50" priority="16">
      <formula>ABS(Y27-X27)&lt;1.5</formula>
    </cfRule>
  </conditionalFormatting>
  <conditionalFormatting sqref="Y30">
    <cfRule type="expression" dxfId="49" priority="1">
      <formula>ABS(Y30-X30)&gt;=1.5</formula>
    </cfRule>
    <cfRule type="expression" dxfId="48" priority="2">
      <formula>ABS(Y30-X30)&lt;1.5</formula>
    </cfRule>
  </conditionalFormatting>
  <conditionalFormatting sqref="Y32">
    <cfRule type="expression" dxfId="47" priority="13">
      <formula>ABS(Y32-X32)&gt;=1.5</formula>
    </cfRule>
    <cfRule type="expression" dxfId="46" priority="14">
      <formula>ABS(Y32-X32)&lt;1.5</formula>
    </cfRule>
  </conditionalFormatting>
  <conditionalFormatting sqref="Y35">
    <cfRule type="expression" dxfId="45" priority="21">
      <formula>ABS(Y35-X35)&gt;=1.5</formula>
    </cfRule>
    <cfRule type="expression" dxfId="44" priority="22">
      <formula>ABS(Y35-X35)&lt;1.5</formula>
    </cfRule>
  </conditionalFormatting>
  <conditionalFormatting sqref="Y37">
    <cfRule type="expression" dxfId="43" priority="11">
      <formula>ABS(Y37-X37)&gt;=1.5</formula>
    </cfRule>
    <cfRule type="expression" dxfId="42" priority="12">
      <formula>ABS(Y37-X37)&lt;1.5</formula>
    </cfRule>
  </conditionalFormatting>
  <conditionalFormatting sqref="Y40">
    <cfRule type="expression" dxfId="41" priority="19">
      <formula>ABS(Y40-X40)&gt;2</formula>
    </cfRule>
    <cfRule type="expression" dxfId="40" priority="20">
      <formula>ABS(Y40-X40)&lt;=2</formula>
    </cfRule>
  </conditionalFormatting>
  <conditionalFormatting sqref="Y115">
    <cfRule type="cellIs" dxfId="39" priority="56" operator="between">
      <formula>X115+1</formula>
      <formula>X115-1</formula>
    </cfRule>
  </conditionalFormatting>
  <conditionalFormatting sqref="AD24:AE24">
    <cfRule type="expression" dxfId="38" priority="3">
      <formula>ABS(AD24-AB22)&gt;=2</formula>
    </cfRule>
    <cfRule type="expression" dxfId="37" priority="4">
      <formula>ABS($AD$29-$AB$27)&lt;2</formula>
    </cfRule>
  </conditionalFormatting>
  <conditionalFormatting sqref="AD29:AE29">
    <cfRule type="expression" dxfId="36" priority="35">
      <formula>ABS(AD29-AB27)&gt;=2</formula>
    </cfRule>
    <cfRule type="expression" dxfId="35" priority="36">
      <formula>ABS($AD$29-$AB$27)&lt;2</formula>
    </cfRule>
  </conditionalFormatting>
  <conditionalFormatting sqref="AD34:AE34">
    <cfRule type="expression" dxfId="34" priority="29">
      <formula>ABS(AD34-AB32)&gt;=2</formula>
    </cfRule>
    <cfRule type="expression" dxfId="33" priority="30">
      <formula>ABS($AD$29-$AB$27)&lt;2</formula>
    </cfRule>
  </conditionalFormatting>
  <conditionalFormatting sqref="AD39:AE39">
    <cfRule type="expression" dxfId="32" priority="27">
      <formula>ABS(AD39-AB37)&gt;=2</formula>
    </cfRule>
    <cfRule type="expression" dxfId="31" priority="28">
      <formula>ABS($AD$29-$AB$27)&lt;2</formula>
    </cfRule>
  </conditionalFormatting>
  <hyperlinks>
    <hyperlink ref="B127" r:id="rId1" xr:uid="{00000000-0004-0000-0300-000000000000}"/>
  </hyperlinks>
  <pageMargins left="0.7" right="0.7" top="0.78740157499999996" bottom="0.78740157499999996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96B9A-FF3B-4779-A95C-EB93B35C39AC}">
  <sheetPr codeName="Sheet4"/>
  <dimension ref="A1:N36"/>
  <sheetViews>
    <sheetView topLeftCell="A4" workbookViewId="0">
      <selection activeCell="K25" sqref="K25"/>
    </sheetView>
  </sheetViews>
  <sheetFormatPr defaultRowHeight="13.2"/>
  <cols>
    <col min="1" max="1" width="13.21875" bestFit="1" customWidth="1"/>
    <col min="2" max="2" width="17.77734375" bestFit="1" customWidth="1"/>
    <col min="4" max="12" width="11.109375" customWidth="1"/>
  </cols>
  <sheetData>
    <row r="1" spans="1:12" ht="13.8">
      <c r="A1" s="460" t="s">
        <v>2411</v>
      </c>
      <c r="B1" s="460">
        <v>1219415039</v>
      </c>
      <c r="C1" s="460"/>
      <c r="D1" s="460"/>
      <c r="E1" s="460"/>
      <c r="F1" s="460"/>
      <c r="G1" s="460"/>
      <c r="H1" s="460"/>
      <c r="I1" s="460"/>
      <c r="J1" s="460"/>
      <c r="K1" s="460"/>
      <c r="L1" s="460"/>
    </row>
    <row r="2" spans="1:12" ht="13.8">
      <c r="A2" s="460" t="s">
        <v>2412</v>
      </c>
      <c r="B2" s="1067">
        <v>5607095085087</v>
      </c>
      <c r="C2" s="460"/>
      <c r="D2" s="460"/>
      <c r="E2" s="460"/>
      <c r="F2" s="460"/>
      <c r="G2" s="460"/>
      <c r="H2" s="460"/>
      <c r="I2" s="460"/>
      <c r="J2" s="460"/>
      <c r="K2" s="460"/>
      <c r="L2" s="460"/>
    </row>
    <row r="3" spans="1:12" ht="13.8">
      <c r="A3" s="460" t="s">
        <v>2413</v>
      </c>
      <c r="B3" s="460">
        <v>4590140879</v>
      </c>
      <c r="C3" s="460"/>
      <c r="D3" s="460"/>
      <c r="E3" s="460"/>
      <c r="F3" s="460"/>
      <c r="G3" s="460"/>
      <c r="H3" s="460"/>
      <c r="I3" s="460"/>
      <c r="J3" s="460"/>
      <c r="K3" s="460"/>
      <c r="L3" s="460"/>
    </row>
    <row r="4" spans="1:12" ht="13.8">
      <c r="A4" s="460"/>
      <c r="B4" s="460" t="s">
        <v>2414</v>
      </c>
      <c r="C4" s="460"/>
      <c r="D4" s="460"/>
      <c r="E4" s="460"/>
      <c r="F4" s="460"/>
      <c r="G4" s="460"/>
      <c r="H4" s="460"/>
      <c r="I4" s="460"/>
      <c r="J4" s="460"/>
      <c r="K4" s="460"/>
      <c r="L4" s="460"/>
    </row>
    <row r="5" spans="1:12" ht="13.8">
      <c r="A5" s="460"/>
      <c r="B5" s="460"/>
      <c r="C5" s="460"/>
      <c r="D5" s="1086">
        <v>2022</v>
      </c>
      <c r="E5" s="1086"/>
      <c r="F5" s="1087">
        <v>2023</v>
      </c>
      <c r="G5" s="1087"/>
      <c r="H5" s="1088">
        <v>2024</v>
      </c>
      <c r="I5" s="1088"/>
      <c r="J5" s="1089">
        <v>2025</v>
      </c>
      <c r="K5" s="1089"/>
      <c r="L5" s="460"/>
    </row>
    <row r="6" spans="1:12" ht="41.4">
      <c r="A6" s="460"/>
      <c r="B6" s="460"/>
      <c r="C6" s="460"/>
      <c r="D6" s="1068" t="str">
        <f>Zusammenfassung!B3</f>
        <v>01.01.2022 to 05.04.2022</v>
      </c>
      <c r="E6" s="1069" t="str">
        <f>Zusammenfassung!B7</f>
        <v>06.04.2022 to 31.12.2022</v>
      </c>
      <c r="F6" s="1069" t="str">
        <f>Zusammenfassung!B11</f>
        <v>2023.01.01 bis 2023.04.05</v>
      </c>
      <c r="G6" s="1070" t="str">
        <f>Zusammenfassung!B16</f>
        <v>2023.04.06 bis 2023.12.31</v>
      </c>
      <c r="H6" s="1070" t="str">
        <f>Zusammenfassung!B21</f>
        <v>2024.01.01 bis 2024.04.05</v>
      </c>
      <c r="I6" s="1071" t="str">
        <f>Zusammenfassung!B26</f>
        <v>2024.04.06 bis 2024.12.31</v>
      </c>
      <c r="J6" s="1071" t="str">
        <f>Zusammenfassung!B31</f>
        <v>2025.01.01 bis 2025.04.05</v>
      </c>
      <c r="K6" s="1072" t="str">
        <f>Zusammenfassung!B36</f>
        <v>2025.04.06 bis 2025.12.31</v>
      </c>
      <c r="L6" s="460"/>
    </row>
    <row r="7" spans="1:12" ht="13.8">
      <c r="A7" s="460"/>
      <c r="B7" s="460" t="s">
        <v>2418</v>
      </c>
      <c r="C7" s="460"/>
      <c r="D7" s="1061">
        <v>95</v>
      </c>
      <c r="E7" s="1061">
        <v>270</v>
      </c>
      <c r="F7" s="1061">
        <v>95</v>
      </c>
      <c r="G7" s="1061">
        <v>270</v>
      </c>
      <c r="H7" s="1061">
        <v>95</v>
      </c>
      <c r="I7" s="1061">
        <v>270</v>
      </c>
      <c r="J7" s="1061">
        <v>95</v>
      </c>
      <c r="K7" s="1061">
        <v>270</v>
      </c>
      <c r="L7" s="460"/>
    </row>
    <row r="8" spans="1:12" ht="13.8">
      <c r="A8" s="460"/>
      <c r="B8" s="460"/>
      <c r="C8" s="460"/>
      <c r="D8" s="1062">
        <f>ROUND(D7/365,2)</f>
        <v>0.26</v>
      </c>
      <c r="E8" s="1063">
        <f>100%-D8</f>
        <v>0.74</v>
      </c>
      <c r="F8" s="1062">
        <v>0.26</v>
      </c>
      <c r="G8" s="1063">
        <v>0.74</v>
      </c>
      <c r="H8" s="1062">
        <v>0.26</v>
      </c>
      <c r="I8" s="1063">
        <v>0.74</v>
      </c>
      <c r="J8" s="1062">
        <v>0.26</v>
      </c>
      <c r="K8" s="1063">
        <v>0.74</v>
      </c>
      <c r="L8" s="460"/>
    </row>
    <row r="9" spans="1:12" ht="13.8">
      <c r="A9" s="460"/>
      <c r="B9" s="460" t="s">
        <v>2415</v>
      </c>
      <c r="C9" s="460" t="s">
        <v>2439</v>
      </c>
      <c r="D9" s="1059">
        <f>$D$34*D8</f>
        <v>3485.3</v>
      </c>
      <c r="E9" s="1059">
        <f>$D$33*E8</f>
        <v>46107.92</v>
      </c>
      <c r="F9" s="1059">
        <f>$D$33*F8</f>
        <v>16200.08</v>
      </c>
      <c r="G9" s="1059">
        <f>$D$32*G8</f>
        <v>43933.8</v>
      </c>
      <c r="H9" s="1059">
        <f>$D$32*H8</f>
        <v>15436.2</v>
      </c>
      <c r="I9" s="1059">
        <f>$D$31*I8</f>
        <v>47394.78</v>
      </c>
      <c r="J9" s="1059">
        <f>$D$31*J8</f>
        <v>16652.22</v>
      </c>
      <c r="K9" s="1059">
        <f>D30</f>
        <v>35358.54</v>
      </c>
      <c r="L9" s="460"/>
    </row>
    <row r="10" spans="1:12" ht="13.8">
      <c r="A10" s="460"/>
      <c r="B10" s="460" t="s">
        <v>2416</v>
      </c>
      <c r="C10" s="460" t="s">
        <v>678</v>
      </c>
      <c r="D10" s="1060"/>
      <c r="E10" s="1060"/>
      <c r="F10" s="1060"/>
      <c r="G10" s="1060"/>
      <c r="H10" s="1060"/>
      <c r="I10" s="1060"/>
      <c r="J10" s="1060"/>
      <c r="K10" s="1060"/>
      <c r="L10" s="460"/>
    </row>
    <row r="11" spans="1:12" ht="13.8">
      <c r="A11" s="460"/>
      <c r="B11" s="460" t="s">
        <v>2424</v>
      </c>
      <c r="C11" s="460" t="s">
        <v>2439</v>
      </c>
      <c r="D11" s="1059">
        <f>D8*$E$34</f>
        <v>217.1</v>
      </c>
      <c r="E11" s="1059">
        <f>E8*$E$33</f>
        <v>9173.0399999999991</v>
      </c>
      <c r="F11" s="1059">
        <f>F8*$E$33</f>
        <v>3222.96</v>
      </c>
      <c r="G11" s="1059">
        <f>G8*$E$32</f>
        <v>8273.2000000000007</v>
      </c>
      <c r="H11" s="1059">
        <f>H8*$E$32</f>
        <v>2906.8</v>
      </c>
      <c r="I11" s="1059">
        <f>I8*$E$31</f>
        <v>9562.2800000000007</v>
      </c>
      <c r="J11" s="1059">
        <f>J8*$E$31</f>
        <v>3359.7200000000003</v>
      </c>
      <c r="K11" s="1059">
        <f>E30</f>
        <v>7133.8712801536376</v>
      </c>
      <c r="L11" s="460"/>
    </row>
    <row r="12" spans="1:12" ht="13.8">
      <c r="A12" s="460"/>
      <c r="B12" s="460" t="s">
        <v>2425</v>
      </c>
      <c r="C12" s="460" t="s">
        <v>678</v>
      </c>
      <c r="D12" s="1060"/>
      <c r="E12" s="1060"/>
      <c r="F12" s="1060"/>
      <c r="G12" s="1060"/>
      <c r="H12" s="1060"/>
      <c r="I12" s="1060"/>
      <c r="J12" s="1060"/>
      <c r="K12" s="1060"/>
      <c r="L12" s="460"/>
    </row>
    <row r="13" spans="1:12" ht="13.8">
      <c r="A13" s="460"/>
      <c r="B13" s="460"/>
      <c r="C13" s="460"/>
      <c r="D13" s="460"/>
      <c r="E13" s="460"/>
      <c r="F13" s="1064"/>
      <c r="G13" s="460"/>
      <c r="H13" s="1064"/>
      <c r="I13" s="460"/>
      <c r="J13" s="1064"/>
      <c r="K13" s="460"/>
      <c r="L13" s="460"/>
    </row>
    <row r="14" spans="1:12" ht="13.8">
      <c r="A14" s="460"/>
      <c r="B14" s="460" t="s">
        <v>2436</v>
      </c>
      <c r="C14" s="460"/>
      <c r="D14" s="1065">
        <f>'Conversion rates'!F7</f>
        <v>20.182936999999999</v>
      </c>
      <c r="E14" s="1065">
        <f>'Conversion rates'!F15</f>
        <v>20.173386000000001</v>
      </c>
      <c r="F14" s="1065">
        <f>'Conversion rates'!F19</f>
        <v>21.836141000000001</v>
      </c>
      <c r="G14" s="1065">
        <f>'Conversion rates'!F27</f>
        <v>23.500772000000001</v>
      </c>
      <c r="H14" s="1065">
        <f>'Conversion rates'!F31</f>
        <v>23.851683000000001</v>
      </c>
      <c r="I14" s="1065">
        <f>'Conversion rates'!F39</f>
        <v>23.193887</v>
      </c>
      <c r="J14" s="1065">
        <f>'Conversion rates'!F43</f>
        <v>23.679746000000002</v>
      </c>
      <c r="K14" s="1065">
        <f>'Conversion rates'!F51</f>
        <v>23.505057000000001</v>
      </c>
      <c r="L14" s="460"/>
    </row>
    <row r="15" spans="1:12" ht="13.8">
      <c r="A15" s="460"/>
      <c r="B15" s="460" t="s">
        <v>2437</v>
      </c>
      <c r="C15" s="460"/>
      <c r="D15" s="1065">
        <f>'Conversion rates'!H7</f>
        <v>16.879276999999998</v>
      </c>
      <c r="E15" s="1065">
        <f>'Conversion rates'!H15</f>
        <v>17.370633999999999</v>
      </c>
      <c r="F15" s="1065">
        <f>'Conversion rates'!H19</f>
        <v>19.293814999999999</v>
      </c>
      <c r="G15" s="1065">
        <f>'Conversion rates'!H27</f>
        <v>20.300049999999999</v>
      </c>
      <c r="H15" s="1065">
        <f>'Conversion rates'!H31</f>
        <v>20.425937000000001</v>
      </c>
      <c r="I15" s="1065">
        <f>'Conversion rates'!H39</f>
        <v>19.536442999999998</v>
      </c>
      <c r="J15" s="1065">
        <f>'Conversion rates'!H43</f>
        <v>19.913454000000002</v>
      </c>
      <c r="K15" s="1065">
        <f>'Conversion rates'!H51</f>
        <v>20.331510999999999</v>
      </c>
      <c r="L15" s="460"/>
    </row>
    <row r="16" spans="1:12" ht="13.8">
      <c r="A16" s="460"/>
      <c r="B16" s="460"/>
      <c r="C16" s="460"/>
      <c r="D16" s="460"/>
      <c r="E16" s="460"/>
      <c r="F16" s="460"/>
      <c r="G16" s="460"/>
      <c r="H16" s="460"/>
      <c r="I16" s="460"/>
      <c r="J16" s="460"/>
      <c r="K16" s="460"/>
      <c r="L16" s="460"/>
    </row>
    <row r="17" spans="1:14" ht="13.8">
      <c r="A17" s="460"/>
      <c r="B17" s="460" t="s">
        <v>2415</v>
      </c>
      <c r="C17" s="460" t="s">
        <v>2438</v>
      </c>
      <c r="D17" s="1066">
        <f t="shared" ref="D17:K17" si="0">D9*D14</f>
        <v>70343.590326100006</v>
      </c>
      <c r="E17" s="1066">
        <f t="shared" si="0"/>
        <v>930152.86781712004</v>
      </c>
      <c r="F17" s="1066">
        <f t="shared" si="0"/>
        <v>353747.23109128</v>
      </c>
      <c r="G17" s="1066">
        <f t="shared" si="0"/>
        <v>1032478.2168936002</v>
      </c>
      <c r="H17" s="1066">
        <f t="shared" si="0"/>
        <v>368179.34912460006</v>
      </c>
      <c r="I17" s="1066">
        <f t="shared" si="0"/>
        <v>1099269.17170986</v>
      </c>
      <c r="J17" s="1066">
        <f t="shared" si="0"/>
        <v>394320.33993612003</v>
      </c>
      <c r="K17" s="1066">
        <f t="shared" si="0"/>
        <v>831104.49813677999</v>
      </c>
      <c r="L17" s="460"/>
    </row>
    <row r="18" spans="1:14" ht="13.8">
      <c r="A18" s="460"/>
      <c r="B18" s="460" t="s">
        <v>2416</v>
      </c>
      <c r="C18" s="460" t="s">
        <v>2438</v>
      </c>
      <c r="D18" s="1066"/>
      <c r="E18" s="1066"/>
      <c r="F18" s="1066"/>
      <c r="G18" s="1066"/>
      <c r="H18" s="1066"/>
      <c r="I18" s="1066"/>
      <c r="J18" s="1066"/>
      <c r="K18" s="1066"/>
      <c r="L18" s="460"/>
    </row>
    <row r="19" spans="1:14" ht="13.8">
      <c r="A19" s="460"/>
      <c r="B19" s="460" t="s">
        <v>2424</v>
      </c>
      <c r="C19" s="460" t="s">
        <v>2438</v>
      </c>
      <c r="D19" s="1066">
        <f t="shared" ref="D19:K19" si="1">D11*D14</f>
        <v>4381.7156226999996</v>
      </c>
      <c r="E19" s="1066">
        <f t="shared" si="1"/>
        <v>185051.27671343999</v>
      </c>
      <c r="F19" s="1066">
        <f t="shared" si="1"/>
        <v>70377.008997360012</v>
      </c>
      <c r="G19" s="1066">
        <f t="shared" si="1"/>
        <v>194426.58691040002</v>
      </c>
      <c r="H19" s="1066">
        <f t="shared" si="1"/>
        <v>69332.072144400008</v>
      </c>
      <c r="I19" s="1066">
        <f t="shared" si="1"/>
        <v>221786.44178236002</v>
      </c>
      <c r="J19" s="1066">
        <f t="shared" si="1"/>
        <v>79557.316231120014</v>
      </c>
      <c r="K19" s="1066">
        <f t="shared" si="1"/>
        <v>167682.05107067424</v>
      </c>
      <c r="L19" s="460"/>
    </row>
    <row r="20" spans="1:14" ht="13.8">
      <c r="A20" s="460"/>
      <c r="B20" s="460" t="s">
        <v>2425</v>
      </c>
      <c r="C20" s="460" t="s">
        <v>2438</v>
      </c>
      <c r="D20" s="1066"/>
      <c r="E20" s="1066"/>
      <c r="F20" s="1066"/>
      <c r="G20" s="1066"/>
      <c r="H20" s="1066"/>
      <c r="I20" s="1066"/>
      <c r="J20" s="1066"/>
      <c r="K20" s="1066"/>
      <c r="L20" s="460"/>
    </row>
    <row r="21" spans="1:14" ht="13.8">
      <c r="A21" s="460"/>
      <c r="B21" s="460"/>
      <c r="C21" s="460"/>
      <c r="D21" s="460"/>
      <c r="E21" s="460"/>
      <c r="F21" s="460"/>
      <c r="G21" s="460"/>
      <c r="H21" s="460"/>
      <c r="I21" s="460"/>
      <c r="J21" s="460"/>
      <c r="K21" s="460"/>
      <c r="L21" s="460"/>
    </row>
    <row r="22" spans="1:14" ht="13.8">
      <c r="A22" s="460"/>
      <c r="B22" s="460" t="s">
        <v>2440</v>
      </c>
      <c r="C22" s="460"/>
      <c r="D22" s="460"/>
      <c r="E22" s="1066">
        <f>D17+E17+D18+E18</f>
        <v>1000496.4581432201</v>
      </c>
      <c r="F22" s="460"/>
      <c r="G22" s="1066">
        <f>F17+G17+F18+G18</f>
        <v>1386225.4479848803</v>
      </c>
      <c r="H22" s="460"/>
      <c r="I22" s="1066">
        <f>H17+I17+H18+I18</f>
        <v>1467448.5208344599</v>
      </c>
      <c r="J22" s="460"/>
      <c r="K22" s="1066">
        <f>J17+K17+J18+K18</f>
        <v>1225424.8380729</v>
      </c>
      <c r="L22" s="460"/>
      <c r="M22" s="460"/>
      <c r="N22" s="460"/>
    </row>
    <row r="23" spans="1:14" ht="13.8">
      <c r="A23" s="460"/>
      <c r="B23" s="460" t="s">
        <v>2441</v>
      </c>
      <c r="C23" s="460"/>
      <c r="D23" s="460"/>
      <c r="E23" s="1066">
        <f>D19+E19+D20+E20</f>
        <v>189432.99233613999</v>
      </c>
      <c r="F23" s="460"/>
      <c r="G23" s="1066">
        <f>F19+G19+F20+G20</f>
        <v>264803.59590776003</v>
      </c>
      <c r="H23" s="460"/>
      <c r="I23" s="1066">
        <f>H19+I19+H20+I20</f>
        <v>291118.51392676006</v>
      </c>
      <c r="J23" s="460"/>
      <c r="K23" s="1066">
        <f>J19+K19+J20+K20</f>
        <v>247239.36730179423</v>
      </c>
      <c r="L23" s="460"/>
      <c r="M23" s="460"/>
      <c r="N23" s="460"/>
    </row>
    <row r="24" spans="1:14" ht="13.8">
      <c r="A24" s="460"/>
      <c r="B24" s="460"/>
      <c r="C24" s="460"/>
      <c r="D24" s="460"/>
      <c r="E24" s="460"/>
      <c r="F24" s="460"/>
      <c r="G24" s="460"/>
      <c r="H24" s="460"/>
      <c r="I24" s="460"/>
      <c r="J24" s="460"/>
      <c r="K24" s="460"/>
      <c r="L24" s="460"/>
    </row>
    <row r="25" spans="1:14" ht="13.8">
      <c r="A25" s="460"/>
      <c r="B25" s="460" t="s">
        <v>2442</v>
      </c>
      <c r="C25" s="460"/>
      <c r="D25" s="460"/>
      <c r="E25" s="460"/>
      <c r="F25" s="460"/>
      <c r="G25" s="460"/>
      <c r="H25" s="460"/>
      <c r="I25" s="460"/>
      <c r="J25" s="460"/>
      <c r="K25" s="1058" t="s">
        <v>2443</v>
      </c>
      <c r="L25" s="460"/>
    </row>
    <row r="26" spans="1:14" ht="13.8">
      <c r="A26" s="460"/>
      <c r="B26" s="460"/>
      <c r="C26" s="460"/>
      <c r="D26" s="460"/>
      <c r="E26" s="460"/>
      <c r="F26" s="460"/>
      <c r="G26" s="460"/>
      <c r="H26" s="460"/>
      <c r="I26" s="460"/>
      <c r="J26" s="460"/>
      <c r="K26" s="460"/>
      <c r="L26" s="460"/>
    </row>
    <row r="27" spans="1:14" ht="13.8">
      <c r="A27" s="460"/>
      <c r="B27" s="460"/>
      <c r="C27" s="460"/>
      <c r="D27" s="460"/>
      <c r="E27" s="460"/>
      <c r="F27" s="460"/>
      <c r="G27" s="460"/>
      <c r="H27" s="460"/>
      <c r="I27" s="460"/>
      <c r="J27" s="460"/>
      <c r="K27" s="460"/>
      <c r="L27" s="460"/>
    </row>
    <row r="28" spans="1:14" ht="13.8">
      <c r="A28" s="460"/>
      <c r="B28" s="460"/>
      <c r="C28" s="460"/>
      <c r="D28" s="460"/>
      <c r="E28" s="460"/>
      <c r="F28" s="460"/>
      <c r="G28" s="460"/>
      <c r="H28" s="460"/>
      <c r="I28" s="460"/>
      <c r="J28" s="460"/>
      <c r="K28" s="460"/>
      <c r="L28" s="460"/>
    </row>
    <row r="29" spans="1:14" ht="13.8">
      <c r="A29" s="460"/>
      <c r="B29" s="460"/>
      <c r="C29" s="460"/>
      <c r="D29" s="460"/>
      <c r="E29" s="460"/>
      <c r="F29" s="460"/>
      <c r="G29" s="460"/>
      <c r="H29" s="460"/>
      <c r="I29" s="460"/>
      <c r="J29" s="460"/>
      <c r="K29" s="460"/>
      <c r="L29" s="460"/>
    </row>
    <row r="30" spans="1:14" ht="13.8">
      <c r="A30" s="460" t="s">
        <v>2427</v>
      </c>
      <c r="B30" s="460" t="s">
        <v>2423</v>
      </c>
      <c r="C30" s="460"/>
      <c r="D30" s="1074">
        <f>Zusammenfassung!AF39</f>
        <v>35358.54</v>
      </c>
      <c r="E30" s="1074">
        <f>D30*F31</f>
        <v>7133.8712801536376</v>
      </c>
      <c r="F30" s="460"/>
      <c r="G30" s="460"/>
      <c r="H30" s="460"/>
      <c r="I30" s="460"/>
      <c r="J30" s="460"/>
      <c r="K30" s="460"/>
      <c r="L30" s="460"/>
    </row>
    <row r="31" spans="1:14" ht="13.8">
      <c r="A31" s="460" t="s">
        <v>2428</v>
      </c>
      <c r="B31" s="460" t="s">
        <v>2419</v>
      </c>
      <c r="C31" s="460"/>
      <c r="D31" s="1075">
        <v>64047</v>
      </c>
      <c r="E31" s="1075">
        <v>12922</v>
      </c>
      <c r="F31" s="1073">
        <f>E31/D31</f>
        <v>0.20175808390713071</v>
      </c>
      <c r="G31" s="460"/>
      <c r="H31" s="460"/>
      <c r="I31" s="460"/>
      <c r="J31" s="460"/>
      <c r="K31" s="460"/>
      <c r="L31" s="460"/>
    </row>
    <row r="32" spans="1:14" ht="13.8">
      <c r="A32" s="460" t="s">
        <v>2429</v>
      </c>
      <c r="B32" s="460" t="s">
        <v>2420</v>
      </c>
      <c r="C32" s="460"/>
      <c r="D32" s="1076">
        <v>59370</v>
      </c>
      <c r="E32" s="1076">
        <v>11180</v>
      </c>
      <c r="F32" s="1073">
        <f t="shared" ref="F32:F33" si="2">E32/D32</f>
        <v>0.18831059457638538</v>
      </c>
      <c r="G32" s="460"/>
      <c r="H32" s="460"/>
      <c r="I32" s="460"/>
      <c r="J32" s="460"/>
      <c r="K32" s="460"/>
      <c r="L32" s="460"/>
    </row>
    <row r="33" spans="1:12" ht="13.8">
      <c r="A33" s="460" t="s">
        <v>2430</v>
      </c>
      <c r="B33" s="460" t="s">
        <v>2421</v>
      </c>
      <c r="C33" s="460"/>
      <c r="D33" s="1077">
        <v>62308</v>
      </c>
      <c r="E33" s="1077">
        <v>12396</v>
      </c>
      <c r="F33" s="1073">
        <f t="shared" si="2"/>
        <v>0.19894716569300894</v>
      </c>
      <c r="G33" s="460"/>
      <c r="H33" s="460"/>
      <c r="I33" s="460"/>
      <c r="J33" s="460"/>
      <c r="K33" s="460"/>
      <c r="L33" s="460"/>
    </row>
    <row r="34" spans="1:12" ht="13.8">
      <c r="A34" s="460" t="s">
        <v>2426</v>
      </c>
      <c r="B34" s="460" t="s">
        <v>2422</v>
      </c>
      <c r="C34" s="460"/>
      <c r="D34" s="1078">
        <v>13405</v>
      </c>
      <c r="E34" s="1078">
        <v>835</v>
      </c>
      <c r="F34" s="460"/>
      <c r="G34" s="460"/>
      <c r="H34" s="460"/>
      <c r="I34" s="460"/>
      <c r="J34" s="460"/>
      <c r="K34" s="460"/>
      <c r="L34" s="460"/>
    </row>
    <row r="35" spans="1:12" ht="13.8">
      <c r="A35" s="460" t="s">
        <v>2431</v>
      </c>
      <c r="B35" s="460" t="s">
        <v>2432</v>
      </c>
      <c r="C35" s="460"/>
      <c r="D35" s="1059">
        <v>0</v>
      </c>
      <c r="E35" s="1059">
        <v>0</v>
      </c>
      <c r="F35" s="460"/>
      <c r="G35" s="460"/>
      <c r="H35" s="460"/>
      <c r="I35" s="460"/>
      <c r="J35" s="460"/>
      <c r="K35" s="460"/>
      <c r="L35" s="460"/>
    </row>
    <row r="36" spans="1:12" ht="13.8">
      <c r="A36" s="460"/>
      <c r="B36" s="460"/>
      <c r="C36" s="460"/>
      <c r="D36" s="460"/>
      <c r="E36" s="460"/>
      <c r="F36" s="460"/>
      <c r="G36" s="460"/>
      <c r="H36" s="460"/>
      <c r="I36" s="460"/>
      <c r="J36" s="460"/>
      <c r="K36" s="460"/>
      <c r="L36" s="460"/>
    </row>
  </sheetData>
  <mergeCells count="4">
    <mergeCell ref="D5:E5"/>
    <mergeCell ref="F5:G5"/>
    <mergeCell ref="H5:I5"/>
    <mergeCell ref="J5:K5"/>
  </mergeCells>
  <phoneticPr fontId="7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outlinePr summaryBelow="0" summaryRight="0"/>
  </sheetPr>
  <dimension ref="A1:AN1844"/>
  <sheetViews>
    <sheetView tabSelected="1" workbookViewId="0">
      <pane xSplit="3" ySplit="12" topLeftCell="L1837" activePane="bottomRight" state="frozen"/>
      <selection pane="topRight" activeCell="D1" sqref="D1"/>
      <selection pane="bottomLeft" activeCell="A9" sqref="A9"/>
      <selection pane="bottomRight" activeCell="T1846" sqref="T1846"/>
    </sheetView>
  </sheetViews>
  <sheetFormatPr defaultColWidth="12.6640625" defaultRowHeight="15" customHeight="1"/>
  <cols>
    <col min="1" max="1" width="13.88671875" style="460" customWidth="1"/>
    <col min="2" max="2" width="25" style="460" customWidth="1"/>
    <col min="3" max="3" width="35.77734375" style="460" customWidth="1"/>
    <col min="4" max="5" width="11.21875" style="460" customWidth="1"/>
    <col min="6" max="8" width="14.33203125" style="460" customWidth="1"/>
    <col min="9" max="12" width="11.109375" style="460" customWidth="1"/>
    <col min="13" max="13" width="13.109375" style="460" customWidth="1"/>
    <col min="14" max="17" width="11.109375" style="460" customWidth="1"/>
    <col min="18" max="18" width="13.33203125" style="460" customWidth="1"/>
    <col min="19" max="23" width="11.109375" style="460" customWidth="1"/>
    <col min="24" max="24" width="8.5546875" style="460" customWidth="1"/>
    <col min="25" max="25" width="9.5546875" style="460" customWidth="1"/>
    <col min="26" max="40" width="11.109375" style="460" customWidth="1"/>
    <col min="41" max="16384" width="12.6640625" style="460"/>
  </cols>
  <sheetData>
    <row r="1" spans="1:40" ht="17.25" customHeight="1">
      <c r="A1" s="1002"/>
      <c r="B1" s="1003">
        <v>44562</v>
      </c>
      <c r="C1" s="1004"/>
      <c r="D1" s="899"/>
      <c r="E1" s="900"/>
      <c r="F1" s="900"/>
      <c r="G1" s="900"/>
      <c r="H1" s="1005"/>
      <c r="I1" s="1005"/>
      <c r="J1" s="1005"/>
      <c r="K1" s="1005"/>
      <c r="L1" s="1005"/>
      <c r="M1" s="1005"/>
      <c r="N1" s="1005"/>
      <c r="O1" s="1005"/>
      <c r="P1" s="1005"/>
      <c r="Q1" s="1005"/>
      <c r="R1" s="1005"/>
      <c r="S1" s="1005"/>
      <c r="T1" s="900"/>
      <c r="U1" s="900"/>
      <c r="V1" s="900"/>
      <c r="W1" s="900"/>
      <c r="X1" s="903"/>
      <c r="Y1" s="1006"/>
      <c r="Z1" s="1006"/>
    </row>
    <row r="2" spans="1:40" ht="59.4" customHeight="1" thickBot="1">
      <c r="A2" s="1007" t="s">
        <v>142</v>
      </c>
      <c r="B2" s="1007" t="s">
        <v>32</v>
      </c>
      <c r="C2" s="1008" t="s">
        <v>2</v>
      </c>
      <c r="D2" s="1009" t="s">
        <v>143</v>
      </c>
      <c r="E2" s="1009" t="s">
        <v>144</v>
      </c>
      <c r="F2" s="1010" t="s">
        <v>2444</v>
      </c>
      <c r="G2" s="1011" t="s">
        <v>146</v>
      </c>
      <c r="H2" s="1011" t="s">
        <v>36</v>
      </c>
      <c r="I2" s="1012" t="s">
        <v>37</v>
      </c>
      <c r="J2" s="1011" t="s">
        <v>3</v>
      </c>
      <c r="K2" s="1011" t="s">
        <v>147</v>
      </c>
      <c r="L2" s="1011" t="s">
        <v>148</v>
      </c>
      <c r="M2" s="1007" t="s">
        <v>149</v>
      </c>
      <c r="N2" s="1007" t="s">
        <v>150</v>
      </c>
      <c r="O2" s="1007" t="s">
        <v>151</v>
      </c>
      <c r="P2" s="1007" t="s">
        <v>152</v>
      </c>
      <c r="Q2" s="1007" t="s">
        <v>42</v>
      </c>
      <c r="R2" s="1007" t="s">
        <v>14</v>
      </c>
      <c r="S2" s="1007" t="s">
        <v>48</v>
      </c>
      <c r="T2" s="1013" t="s">
        <v>46</v>
      </c>
      <c r="U2" s="1014" t="s">
        <v>47</v>
      </c>
      <c r="V2" s="1014" t="s">
        <v>49</v>
      </c>
      <c r="W2" s="1084" t="s">
        <v>2445</v>
      </c>
      <c r="X2" s="604"/>
      <c r="Y2" s="1006"/>
      <c r="Z2" s="1006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</row>
    <row r="3" spans="1:40" ht="39.75" customHeight="1" thickTop="1" thickBot="1">
      <c r="A3" s="1015"/>
      <c r="B3" s="1016" t="s">
        <v>154</v>
      </c>
      <c r="C3" s="1008" t="s">
        <v>155</v>
      </c>
      <c r="D3" s="1082" t="s">
        <v>2485</v>
      </c>
      <c r="E3" s="1082">
        <v>2180</v>
      </c>
      <c r="F3" s="1079">
        <v>2150</v>
      </c>
      <c r="G3" s="1082" t="s">
        <v>2482</v>
      </c>
      <c r="H3" s="1079">
        <v>2200</v>
      </c>
      <c r="I3" s="1095">
        <v>900</v>
      </c>
      <c r="J3" s="1080">
        <v>6805</v>
      </c>
      <c r="K3" s="1080" t="s">
        <v>2486</v>
      </c>
      <c r="L3" s="1080" t="s">
        <v>2483</v>
      </c>
      <c r="M3" s="1080" t="s">
        <v>2484</v>
      </c>
      <c r="N3" s="1080">
        <v>6680</v>
      </c>
      <c r="O3" s="1080">
        <v>6530</v>
      </c>
      <c r="P3" s="1080">
        <v>6815</v>
      </c>
      <c r="Q3" s="1080" t="s">
        <v>2487</v>
      </c>
      <c r="R3" s="1080">
        <v>6827</v>
      </c>
      <c r="S3" s="1083">
        <v>6855</v>
      </c>
      <c r="T3" s="1081">
        <v>2300</v>
      </c>
      <c r="U3" s="1094">
        <v>901</v>
      </c>
      <c r="V3" s="1085">
        <v>902</v>
      </c>
      <c r="W3" s="1085">
        <v>999</v>
      </c>
      <c r="X3" s="824" t="s">
        <v>2488</v>
      </c>
      <c r="Y3" s="824" t="s">
        <v>2402</v>
      </c>
      <c r="Z3" s="824" t="s">
        <v>2446</v>
      </c>
      <c r="AA3" s="520"/>
      <c r="AB3" s="520"/>
      <c r="AC3" s="520"/>
      <c r="AD3" s="520"/>
      <c r="AE3" s="520"/>
      <c r="AF3" s="520"/>
      <c r="AG3" s="520"/>
      <c r="AH3" s="520"/>
      <c r="AI3" s="520"/>
      <c r="AJ3" s="520"/>
      <c r="AK3" s="520"/>
      <c r="AL3" s="520"/>
      <c r="AM3" s="520"/>
      <c r="AN3" s="520"/>
    </row>
    <row r="4" spans="1:40" ht="18.75" customHeight="1" thickTop="1">
      <c r="A4" s="1017"/>
      <c r="B4" s="893"/>
      <c r="C4" s="1030" t="s">
        <v>162</v>
      </c>
      <c r="D4" s="1018">
        <f t="shared" ref="D4:W4" si="0">SUM(D498:D616)</f>
        <v>30015.16</v>
      </c>
      <c r="E4" s="1019">
        <f t="shared" si="0"/>
        <v>1789.5199999999998</v>
      </c>
      <c r="F4" s="1019">
        <f t="shared" si="0"/>
        <v>1827</v>
      </c>
      <c r="G4" s="1018">
        <f t="shared" si="0"/>
        <v>1</v>
      </c>
      <c r="H4" s="1019">
        <f t="shared" si="0"/>
        <v>2471.34</v>
      </c>
      <c r="I4" s="1019">
        <f t="shared" si="0"/>
        <v>232.07</v>
      </c>
      <c r="J4" s="1019">
        <f t="shared" si="0"/>
        <v>61.51</v>
      </c>
      <c r="K4" s="1019">
        <f t="shared" si="0"/>
        <v>489.88000000000011</v>
      </c>
      <c r="L4" s="1019">
        <f t="shared" si="0"/>
        <v>1213.4299999999998</v>
      </c>
      <c r="M4" s="1019">
        <f t="shared" si="0"/>
        <v>437.17999999999995</v>
      </c>
      <c r="N4" s="1019">
        <f t="shared" si="0"/>
        <v>3622.6495999999997</v>
      </c>
      <c r="O4" s="1019">
        <f t="shared" si="0"/>
        <v>493.10485519999997</v>
      </c>
      <c r="P4" s="1019">
        <f t="shared" si="0"/>
        <v>1</v>
      </c>
      <c r="Q4" s="1019">
        <f t="shared" si="0"/>
        <v>805.58</v>
      </c>
      <c r="R4" s="1019">
        <f t="shared" si="0"/>
        <v>1</v>
      </c>
      <c r="S4" s="1019">
        <f t="shared" si="0"/>
        <v>114.53</v>
      </c>
      <c r="T4" s="1019">
        <f t="shared" si="0"/>
        <v>9705.4100000000017</v>
      </c>
      <c r="U4" s="1019">
        <f t="shared" si="0"/>
        <v>0</v>
      </c>
      <c r="V4" s="1019">
        <f t="shared" si="0"/>
        <v>4146.2</v>
      </c>
      <c r="W4" s="1019">
        <f t="shared" si="0"/>
        <v>0</v>
      </c>
      <c r="X4" s="604"/>
      <c r="Y4" s="1006"/>
      <c r="Z4" s="1006"/>
      <c r="AA4" s="520"/>
      <c r="AB4" s="520"/>
      <c r="AC4" s="520"/>
      <c r="AD4" s="520"/>
      <c r="AE4" s="520"/>
      <c r="AF4" s="520"/>
      <c r="AG4" s="520"/>
      <c r="AH4" s="520"/>
      <c r="AI4" s="520"/>
      <c r="AJ4" s="520"/>
      <c r="AK4" s="520"/>
      <c r="AL4" s="520"/>
      <c r="AM4" s="520"/>
      <c r="AN4" s="520"/>
    </row>
    <row r="5" spans="1:40" ht="18.75" customHeight="1">
      <c r="A5" s="1017"/>
      <c r="B5" s="893"/>
      <c r="C5" s="1030" t="s">
        <v>163</v>
      </c>
      <c r="D5" s="1018">
        <f>SUM(D618:D926)</f>
        <v>106384</v>
      </c>
      <c r="E5" s="1019">
        <f t="shared" ref="E5:W5" si="1">SUM(E618:E927)</f>
        <v>34929.599999999999</v>
      </c>
      <c r="F5" s="1019">
        <f t="shared" si="1"/>
        <v>6200.05</v>
      </c>
      <c r="G5" s="1018">
        <f t="shared" si="1"/>
        <v>18574</v>
      </c>
      <c r="H5" s="1019">
        <f t="shared" si="1"/>
        <v>6779.09</v>
      </c>
      <c r="I5" s="1019">
        <f t="shared" si="1"/>
        <v>1</v>
      </c>
      <c r="J5" s="1019">
        <f t="shared" si="1"/>
        <v>193.79</v>
      </c>
      <c r="K5" s="1019">
        <f t="shared" si="1"/>
        <v>1122.5999999999999</v>
      </c>
      <c r="L5" s="1019">
        <f t="shared" si="1"/>
        <v>4199.7700000000004</v>
      </c>
      <c r="M5" s="1019">
        <f t="shared" si="1"/>
        <v>1120.4000000000001</v>
      </c>
      <c r="N5" s="1019">
        <f t="shared" si="1"/>
        <v>8819.3184000000001</v>
      </c>
      <c r="O5" s="1019">
        <f t="shared" si="1"/>
        <v>2028.2477568600002</v>
      </c>
      <c r="P5" s="1019">
        <f t="shared" si="1"/>
        <v>51.1</v>
      </c>
      <c r="Q5" s="1019">
        <f t="shared" si="1"/>
        <v>31.67</v>
      </c>
      <c r="R5" s="1019">
        <f t="shared" si="1"/>
        <v>1482.2199999999998</v>
      </c>
      <c r="S5" s="1019">
        <f t="shared" si="1"/>
        <v>331.36999999999995</v>
      </c>
      <c r="T5" s="1019">
        <f t="shared" si="1"/>
        <v>18032.550000000003</v>
      </c>
      <c r="U5" s="1019">
        <f t="shared" si="1"/>
        <v>0</v>
      </c>
      <c r="V5" s="1019">
        <f t="shared" si="1"/>
        <v>8292.4</v>
      </c>
      <c r="W5" s="1019">
        <f t="shared" si="1"/>
        <v>0</v>
      </c>
      <c r="X5" s="604"/>
      <c r="Y5" s="1006"/>
      <c r="Z5" s="1006"/>
      <c r="AA5" s="520"/>
      <c r="AB5" s="520"/>
      <c r="AC5" s="520"/>
      <c r="AD5" s="520"/>
      <c r="AE5" s="520"/>
      <c r="AF5" s="520"/>
      <c r="AG5" s="520"/>
      <c r="AH5" s="520"/>
      <c r="AI5" s="520"/>
      <c r="AJ5" s="520"/>
      <c r="AK5" s="520"/>
      <c r="AL5" s="520"/>
      <c r="AM5" s="520"/>
      <c r="AN5" s="520"/>
    </row>
    <row r="6" spans="1:40" ht="18.75" customHeight="1">
      <c r="A6" s="1017"/>
      <c r="B6" s="893"/>
      <c r="C6" s="1030" t="s">
        <v>164</v>
      </c>
      <c r="D6" s="1018">
        <f t="shared" ref="D6:W6" si="2">SUM(D928:D1036)+SUM(D1049:D1052)</f>
        <v>16155</v>
      </c>
      <c r="E6" s="1019">
        <f t="shared" si="2"/>
        <v>8214</v>
      </c>
      <c r="F6" s="1019">
        <f t="shared" si="2"/>
        <v>5042.5200000000004</v>
      </c>
      <c r="G6" s="1018">
        <f t="shared" si="2"/>
        <v>0</v>
      </c>
      <c r="H6" s="1019">
        <f t="shared" si="2"/>
        <v>2550.75</v>
      </c>
      <c r="I6" s="1019">
        <f t="shared" si="2"/>
        <v>0</v>
      </c>
      <c r="J6" s="1019">
        <f t="shared" si="2"/>
        <v>60.53</v>
      </c>
      <c r="K6" s="1019">
        <f t="shared" si="2"/>
        <v>300.98</v>
      </c>
      <c r="L6" s="1019">
        <f t="shared" si="2"/>
        <v>1045.76</v>
      </c>
      <c r="M6" s="1019">
        <f t="shared" si="2"/>
        <v>581.59999999999991</v>
      </c>
      <c r="N6" s="1019">
        <f t="shared" si="2"/>
        <v>3736.7032000000004</v>
      </c>
      <c r="O6" s="1019">
        <f t="shared" si="2"/>
        <v>1590.5910310600002</v>
      </c>
      <c r="P6" s="1019">
        <f t="shared" si="2"/>
        <v>910.99</v>
      </c>
      <c r="Q6" s="1019">
        <f t="shared" si="2"/>
        <v>889.93</v>
      </c>
      <c r="R6" s="1019">
        <f t="shared" si="2"/>
        <v>0</v>
      </c>
      <c r="S6" s="1019">
        <f t="shared" si="2"/>
        <v>79.679999999999993</v>
      </c>
      <c r="T6" s="1019">
        <f t="shared" si="2"/>
        <v>1608.1</v>
      </c>
      <c r="U6" s="1019">
        <f t="shared" si="2"/>
        <v>0</v>
      </c>
      <c r="V6" s="1019">
        <f t="shared" si="2"/>
        <v>4146.2</v>
      </c>
      <c r="W6" s="1019">
        <f t="shared" si="2"/>
        <v>0</v>
      </c>
      <c r="X6" s="604"/>
      <c r="Y6" s="1006"/>
      <c r="Z6" s="1006"/>
      <c r="AA6" s="520"/>
      <c r="AB6" s="520"/>
      <c r="AC6" s="520"/>
      <c r="AD6" s="520"/>
      <c r="AE6" s="520"/>
      <c r="AF6" s="520"/>
      <c r="AG6" s="520"/>
      <c r="AH6" s="520"/>
      <c r="AI6" s="520"/>
      <c r="AJ6" s="520"/>
      <c r="AK6" s="520"/>
      <c r="AL6" s="520"/>
      <c r="AM6" s="520"/>
      <c r="AN6" s="520"/>
    </row>
    <row r="7" spans="1:40" ht="17.25" customHeight="1">
      <c r="A7" s="1017"/>
      <c r="B7" s="893"/>
      <c r="C7" s="1030" t="s">
        <v>165</v>
      </c>
      <c r="D7" s="1018">
        <f t="shared" ref="D7:W7" si="3">ROUND((SUM(D1038:D1047)+SUM(D1054:D1375)),0)</f>
        <v>97332</v>
      </c>
      <c r="E7" s="1019">
        <f t="shared" si="3"/>
        <v>29155</v>
      </c>
      <c r="F7" s="1019">
        <f t="shared" si="3"/>
        <v>27525</v>
      </c>
      <c r="G7" s="1018">
        <f t="shared" si="3"/>
        <v>10558</v>
      </c>
      <c r="H7" s="1019">
        <f t="shared" si="3"/>
        <v>7721</v>
      </c>
      <c r="I7" s="1019">
        <f t="shared" si="3"/>
        <v>0</v>
      </c>
      <c r="J7" s="1019">
        <f t="shared" si="3"/>
        <v>189</v>
      </c>
      <c r="K7" s="1019">
        <f t="shared" si="3"/>
        <v>1093</v>
      </c>
      <c r="L7" s="1019">
        <f t="shared" si="3"/>
        <v>7143</v>
      </c>
      <c r="M7" s="1019">
        <f t="shared" si="3"/>
        <v>1469</v>
      </c>
      <c r="N7" s="1019">
        <f t="shared" si="3"/>
        <v>8972</v>
      </c>
      <c r="O7" s="1019">
        <f t="shared" si="3"/>
        <v>2329</v>
      </c>
      <c r="P7" s="1019">
        <f t="shared" si="3"/>
        <v>424</v>
      </c>
      <c r="Q7" s="1019">
        <f t="shared" si="3"/>
        <v>626</v>
      </c>
      <c r="R7" s="1019">
        <f t="shared" si="3"/>
        <v>2531</v>
      </c>
      <c r="S7" s="1019">
        <f t="shared" si="3"/>
        <v>593</v>
      </c>
      <c r="T7" s="1019">
        <f t="shared" si="3"/>
        <v>2942</v>
      </c>
      <c r="U7" s="1019">
        <f t="shared" si="3"/>
        <v>0</v>
      </c>
      <c r="V7" s="1019">
        <f t="shared" si="3"/>
        <v>8292</v>
      </c>
      <c r="W7" s="1019">
        <f t="shared" si="3"/>
        <v>0</v>
      </c>
      <c r="X7" s="903"/>
      <c r="Y7" s="1006"/>
      <c r="Z7" s="1006"/>
    </row>
    <row r="8" spans="1:40" ht="17.25" customHeight="1">
      <c r="A8" s="1017"/>
      <c r="B8" s="893"/>
      <c r="C8" s="1031" t="s">
        <v>2403</v>
      </c>
      <c r="D8" s="1020">
        <f>SUM(D1379:D1514)</f>
        <v>15378</v>
      </c>
      <c r="E8" s="1021">
        <f t="shared" ref="E8:W8" si="4">SUM(E1379:E1514)</f>
        <v>25480.13</v>
      </c>
      <c r="F8" s="1021">
        <f t="shared" si="4"/>
        <v>7022.2</v>
      </c>
      <c r="G8" s="1020">
        <f t="shared" si="4"/>
        <v>0</v>
      </c>
      <c r="H8" s="1021">
        <f t="shared" si="4"/>
        <v>2709.38</v>
      </c>
      <c r="I8" s="1021">
        <f t="shared" si="4"/>
        <v>0</v>
      </c>
      <c r="J8" s="1021">
        <f t="shared" si="4"/>
        <v>134.82</v>
      </c>
      <c r="K8" s="1021">
        <f t="shared" si="4"/>
        <v>104.97</v>
      </c>
      <c r="L8" s="1021">
        <f t="shared" si="4"/>
        <v>2532.08</v>
      </c>
      <c r="M8" s="1021">
        <f t="shared" si="4"/>
        <v>649.29000000000008</v>
      </c>
      <c r="N8" s="1021">
        <f t="shared" si="4"/>
        <v>3347.54</v>
      </c>
      <c r="O8" s="1021">
        <f t="shared" si="4"/>
        <v>3360.74</v>
      </c>
      <c r="P8" s="1021">
        <f t="shared" si="4"/>
        <v>39.93</v>
      </c>
      <c r="Q8" s="1021">
        <f t="shared" si="4"/>
        <v>1483.45</v>
      </c>
      <c r="R8" s="1021">
        <f t="shared" si="4"/>
        <v>0</v>
      </c>
      <c r="S8" s="1021">
        <f t="shared" si="4"/>
        <v>200.79999999999998</v>
      </c>
      <c r="T8" s="1021">
        <f t="shared" si="4"/>
        <v>1485.48</v>
      </c>
      <c r="U8" s="1021">
        <f t="shared" si="4"/>
        <v>0</v>
      </c>
      <c r="V8" s="1021">
        <f t="shared" si="4"/>
        <v>0</v>
      </c>
      <c r="W8" s="1021">
        <f t="shared" si="4"/>
        <v>0</v>
      </c>
      <c r="X8" s="903"/>
      <c r="Y8" s="1006"/>
      <c r="Z8" s="1006"/>
    </row>
    <row r="9" spans="1:40" ht="17.25" customHeight="1">
      <c r="A9" s="1017"/>
      <c r="B9" s="893"/>
      <c r="C9" s="1032" t="s">
        <v>2404</v>
      </c>
      <c r="D9" s="1022">
        <f>SUM(D1516:D1840)</f>
        <v>64517</v>
      </c>
      <c r="E9" s="1023">
        <f t="shared" ref="E9:W9" si="5">SUM(E1516:E1840)</f>
        <v>38789.01</v>
      </c>
      <c r="F9" s="1023">
        <f t="shared" si="5"/>
        <v>9138.4</v>
      </c>
      <c r="G9" s="1022">
        <f t="shared" si="5"/>
        <v>10070</v>
      </c>
      <c r="H9" s="1023">
        <f t="shared" si="5"/>
        <v>9178.8100000000013</v>
      </c>
      <c r="I9" s="1023">
        <f t="shared" si="5"/>
        <v>0</v>
      </c>
      <c r="J9" s="1023">
        <f t="shared" si="5"/>
        <v>322.66999999999996</v>
      </c>
      <c r="K9" s="1023">
        <f t="shared" si="5"/>
        <v>841.90000000000009</v>
      </c>
      <c r="L9" s="1023">
        <f t="shared" si="5"/>
        <v>6281.32</v>
      </c>
      <c r="M9" s="1023">
        <f t="shared" si="5"/>
        <v>1434.31</v>
      </c>
      <c r="N9" s="1023">
        <f t="shared" si="5"/>
        <v>12193.24</v>
      </c>
      <c r="O9" s="1023">
        <f t="shared" si="5"/>
        <v>4350.6499999999996</v>
      </c>
      <c r="P9" s="1023">
        <f t="shared" si="5"/>
        <v>2672.4600000000005</v>
      </c>
      <c r="Q9" s="1023">
        <f t="shared" si="5"/>
        <v>1238.3500000000004</v>
      </c>
      <c r="R9" s="1023">
        <f t="shared" si="5"/>
        <v>3200.74</v>
      </c>
      <c r="S9" s="1023">
        <f t="shared" si="5"/>
        <v>380.40999999999997</v>
      </c>
      <c r="T9" s="1023">
        <f t="shared" si="5"/>
        <v>2881.8</v>
      </c>
      <c r="U9" s="1023">
        <f t="shared" si="5"/>
        <v>0</v>
      </c>
      <c r="V9" s="1023">
        <f t="shared" si="5"/>
        <v>0</v>
      </c>
      <c r="W9" s="1023">
        <f t="shared" si="5"/>
        <v>0</v>
      </c>
      <c r="X9" s="903"/>
      <c r="Y9" s="1006"/>
      <c r="Z9" s="1006"/>
    </row>
    <row r="10" spans="1:40" ht="17.25" customHeight="1">
      <c r="A10" s="1017"/>
      <c r="B10" s="893"/>
      <c r="C10" s="1024"/>
      <c r="D10" s="1018"/>
      <c r="E10" s="1019"/>
      <c r="F10" s="1019"/>
      <c r="G10" s="1018"/>
      <c r="H10" s="1019"/>
      <c r="I10" s="1019"/>
      <c r="J10" s="1019"/>
      <c r="K10" s="1019"/>
      <c r="L10" s="1019"/>
      <c r="M10" s="1019"/>
      <c r="N10" s="1019"/>
      <c r="O10" s="1019"/>
      <c r="P10" s="1019"/>
      <c r="Q10" s="1019"/>
      <c r="R10" s="1019"/>
      <c r="S10" s="1019"/>
      <c r="T10" s="1019"/>
      <c r="U10" s="1019"/>
      <c r="V10" s="1019"/>
      <c r="W10" s="1019"/>
      <c r="X10" s="903"/>
      <c r="Y10" s="1006"/>
      <c r="Z10" s="1006"/>
    </row>
    <row r="11" spans="1:40" ht="17.25" customHeight="1">
      <c r="A11" s="1017"/>
      <c r="B11" s="893"/>
      <c r="C11" s="1024"/>
      <c r="D11" s="1018"/>
      <c r="E11" s="1019"/>
      <c r="F11" s="1019"/>
      <c r="G11" s="1018"/>
      <c r="H11" s="1019"/>
      <c r="I11" s="1019"/>
      <c r="J11" s="1019"/>
      <c r="K11" s="1019"/>
      <c r="L11" s="1019"/>
      <c r="M11" s="1019"/>
      <c r="N11" s="1019"/>
      <c r="O11" s="1019"/>
      <c r="P11" s="1019"/>
      <c r="Q11" s="1019"/>
      <c r="R11" s="1019"/>
      <c r="S11" s="1019"/>
      <c r="T11" s="1019"/>
      <c r="U11" s="1019"/>
      <c r="V11" s="1019"/>
      <c r="W11" s="1019"/>
      <c r="X11" s="903"/>
      <c r="Y11" s="1006"/>
      <c r="Z11" s="1006"/>
    </row>
    <row r="12" spans="1:40" ht="17.25" customHeight="1" thickBot="1">
      <c r="A12" s="1025"/>
      <c r="B12" s="1026"/>
      <c r="C12" s="1027"/>
      <c r="D12" s="1028"/>
      <c r="E12" s="1029"/>
      <c r="F12" s="1029"/>
      <c r="G12" s="1029"/>
      <c r="H12" s="1029"/>
      <c r="I12" s="1029"/>
      <c r="J12" s="1029"/>
      <c r="K12" s="1029"/>
      <c r="L12" s="1029"/>
      <c r="M12" s="1029"/>
      <c r="N12" s="1029"/>
      <c r="O12" s="1029"/>
      <c r="P12" s="1029"/>
      <c r="Q12" s="1029"/>
      <c r="R12" s="1029"/>
      <c r="S12" s="1029"/>
      <c r="T12" s="1029"/>
      <c r="U12" s="1029"/>
      <c r="V12" s="1029"/>
      <c r="W12" s="1029"/>
      <c r="X12" s="1029"/>
      <c r="Y12" s="1029"/>
      <c r="Z12" s="1029"/>
    </row>
    <row r="13" spans="1:40" ht="17.25" hidden="1" customHeight="1">
      <c r="A13" s="521">
        <v>44564</v>
      </c>
      <c r="B13" s="522" t="s">
        <v>166</v>
      </c>
      <c r="C13" s="523" t="s">
        <v>62</v>
      </c>
      <c r="D13" s="524"/>
      <c r="E13" s="525"/>
      <c r="F13" s="525"/>
      <c r="G13" s="525"/>
      <c r="H13" s="525"/>
      <c r="I13" s="525"/>
      <c r="J13" s="525"/>
      <c r="K13" s="525"/>
      <c r="L13" s="525"/>
      <c r="M13" s="525"/>
      <c r="N13" s="525"/>
      <c r="O13" s="525"/>
      <c r="P13" s="525"/>
      <c r="Q13" s="525"/>
      <c r="R13" s="525"/>
      <c r="S13" s="525"/>
      <c r="T13" s="525"/>
      <c r="U13" s="525"/>
      <c r="V13" s="525">
        <v>1036.55</v>
      </c>
      <c r="W13" s="525"/>
      <c r="Y13" s="519"/>
      <c r="Z13" s="519"/>
    </row>
    <row r="14" spans="1:40" ht="17.25" hidden="1" customHeight="1">
      <c r="A14" s="521">
        <v>44564</v>
      </c>
      <c r="B14" s="522">
        <v>0.83508000000000004</v>
      </c>
      <c r="C14" s="523" t="s">
        <v>65</v>
      </c>
      <c r="D14" s="524"/>
      <c r="E14" s="525"/>
      <c r="F14" s="525"/>
      <c r="G14" s="525"/>
      <c r="H14" s="525"/>
      <c r="I14" s="525"/>
      <c r="J14" s="525"/>
      <c r="K14" s="525"/>
      <c r="L14" s="525"/>
      <c r="M14" s="525"/>
      <c r="N14" s="525"/>
      <c r="O14" s="525"/>
      <c r="P14" s="525"/>
      <c r="Q14" s="525"/>
      <c r="R14" s="525"/>
      <c r="S14" s="525"/>
      <c r="T14" s="525">
        <v>18</v>
      </c>
      <c r="U14" s="525"/>
      <c r="V14" s="525"/>
      <c r="W14" s="525"/>
      <c r="Y14" s="519"/>
      <c r="Z14" s="519"/>
    </row>
    <row r="15" spans="1:40" ht="17.25" hidden="1" customHeight="1">
      <c r="A15" s="521">
        <v>44564</v>
      </c>
      <c r="B15" s="526"/>
      <c r="C15" s="527" t="s">
        <v>153</v>
      </c>
      <c r="D15" s="524"/>
      <c r="E15" s="525"/>
      <c r="F15" s="525"/>
      <c r="G15" s="525"/>
      <c r="H15" s="525"/>
      <c r="I15" s="525"/>
      <c r="J15" s="525"/>
      <c r="K15" s="525"/>
      <c r="L15" s="525"/>
      <c r="M15" s="525"/>
      <c r="N15" s="525"/>
      <c r="O15" s="525"/>
      <c r="P15" s="525"/>
      <c r="Q15" s="525"/>
      <c r="R15" s="525"/>
      <c r="S15" s="525"/>
      <c r="U15" s="525"/>
      <c r="V15" s="525"/>
      <c r="W15" s="525">
        <v>500</v>
      </c>
      <c r="Y15" s="519"/>
      <c r="Z15" s="519"/>
    </row>
    <row r="16" spans="1:40" ht="17.25" hidden="1" customHeight="1">
      <c r="A16" s="521">
        <v>44564</v>
      </c>
      <c r="B16" s="526"/>
      <c r="C16" s="523" t="s">
        <v>63</v>
      </c>
      <c r="D16" s="524"/>
      <c r="E16" s="525"/>
      <c r="F16" s="525"/>
      <c r="G16" s="525"/>
      <c r="H16" s="525"/>
      <c r="I16" s="525"/>
      <c r="J16" s="525"/>
      <c r="K16" s="525"/>
      <c r="L16" s="525"/>
      <c r="M16" s="525"/>
      <c r="N16" s="525"/>
      <c r="O16" s="525"/>
      <c r="P16" s="525"/>
      <c r="Q16" s="525"/>
      <c r="R16" s="525"/>
      <c r="S16" s="525"/>
      <c r="T16" s="525">
        <v>261.2</v>
      </c>
      <c r="U16" s="525"/>
      <c r="V16" s="525"/>
      <c r="W16" s="525"/>
      <c r="Y16" s="519"/>
      <c r="Z16" s="519"/>
    </row>
    <row r="17" spans="1:26" ht="17.25" hidden="1" customHeight="1">
      <c r="A17" s="521">
        <v>44564</v>
      </c>
      <c r="B17" s="526"/>
      <c r="C17" s="523" t="s">
        <v>64</v>
      </c>
      <c r="D17" s="524"/>
      <c r="E17" s="525"/>
      <c r="F17" s="525"/>
      <c r="G17" s="525"/>
      <c r="H17" s="525"/>
      <c r="I17" s="525"/>
      <c r="J17" s="525"/>
      <c r="K17" s="525"/>
      <c r="L17" s="525"/>
      <c r="M17" s="525"/>
      <c r="N17" s="525"/>
      <c r="O17" s="525"/>
      <c r="P17" s="525"/>
      <c r="Q17" s="525"/>
      <c r="R17" s="525"/>
      <c r="S17" s="525"/>
      <c r="T17" s="525">
        <v>700</v>
      </c>
      <c r="U17" s="525"/>
      <c r="V17" s="525"/>
      <c r="W17" s="525"/>
      <c r="Y17" s="519"/>
      <c r="Z17" s="519"/>
    </row>
    <row r="18" spans="1:26" ht="17.25" hidden="1" customHeight="1">
      <c r="A18" s="521">
        <v>44564</v>
      </c>
      <c r="B18" s="526"/>
      <c r="C18" s="523" t="s">
        <v>167</v>
      </c>
      <c r="D18" s="524"/>
      <c r="E18" s="525"/>
      <c r="F18" s="525"/>
      <c r="G18" s="525"/>
      <c r="H18" s="525"/>
      <c r="I18" s="525"/>
      <c r="J18" s="525"/>
      <c r="K18" s="525"/>
      <c r="L18" s="525"/>
      <c r="M18" s="525"/>
      <c r="N18" s="525"/>
      <c r="O18" s="525"/>
      <c r="P18" s="525"/>
      <c r="Q18" s="525"/>
      <c r="R18" s="525"/>
      <c r="S18" s="525">
        <v>9.16</v>
      </c>
      <c r="T18" s="525"/>
      <c r="U18" s="525"/>
      <c r="V18" s="525"/>
      <c r="W18" s="525"/>
      <c r="Y18" s="519"/>
      <c r="Z18" s="519"/>
    </row>
    <row r="19" spans="1:26" ht="17.25" hidden="1" customHeight="1">
      <c r="A19" s="521">
        <v>44578</v>
      </c>
      <c r="B19" s="526"/>
      <c r="C19" s="523" t="s">
        <v>168</v>
      </c>
      <c r="D19" s="524"/>
      <c r="E19" s="525"/>
      <c r="F19" s="525"/>
      <c r="G19" s="525"/>
      <c r="H19" s="525"/>
      <c r="I19" s="525"/>
      <c r="J19" s="525"/>
      <c r="K19" s="525"/>
      <c r="L19" s="525"/>
      <c r="M19" s="525"/>
      <c r="N19" s="525"/>
      <c r="O19" s="525"/>
      <c r="P19" s="525"/>
      <c r="Q19" s="525"/>
      <c r="R19" s="525"/>
      <c r="S19" s="525"/>
      <c r="T19" s="525">
        <v>1608.88</v>
      </c>
      <c r="U19" s="525"/>
      <c r="V19" s="525"/>
      <c r="W19" s="525"/>
      <c r="Y19" s="519"/>
      <c r="Z19" s="519"/>
    </row>
    <row r="20" spans="1:26" ht="17.25" hidden="1" customHeight="1">
      <c r="A20" s="521">
        <v>44578</v>
      </c>
      <c r="B20" s="526"/>
      <c r="C20" s="527" t="s">
        <v>169</v>
      </c>
      <c r="D20" s="524"/>
      <c r="E20" s="525"/>
      <c r="F20" s="525"/>
      <c r="G20" s="525"/>
      <c r="H20" s="525">
        <v>1992.16</v>
      </c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5"/>
      <c r="V20" s="525"/>
      <c r="W20" s="525"/>
      <c r="Y20" s="519"/>
      <c r="Z20" s="519"/>
    </row>
    <row r="21" spans="1:26" ht="17.25" hidden="1" customHeight="1">
      <c r="A21" s="521">
        <v>44579</v>
      </c>
      <c r="B21" s="526"/>
      <c r="C21" s="523" t="s">
        <v>111</v>
      </c>
      <c r="D21" s="524"/>
      <c r="E21" s="525"/>
      <c r="F21" s="525"/>
      <c r="G21" s="525"/>
      <c r="H21" s="525"/>
      <c r="I21" s="525"/>
      <c r="J21" s="528"/>
      <c r="K21" s="525">
        <v>29.99</v>
      </c>
      <c r="L21" s="525"/>
      <c r="M21" s="525"/>
      <c r="N21" s="525"/>
      <c r="O21" s="525"/>
      <c r="P21" s="525"/>
      <c r="Q21" s="525"/>
      <c r="R21" s="525"/>
      <c r="S21" s="525"/>
      <c r="T21" s="525"/>
      <c r="U21" s="525"/>
      <c r="V21" s="525"/>
      <c r="W21" s="525"/>
      <c r="Y21" s="519"/>
      <c r="Z21" s="519"/>
    </row>
    <row r="22" spans="1:26" ht="17.25" hidden="1" customHeight="1">
      <c r="A22" s="521">
        <v>44581</v>
      </c>
      <c r="B22" s="526"/>
      <c r="C22" s="523" t="s">
        <v>78</v>
      </c>
      <c r="D22" s="524"/>
      <c r="E22" s="525"/>
      <c r="F22" s="525"/>
      <c r="G22" s="525"/>
      <c r="H22" s="525"/>
      <c r="I22" s="525"/>
      <c r="J22" s="525">
        <v>26.12</v>
      </c>
      <c r="K22" s="525"/>
      <c r="L22" s="525"/>
      <c r="M22" s="525"/>
      <c r="N22" s="525"/>
      <c r="O22" s="525"/>
      <c r="P22" s="525"/>
      <c r="Q22" s="525"/>
      <c r="R22" s="525"/>
      <c r="S22" s="525"/>
      <c r="T22" s="525"/>
      <c r="U22" s="525"/>
      <c r="V22" s="525"/>
      <c r="W22" s="525"/>
      <c r="Y22" s="519"/>
      <c r="Z22" s="519"/>
    </row>
    <row r="23" spans="1:26" ht="17.25" hidden="1" customHeight="1">
      <c r="A23" s="521">
        <v>44581</v>
      </c>
      <c r="B23" s="526"/>
      <c r="C23" s="523" t="s">
        <v>77</v>
      </c>
      <c r="D23" s="524"/>
      <c r="E23" s="525"/>
      <c r="F23" s="525"/>
      <c r="G23" s="525"/>
      <c r="H23" s="525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  <c r="T23" s="525">
        <v>80</v>
      </c>
      <c r="U23" s="525"/>
      <c r="V23" s="525"/>
      <c r="W23" s="525"/>
      <c r="Y23" s="519"/>
      <c r="Z23" s="519"/>
    </row>
    <row r="24" spans="1:26" ht="17.25" hidden="1" customHeight="1">
      <c r="A24" s="521">
        <v>44589</v>
      </c>
      <c r="B24" s="526"/>
      <c r="C24" s="523" t="s">
        <v>86</v>
      </c>
      <c r="D24" s="524"/>
      <c r="E24" s="525">
        <v>141.94</v>
      </c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  <c r="U24" s="525"/>
      <c r="V24" s="525"/>
      <c r="W24" s="525"/>
      <c r="Y24" s="519"/>
      <c r="Z24" s="519"/>
    </row>
    <row r="25" spans="1:26" ht="17.25" hidden="1" customHeight="1">
      <c r="A25" s="521">
        <v>44592</v>
      </c>
      <c r="B25" s="529"/>
      <c r="C25" s="527" t="s">
        <v>170</v>
      </c>
      <c r="D25" s="524"/>
      <c r="E25" s="525"/>
      <c r="F25" s="525"/>
      <c r="G25" s="525"/>
      <c r="H25" s="525"/>
      <c r="I25" s="525"/>
      <c r="J25" s="525"/>
      <c r="K25" s="525"/>
      <c r="L25" s="525"/>
      <c r="M25" s="528"/>
      <c r="N25" s="525">
        <v>960</v>
      </c>
      <c r="O25" s="525"/>
      <c r="P25" s="525"/>
      <c r="Q25" s="525"/>
      <c r="R25" s="525"/>
      <c r="S25" s="525"/>
      <c r="T25" s="525"/>
      <c r="U25" s="525"/>
      <c r="V25" s="525"/>
      <c r="W25" s="525"/>
      <c r="Y25" s="519"/>
      <c r="Z25" s="519"/>
    </row>
    <row r="26" spans="1:26" ht="17.25" hidden="1" customHeight="1">
      <c r="A26" s="521">
        <v>44592</v>
      </c>
      <c r="B26" s="529"/>
      <c r="C26" s="523" t="s">
        <v>171</v>
      </c>
      <c r="D26" s="524"/>
      <c r="E26" s="525"/>
      <c r="F26" s="525"/>
      <c r="G26" s="525"/>
      <c r="H26" s="525"/>
      <c r="I26" s="525"/>
      <c r="J26" s="528"/>
      <c r="K26" s="525">
        <v>108</v>
      </c>
      <c r="L26" s="525"/>
      <c r="M26" s="525"/>
      <c r="N26" s="525"/>
      <c r="O26" s="525"/>
      <c r="P26" s="525"/>
      <c r="Q26" s="525"/>
      <c r="R26" s="525"/>
      <c r="S26" s="525"/>
      <c r="T26" s="525"/>
      <c r="U26" s="525"/>
      <c r="V26" s="525"/>
      <c r="W26" s="525"/>
      <c r="Y26" s="519"/>
      <c r="Z26" s="519"/>
    </row>
    <row r="27" spans="1:26" ht="17.25" hidden="1" customHeight="1">
      <c r="A27" s="521">
        <v>44592</v>
      </c>
      <c r="B27" s="526"/>
      <c r="C27" s="527" t="s">
        <v>172</v>
      </c>
      <c r="D27" s="524"/>
      <c r="E27" s="525"/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5">
        <v>26.24</v>
      </c>
      <c r="Q27" s="525"/>
      <c r="R27" s="525"/>
      <c r="S27" s="525"/>
      <c r="T27" s="525"/>
      <c r="U27" s="525"/>
      <c r="V27" s="525"/>
      <c r="W27" s="525"/>
      <c r="Y27" s="519"/>
      <c r="Z27" s="519"/>
    </row>
    <row r="28" spans="1:26" ht="17.25" hidden="1" customHeight="1">
      <c r="A28" s="530"/>
      <c r="B28" s="531"/>
      <c r="C28" s="532"/>
      <c r="D28" s="533"/>
      <c r="E28" s="533"/>
      <c r="F28" s="533"/>
      <c r="G28" s="533"/>
      <c r="H28" s="533"/>
      <c r="I28" s="533"/>
      <c r="J28" s="533"/>
      <c r="K28" s="533"/>
      <c r="L28" s="533"/>
      <c r="M28" s="533"/>
      <c r="N28" s="533"/>
      <c r="O28" s="533"/>
      <c r="P28" s="533"/>
      <c r="Q28" s="533"/>
      <c r="R28" s="533"/>
      <c r="S28" s="533"/>
      <c r="T28" s="533"/>
      <c r="U28" s="533"/>
      <c r="V28" s="533"/>
      <c r="W28" s="533"/>
      <c r="Y28" s="519"/>
      <c r="Z28" s="519"/>
    </row>
    <row r="29" spans="1:26" ht="17.25" hidden="1" customHeight="1">
      <c r="A29" s="521">
        <v>44566</v>
      </c>
      <c r="B29" s="528"/>
      <c r="C29" s="534" t="s">
        <v>173</v>
      </c>
      <c r="D29" s="535"/>
      <c r="E29" s="528"/>
      <c r="F29" s="525"/>
      <c r="G29" s="525"/>
      <c r="H29" s="525"/>
      <c r="I29" s="528"/>
      <c r="J29" s="525"/>
      <c r="K29" s="525"/>
      <c r="L29" s="525">
        <v>76.790000000000006</v>
      </c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Y29" s="519"/>
      <c r="Z29" s="519"/>
    </row>
    <row r="30" spans="1:26" ht="17.25" hidden="1" customHeight="1">
      <c r="A30" s="521">
        <v>44566</v>
      </c>
      <c r="B30" s="536"/>
      <c r="C30" s="534" t="s">
        <v>174</v>
      </c>
      <c r="D30" s="524"/>
      <c r="E30" s="525"/>
      <c r="F30" s="525"/>
      <c r="G30" s="525"/>
      <c r="H30" s="525"/>
      <c r="I30" s="525"/>
      <c r="J30" s="525"/>
      <c r="K30" s="525">
        <v>12</v>
      </c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Y30" s="519"/>
      <c r="Z30" s="519"/>
    </row>
    <row r="31" spans="1:26" ht="17.25" hidden="1" customHeight="1">
      <c r="A31" s="521">
        <v>44567</v>
      </c>
      <c r="B31" s="536"/>
      <c r="C31" s="534" t="s">
        <v>174</v>
      </c>
      <c r="D31" s="524"/>
      <c r="E31" s="525"/>
      <c r="F31" s="525"/>
      <c r="G31" s="525"/>
      <c r="H31" s="525"/>
      <c r="I31" s="525"/>
      <c r="J31" s="525"/>
      <c r="K31" s="525">
        <v>12</v>
      </c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Y31" s="519"/>
      <c r="Z31" s="519"/>
    </row>
    <row r="32" spans="1:26" ht="17.25" hidden="1" customHeight="1">
      <c r="A32" s="521">
        <v>44567</v>
      </c>
      <c r="B32" s="536"/>
      <c r="C32" s="534" t="s">
        <v>174</v>
      </c>
      <c r="D32" s="524"/>
      <c r="E32" s="525"/>
      <c r="F32" s="525"/>
      <c r="G32" s="525"/>
      <c r="H32" s="525"/>
      <c r="I32" s="525"/>
      <c r="J32" s="525"/>
      <c r="K32" s="525">
        <v>12</v>
      </c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Y32" s="519"/>
      <c r="Z32" s="519"/>
    </row>
    <row r="33" spans="1:26" ht="17.25" hidden="1" customHeight="1">
      <c r="A33" s="521">
        <v>44567</v>
      </c>
      <c r="B33" s="536"/>
      <c r="C33" s="534" t="s">
        <v>174</v>
      </c>
      <c r="D33" s="524"/>
      <c r="E33" s="525"/>
      <c r="F33" s="525"/>
      <c r="G33" s="525"/>
      <c r="H33" s="525"/>
      <c r="I33" s="525"/>
      <c r="J33" s="525"/>
      <c r="K33" s="525">
        <v>12</v>
      </c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Y33" s="519"/>
      <c r="Z33" s="519"/>
    </row>
    <row r="34" spans="1:26" ht="17.25" hidden="1" customHeight="1">
      <c r="A34" s="521">
        <v>44568</v>
      </c>
      <c r="B34" s="536"/>
      <c r="C34" s="534" t="s">
        <v>175</v>
      </c>
      <c r="D34" s="524"/>
      <c r="E34" s="525"/>
      <c r="F34" s="525"/>
      <c r="G34" s="525"/>
      <c r="H34" s="525"/>
      <c r="I34" s="525"/>
      <c r="J34" s="525"/>
      <c r="K34" s="525"/>
      <c r="L34" s="525"/>
      <c r="M34" s="525">
        <v>69.900000000000006</v>
      </c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Y34" s="519"/>
      <c r="Z34" s="519"/>
    </row>
    <row r="35" spans="1:26" ht="17.25" hidden="1" customHeight="1">
      <c r="A35" s="521">
        <v>44571</v>
      </c>
      <c r="B35" s="536"/>
      <c r="C35" s="534" t="s">
        <v>176</v>
      </c>
      <c r="D35" s="524"/>
      <c r="E35" s="525"/>
      <c r="F35" s="525"/>
      <c r="G35" s="525"/>
      <c r="H35" s="525"/>
      <c r="I35" s="525"/>
      <c r="J35" s="525"/>
      <c r="K35" s="525"/>
      <c r="L35" s="525"/>
      <c r="M35" s="525">
        <v>9.3000000000000007</v>
      </c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Y35" s="519"/>
      <c r="Z35" s="519"/>
    </row>
    <row r="36" spans="1:26" ht="17.25" hidden="1" customHeight="1">
      <c r="A36" s="521">
        <v>44571</v>
      </c>
      <c r="B36" s="536"/>
      <c r="C36" s="534" t="s">
        <v>176</v>
      </c>
      <c r="D36" s="524"/>
      <c r="E36" s="525"/>
      <c r="F36" s="525"/>
      <c r="G36" s="525"/>
      <c r="H36" s="525"/>
      <c r="I36" s="525"/>
      <c r="J36" s="525"/>
      <c r="K36" s="525"/>
      <c r="L36" s="525"/>
      <c r="M36" s="525">
        <v>12.3</v>
      </c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Y36" s="519"/>
      <c r="Z36" s="519"/>
    </row>
    <row r="37" spans="1:26" ht="17.25" hidden="1" customHeight="1">
      <c r="A37" s="521">
        <v>44572</v>
      </c>
      <c r="B37" s="536"/>
      <c r="C37" s="534" t="s">
        <v>174</v>
      </c>
      <c r="D37" s="524"/>
      <c r="E37" s="525"/>
      <c r="F37" s="525"/>
      <c r="G37" s="525"/>
      <c r="H37" s="525"/>
      <c r="I37" s="525"/>
      <c r="J37" s="525"/>
      <c r="K37" s="525">
        <v>12</v>
      </c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Y37" s="519"/>
      <c r="Z37" s="519"/>
    </row>
    <row r="38" spans="1:26" ht="17.25" hidden="1" customHeight="1">
      <c r="A38" s="521">
        <v>44572</v>
      </c>
      <c r="B38" s="536"/>
      <c r="C38" s="534" t="s">
        <v>177</v>
      </c>
      <c r="D38" s="524"/>
      <c r="E38" s="525"/>
      <c r="F38" s="525"/>
      <c r="G38" s="525"/>
      <c r="H38" s="525"/>
      <c r="I38" s="525"/>
      <c r="J38" s="525"/>
      <c r="K38" s="525"/>
      <c r="L38" s="525">
        <v>341.72</v>
      </c>
      <c r="M38" s="528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Y38" s="519"/>
      <c r="Z38" s="519"/>
    </row>
    <row r="39" spans="1:26" ht="17.25" hidden="1" customHeight="1">
      <c r="A39" s="521">
        <v>44573</v>
      </c>
      <c r="B39" s="528"/>
      <c r="C39" s="534" t="s">
        <v>175</v>
      </c>
      <c r="D39" s="524"/>
      <c r="E39" s="525"/>
      <c r="F39" s="525"/>
      <c r="G39" s="525"/>
      <c r="H39" s="525"/>
      <c r="I39" s="525"/>
      <c r="J39" s="525"/>
      <c r="K39" s="525"/>
      <c r="L39" s="525"/>
      <c r="M39" s="525">
        <v>27.43</v>
      </c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Y39" s="519"/>
      <c r="Z39" s="519"/>
    </row>
    <row r="40" spans="1:26" ht="17.25" hidden="1" customHeight="1">
      <c r="A40" s="521">
        <v>44575</v>
      </c>
      <c r="B40" s="536"/>
      <c r="C40" s="534" t="s">
        <v>174</v>
      </c>
      <c r="D40" s="524"/>
      <c r="E40" s="525"/>
      <c r="F40" s="525"/>
      <c r="G40" s="525"/>
      <c r="H40" s="525"/>
      <c r="I40" s="525"/>
      <c r="J40" s="525"/>
      <c r="K40" s="525">
        <v>12</v>
      </c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Y40" s="519"/>
      <c r="Z40" s="519"/>
    </row>
    <row r="41" spans="1:26" ht="17.25" hidden="1" customHeight="1">
      <c r="A41" s="521">
        <v>44575</v>
      </c>
      <c r="B41" s="536"/>
      <c r="C41" s="534" t="s">
        <v>174</v>
      </c>
      <c r="D41" s="524"/>
      <c r="E41" s="525"/>
      <c r="F41" s="525"/>
      <c r="G41" s="525"/>
      <c r="H41" s="525"/>
      <c r="I41" s="525"/>
      <c r="J41" s="525"/>
      <c r="K41" s="525">
        <v>12</v>
      </c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Y41" s="519"/>
      <c r="Z41" s="519"/>
    </row>
    <row r="42" spans="1:26" ht="17.25" hidden="1" customHeight="1">
      <c r="A42" s="521">
        <v>44582</v>
      </c>
      <c r="B42" s="536"/>
      <c r="C42" s="534" t="s">
        <v>178</v>
      </c>
      <c r="D42" s="524"/>
      <c r="E42" s="525"/>
      <c r="F42" s="525"/>
      <c r="G42" s="525"/>
      <c r="H42" s="525"/>
      <c r="I42" s="525"/>
      <c r="J42" s="525"/>
      <c r="K42" s="525"/>
      <c r="L42" s="525"/>
      <c r="M42" s="525"/>
      <c r="N42" s="525"/>
      <c r="O42" s="525">
        <v>74.66</v>
      </c>
      <c r="P42" s="525"/>
      <c r="Q42" s="525"/>
      <c r="R42" s="525"/>
      <c r="S42" s="525"/>
      <c r="T42" s="525"/>
      <c r="U42" s="525"/>
      <c r="V42" s="525"/>
      <c r="W42" s="525"/>
      <c r="Y42" s="519"/>
      <c r="Z42" s="519"/>
    </row>
    <row r="43" spans="1:26" ht="17.25" hidden="1" customHeight="1">
      <c r="A43" s="521">
        <v>44582</v>
      </c>
      <c r="B43" s="536"/>
      <c r="C43" s="534" t="s">
        <v>179</v>
      </c>
      <c r="D43" s="524"/>
      <c r="E43" s="525"/>
      <c r="F43" s="525"/>
      <c r="G43" s="525"/>
      <c r="H43" s="525"/>
      <c r="I43" s="525"/>
      <c r="J43" s="525"/>
      <c r="K43" s="525"/>
      <c r="L43" s="525"/>
      <c r="M43" s="525"/>
      <c r="N43" s="525"/>
      <c r="O43" s="525"/>
      <c r="P43" s="525"/>
      <c r="Q43" s="525"/>
      <c r="R43" s="525">
        <v>726.38</v>
      </c>
      <c r="S43" s="525"/>
      <c r="T43" s="525"/>
      <c r="U43" s="525"/>
      <c r="V43" s="525"/>
      <c r="W43" s="525"/>
      <c r="Y43" s="519"/>
      <c r="Z43" s="519"/>
    </row>
    <row r="44" spans="1:26" ht="17.25" hidden="1" customHeight="1">
      <c r="A44" s="521">
        <v>44585</v>
      </c>
      <c r="B44" s="536"/>
      <c r="C44" s="534" t="s">
        <v>180</v>
      </c>
      <c r="D44" s="524"/>
      <c r="E44" s="525"/>
      <c r="F44" s="525"/>
      <c r="G44" s="525"/>
      <c r="H44" s="525"/>
      <c r="I44" s="525"/>
      <c r="J44" s="525"/>
      <c r="K44" s="525"/>
      <c r="L44" s="525"/>
      <c r="M44" s="525"/>
      <c r="N44" s="525"/>
      <c r="O44" s="525">
        <v>33.770000000000003</v>
      </c>
      <c r="P44" s="525"/>
      <c r="Q44" s="525"/>
      <c r="R44" s="525"/>
      <c r="S44" s="525"/>
      <c r="T44" s="525"/>
      <c r="U44" s="525"/>
      <c r="V44" s="525"/>
      <c r="W44" s="525"/>
      <c r="Y44" s="519"/>
      <c r="Z44" s="519"/>
    </row>
    <row r="45" spans="1:26" ht="17.25" hidden="1" customHeight="1">
      <c r="A45" s="521">
        <v>44586</v>
      </c>
      <c r="B45" s="536"/>
      <c r="C45" s="534" t="s">
        <v>181</v>
      </c>
      <c r="D45" s="524"/>
      <c r="E45" s="525"/>
      <c r="F45" s="525"/>
      <c r="G45" s="525"/>
      <c r="H45" s="525"/>
      <c r="I45" s="525"/>
      <c r="J45" s="525"/>
      <c r="K45" s="525"/>
      <c r="L45" s="525"/>
      <c r="M45" s="525"/>
      <c r="N45" s="525"/>
      <c r="O45" s="525">
        <v>272.69</v>
      </c>
      <c r="P45" s="525"/>
      <c r="Q45" s="525"/>
      <c r="R45" s="525"/>
      <c r="S45" s="525"/>
      <c r="T45" s="525"/>
      <c r="U45" s="525"/>
      <c r="V45" s="525"/>
      <c r="W45" s="525"/>
      <c r="Y45" s="519"/>
      <c r="Z45" s="519"/>
    </row>
    <row r="46" spans="1:26" ht="17.25" hidden="1" customHeight="1">
      <c r="A46" s="521">
        <v>44586</v>
      </c>
      <c r="B46" s="537"/>
      <c r="C46" s="534" t="s">
        <v>182</v>
      </c>
      <c r="D46" s="524"/>
      <c r="E46" s="525"/>
      <c r="F46" s="525">
        <v>-2650</v>
      </c>
      <c r="G46" s="525"/>
      <c r="H46" s="525"/>
      <c r="I46" s="525"/>
      <c r="J46" s="525"/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Y46" s="519"/>
      <c r="Z46" s="519"/>
    </row>
    <row r="47" spans="1:26" ht="17.25" hidden="1" customHeight="1">
      <c r="A47" s="521">
        <v>44588</v>
      </c>
      <c r="B47" s="537"/>
      <c r="C47" s="534" t="s">
        <v>182</v>
      </c>
      <c r="D47" s="524"/>
      <c r="E47" s="525"/>
      <c r="F47" s="525">
        <v>-3912.52</v>
      </c>
      <c r="G47" s="525"/>
      <c r="H47" s="525"/>
      <c r="I47" s="525"/>
      <c r="J47" s="525"/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Y47" s="519"/>
      <c r="Z47" s="519"/>
    </row>
    <row r="48" spans="1:26" ht="17.25" hidden="1" customHeight="1">
      <c r="A48" s="521">
        <v>44592</v>
      </c>
      <c r="B48" s="536"/>
      <c r="C48" s="534" t="s">
        <v>178</v>
      </c>
      <c r="D48" s="524"/>
      <c r="E48" s="525"/>
      <c r="F48" s="525"/>
      <c r="G48" s="525"/>
      <c r="H48" s="525"/>
      <c r="I48" s="525"/>
      <c r="J48" s="525"/>
      <c r="K48" s="525"/>
      <c r="L48" s="525"/>
      <c r="M48" s="525"/>
      <c r="N48" s="525"/>
      <c r="O48" s="525">
        <v>35.01</v>
      </c>
      <c r="P48" s="525"/>
      <c r="Q48" s="525"/>
      <c r="R48" s="525"/>
      <c r="S48" s="525"/>
      <c r="T48" s="525"/>
      <c r="U48" s="525"/>
      <c r="V48" s="525"/>
      <c r="W48" s="525"/>
      <c r="Y48" s="519"/>
      <c r="Z48" s="519"/>
    </row>
    <row r="49" spans="1:26" ht="17.25" hidden="1" customHeight="1" thickBot="1">
      <c r="A49" s="538">
        <v>44592</v>
      </c>
      <c r="B49" s="539"/>
      <c r="C49" s="540" t="s">
        <v>183</v>
      </c>
      <c r="D49" s="541"/>
      <c r="E49" s="542"/>
      <c r="F49" s="542"/>
      <c r="G49" s="542"/>
      <c r="H49" s="542"/>
      <c r="I49" s="542"/>
      <c r="J49" s="542"/>
      <c r="K49" s="542"/>
      <c r="L49" s="542"/>
      <c r="M49" s="542"/>
      <c r="N49" s="542"/>
      <c r="O49" s="542"/>
      <c r="P49" s="542"/>
      <c r="Q49" s="542"/>
      <c r="R49" s="542"/>
      <c r="S49" s="542">
        <v>20.46</v>
      </c>
      <c r="T49" s="542"/>
      <c r="U49" s="542"/>
      <c r="V49" s="542"/>
      <c r="W49" s="542"/>
      <c r="Y49" s="519"/>
      <c r="Z49" s="519"/>
    </row>
    <row r="50" spans="1:26" ht="17.25" hidden="1" customHeight="1" thickTop="1">
      <c r="A50" s="543"/>
      <c r="B50" s="544">
        <v>44593</v>
      </c>
      <c r="C50" s="545"/>
      <c r="D50" s="545"/>
      <c r="E50" s="545"/>
      <c r="F50" s="545"/>
      <c r="G50" s="545"/>
      <c r="H50" s="545"/>
      <c r="I50" s="545"/>
      <c r="J50" s="545"/>
      <c r="K50" s="545"/>
      <c r="L50" s="545"/>
      <c r="M50" s="545"/>
      <c r="N50" s="545"/>
      <c r="O50" s="545"/>
      <c r="P50" s="545"/>
      <c r="Q50" s="545"/>
      <c r="R50" s="545"/>
      <c r="S50" s="545"/>
      <c r="T50" s="545"/>
      <c r="U50" s="545"/>
      <c r="V50" s="545"/>
      <c r="W50" s="545"/>
      <c r="Y50" s="519"/>
      <c r="Z50" s="519"/>
    </row>
    <row r="51" spans="1:26" ht="17.25" hidden="1" customHeight="1">
      <c r="A51" s="521">
        <v>44593</v>
      </c>
      <c r="B51" s="546"/>
      <c r="C51" s="523" t="s">
        <v>62</v>
      </c>
      <c r="D51" s="524"/>
      <c r="E51" s="525"/>
      <c r="F51" s="525"/>
      <c r="G51" s="525"/>
      <c r="H51" s="525"/>
      <c r="I51" s="525"/>
      <c r="J51" s="525"/>
      <c r="K51" s="525"/>
      <c r="L51" s="525"/>
      <c r="M51" s="525"/>
      <c r="N51" s="525"/>
      <c r="O51" s="525"/>
      <c r="P51" s="525"/>
      <c r="Q51" s="525"/>
      <c r="R51" s="525"/>
      <c r="S51" s="525"/>
      <c r="T51" s="525"/>
      <c r="U51" s="525"/>
      <c r="V51" s="525">
        <v>1036.55</v>
      </c>
      <c r="W51" s="525"/>
      <c r="Y51" s="519"/>
      <c r="Z51" s="519"/>
    </row>
    <row r="52" spans="1:26" ht="17.25" hidden="1" customHeight="1">
      <c r="A52" s="521">
        <v>44593</v>
      </c>
      <c r="B52" s="522" t="s">
        <v>184</v>
      </c>
      <c r="C52" s="523" t="s">
        <v>63</v>
      </c>
      <c r="D52" s="524"/>
      <c r="E52" s="525"/>
      <c r="F52" s="525"/>
      <c r="G52" s="525"/>
      <c r="H52" s="525"/>
      <c r="I52" s="525"/>
      <c r="J52" s="525"/>
      <c r="K52" s="525"/>
      <c r="L52" s="525"/>
      <c r="M52" s="525"/>
      <c r="N52" s="525"/>
      <c r="O52" s="525"/>
      <c r="P52" s="525"/>
      <c r="Q52" s="525"/>
      <c r="R52" s="525"/>
      <c r="S52" s="525"/>
      <c r="T52" s="525">
        <v>261.2</v>
      </c>
      <c r="U52" s="525"/>
      <c r="V52" s="525"/>
      <c r="W52" s="525"/>
      <c r="Y52" s="519"/>
      <c r="Z52" s="519"/>
    </row>
    <row r="53" spans="1:26" ht="17.25" hidden="1" customHeight="1">
      <c r="A53" s="521">
        <v>44593</v>
      </c>
      <c r="B53" s="522">
        <v>0.83940000000000003</v>
      </c>
      <c r="C53" s="523" t="s">
        <v>64</v>
      </c>
      <c r="D53" s="524"/>
      <c r="E53" s="525"/>
      <c r="F53" s="525"/>
      <c r="G53" s="525"/>
      <c r="H53" s="525"/>
      <c r="I53" s="525"/>
      <c r="J53" s="525"/>
      <c r="K53" s="525"/>
      <c r="L53" s="525"/>
      <c r="M53" s="525"/>
      <c r="N53" s="525"/>
      <c r="O53" s="525"/>
      <c r="P53" s="525"/>
      <c r="Q53" s="525"/>
      <c r="R53" s="525"/>
      <c r="S53" s="525"/>
      <c r="T53" s="525">
        <v>700</v>
      </c>
      <c r="U53" s="525"/>
      <c r="V53" s="525"/>
      <c r="W53" s="525"/>
      <c r="Y53" s="519"/>
      <c r="Z53" s="519"/>
    </row>
    <row r="54" spans="1:26" ht="17.25" hidden="1" customHeight="1">
      <c r="A54" s="521">
        <v>44595</v>
      </c>
      <c r="B54" s="529"/>
      <c r="C54" s="523" t="s">
        <v>65</v>
      </c>
      <c r="D54" s="524"/>
      <c r="E54" s="525"/>
      <c r="F54" s="525"/>
      <c r="G54" s="525"/>
      <c r="H54" s="525"/>
      <c r="I54" s="525"/>
      <c r="J54" s="525"/>
      <c r="K54" s="525"/>
      <c r="L54" s="525"/>
      <c r="M54" s="525"/>
      <c r="N54" s="525"/>
      <c r="O54" s="525"/>
      <c r="P54" s="525"/>
      <c r="Q54" s="525"/>
      <c r="R54" s="525"/>
      <c r="S54" s="525"/>
      <c r="T54" s="525">
        <v>18</v>
      </c>
      <c r="U54" s="525"/>
      <c r="V54" s="525"/>
      <c r="W54" s="525"/>
      <c r="Y54" s="519"/>
      <c r="Z54" s="519"/>
    </row>
    <row r="55" spans="1:26" ht="17.25" hidden="1" customHeight="1">
      <c r="A55" s="521">
        <v>44595</v>
      </c>
      <c r="B55" s="526"/>
      <c r="C55" s="523" t="s">
        <v>167</v>
      </c>
      <c r="D55" s="524"/>
      <c r="E55" s="525"/>
      <c r="F55" s="525"/>
      <c r="G55" s="525"/>
      <c r="H55" s="525"/>
      <c r="I55" s="525"/>
      <c r="J55" s="525"/>
      <c r="K55" s="525"/>
      <c r="L55" s="525"/>
      <c r="M55" s="525"/>
      <c r="N55" s="525"/>
      <c r="O55" s="525"/>
      <c r="P55" s="525"/>
      <c r="Q55" s="525"/>
      <c r="R55" s="525"/>
      <c r="S55" s="525">
        <v>9.16</v>
      </c>
      <c r="T55" s="525"/>
      <c r="U55" s="525"/>
      <c r="V55" s="525"/>
      <c r="W55" s="525"/>
      <c r="Y55" s="519"/>
      <c r="Z55" s="519"/>
    </row>
    <row r="56" spans="1:26" ht="17.25" hidden="1" customHeight="1">
      <c r="A56" s="521">
        <v>44607</v>
      </c>
      <c r="B56" s="526"/>
      <c r="C56" s="523" t="s">
        <v>64</v>
      </c>
      <c r="D56" s="524"/>
      <c r="E56" s="525"/>
      <c r="F56" s="525"/>
      <c r="G56" s="525"/>
      <c r="H56" s="525"/>
      <c r="I56" s="525"/>
      <c r="J56" s="525"/>
      <c r="K56" s="525"/>
      <c r="L56" s="525"/>
      <c r="M56" s="525"/>
      <c r="N56" s="525"/>
      <c r="O56" s="525"/>
      <c r="P56" s="525"/>
      <c r="Q56" s="525"/>
      <c r="R56" s="525"/>
      <c r="S56" s="525"/>
      <c r="T56" s="525">
        <v>500</v>
      </c>
      <c r="U56" s="525"/>
      <c r="V56" s="525"/>
      <c r="W56" s="525"/>
      <c r="Y56" s="519"/>
      <c r="Z56" s="519"/>
    </row>
    <row r="57" spans="1:26" ht="17.25" hidden="1" customHeight="1">
      <c r="A57" s="521">
        <v>44607</v>
      </c>
      <c r="B57" s="526"/>
      <c r="C57" s="523" t="s">
        <v>168</v>
      </c>
      <c r="D57" s="524"/>
      <c r="E57" s="525"/>
      <c r="F57" s="525"/>
      <c r="G57" s="525"/>
      <c r="H57" s="525"/>
      <c r="I57" s="525"/>
      <c r="J57" s="525"/>
      <c r="K57" s="525"/>
      <c r="L57" s="525"/>
      <c r="M57" s="525"/>
      <c r="N57" s="525"/>
      <c r="O57" s="525"/>
      <c r="P57" s="525"/>
      <c r="Q57" s="525"/>
      <c r="R57" s="525"/>
      <c r="S57" s="525"/>
      <c r="T57" s="525">
        <v>1608.88</v>
      </c>
      <c r="U57" s="525"/>
      <c r="V57" s="525"/>
      <c r="W57" s="525"/>
      <c r="Y57" s="519"/>
      <c r="Z57" s="519"/>
    </row>
    <row r="58" spans="1:26" ht="17.25" hidden="1" customHeight="1">
      <c r="A58" s="521">
        <v>44609</v>
      </c>
      <c r="B58" s="526"/>
      <c r="C58" s="523" t="s">
        <v>111</v>
      </c>
      <c r="D58" s="524"/>
      <c r="E58" s="525"/>
      <c r="F58" s="525"/>
      <c r="G58" s="525"/>
      <c r="H58" s="525"/>
      <c r="I58" s="525"/>
      <c r="J58" s="528"/>
      <c r="K58" s="525">
        <v>29.99</v>
      </c>
      <c r="L58" s="525"/>
      <c r="M58" s="525"/>
      <c r="N58" s="525"/>
      <c r="O58" s="525"/>
      <c r="P58" s="525"/>
      <c r="Q58" s="525"/>
      <c r="R58" s="525"/>
      <c r="S58" s="525"/>
      <c r="T58" s="525"/>
      <c r="U58" s="525"/>
      <c r="V58" s="525"/>
      <c r="W58" s="525"/>
      <c r="Y58" s="519"/>
      <c r="Z58" s="519"/>
    </row>
    <row r="59" spans="1:26" ht="17.25" hidden="1" customHeight="1">
      <c r="A59" s="521">
        <v>44610</v>
      </c>
      <c r="B59" s="526"/>
      <c r="C59" s="523" t="s">
        <v>78</v>
      </c>
      <c r="D59" s="524"/>
      <c r="E59" s="525"/>
      <c r="F59" s="525"/>
      <c r="G59" s="525"/>
      <c r="H59" s="525"/>
      <c r="I59" s="525"/>
      <c r="J59" s="525">
        <v>20.21</v>
      </c>
      <c r="K59" s="525"/>
      <c r="L59" s="525"/>
      <c r="M59" s="525"/>
      <c r="N59" s="525"/>
      <c r="O59" s="525"/>
      <c r="P59" s="525"/>
      <c r="Q59" s="525"/>
      <c r="R59" s="525"/>
      <c r="S59" s="525"/>
      <c r="T59" s="525"/>
      <c r="U59" s="525"/>
      <c r="V59" s="525"/>
      <c r="W59" s="525"/>
      <c r="Y59" s="519"/>
      <c r="Z59" s="519"/>
    </row>
    <row r="60" spans="1:26" ht="17.25" hidden="1" customHeight="1">
      <c r="A60" s="521">
        <v>44613</v>
      </c>
      <c r="B60" s="526"/>
      <c r="C60" s="523" t="s">
        <v>77</v>
      </c>
      <c r="D60" s="524"/>
      <c r="E60" s="525"/>
      <c r="F60" s="525"/>
      <c r="G60" s="525"/>
      <c r="H60" s="525"/>
      <c r="I60" s="525"/>
      <c r="J60" s="525"/>
      <c r="K60" s="525"/>
      <c r="L60" s="525"/>
      <c r="M60" s="525"/>
      <c r="N60" s="525"/>
      <c r="O60" s="525"/>
      <c r="P60" s="525"/>
      <c r="Q60" s="525"/>
      <c r="R60" s="525"/>
      <c r="S60" s="525"/>
      <c r="T60" s="525">
        <v>80</v>
      </c>
      <c r="U60" s="525"/>
      <c r="V60" s="525"/>
      <c r="W60" s="525"/>
      <c r="Y60" s="519"/>
      <c r="Z60" s="519"/>
    </row>
    <row r="61" spans="1:26" ht="17.25" hidden="1" customHeight="1">
      <c r="A61" s="521">
        <v>44614</v>
      </c>
      <c r="B61" s="526"/>
      <c r="C61" s="523" t="s">
        <v>64</v>
      </c>
      <c r="D61" s="524"/>
      <c r="E61" s="525"/>
      <c r="F61" s="525"/>
      <c r="G61" s="525"/>
      <c r="H61" s="525"/>
      <c r="I61" s="525"/>
      <c r="J61" s="525"/>
      <c r="K61" s="525"/>
      <c r="L61" s="525"/>
      <c r="M61" s="525"/>
      <c r="N61" s="525"/>
      <c r="O61" s="525"/>
      <c r="P61" s="525"/>
      <c r="Q61" s="525"/>
      <c r="R61" s="525"/>
      <c r="S61" s="525"/>
      <c r="T61" s="525">
        <v>300</v>
      </c>
      <c r="U61" s="525"/>
      <c r="V61" s="525"/>
      <c r="W61" s="525"/>
      <c r="Y61" s="519"/>
      <c r="Z61" s="519"/>
    </row>
    <row r="62" spans="1:26" ht="17.25" hidden="1" customHeight="1">
      <c r="A62" s="521">
        <v>44617</v>
      </c>
      <c r="B62" s="526"/>
      <c r="C62" s="523" t="s">
        <v>86</v>
      </c>
      <c r="D62" s="524"/>
      <c r="E62" s="525">
        <v>212.91</v>
      </c>
      <c r="F62" s="525"/>
      <c r="G62" s="525"/>
      <c r="H62" s="525"/>
      <c r="I62" s="525"/>
      <c r="J62" s="525"/>
      <c r="K62" s="525"/>
      <c r="L62" s="525"/>
      <c r="M62" s="525"/>
      <c r="N62" s="525"/>
      <c r="O62" s="525"/>
      <c r="P62" s="525"/>
      <c r="Q62" s="525"/>
      <c r="R62" s="525"/>
      <c r="S62" s="525"/>
      <c r="T62" s="525"/>
      <c r="U62" s="525"/>
      <c r="V62" s="525"/>
      <c r="W62" s="525"/>
      <c r="Y62" s="519"/>
      <c r="Z62" s="519"/>
    </row>
    <row r="63" spans="1:26" ht="17.25" hidden="1" customHeight="1">
      <c r="A63" s="521" t="s">
        <v>185</v>
      </c>
      <c r="B63" s="529"/>
      <c r="C63" s="523" t="s">
        <v>186</v>
      </c>
      <c r="D63" s="524"/>
      <c r="E63" s="525"/>
      <c r="F63" s="525"/>
      <c r="G63" s="525"/>
      <c r="H63" s="525"/>
      <c r="I63" s="525"/>
      <c r="J63" s="528"/>
      <c r="K63" s="525">
        <v>107.19</v>
      </c>
      <c r="L63" s="525"/>
      <c r="M63" s="525"/>
      <c r="N63" s="525"/>
      <c r="O63" s="525"/>
      <c r="P63" s="525"/>
      <c r="Q63" s="525"/>
      <c r="R63" s="525"/>
      <c r="S63" s="525"/>
      <c r="T63" s="525"/>
      <c r="U63" s="525"/>
      <c r="V63" s="525"/>
      <c r="W63" s="525"/>
      <c r="Y63" s="519"/>
      <c r="Z63" s="519"/>
    </row>
    <row r="64" spans="1:26" ht="17.25" hidden="1" customHeight="1">
      <c r="A64" s="547"/>
      <c r="B64" s="548"/>
      <c r="C64" s="549"/>
      <c r="D64" s="524"/>
      <c r="E64" s="550"/>
      <c r="F64" s="550"/>
      <c r="G64" s="550"/>
      <c r="H64" s="550"/>
      <c r="I64" s="550"/>
      <c r="J64" s="550"/>
      <c r="K64" s="550"/>
      <c r="L64" s="550"/>
      <c r="M64" s="550"/>
      <c r="N64" s="550"/>
      <c r="O64" s="550"/>
      <c r="P64" s="550"/>
      <c r="Q64" s="550"/>
      <c r="R64" s="550"/>
      <c r="S64" s="550"/>
      <c r="T64" s="550"/>
      <c r="U64" s="550"/>
      <c r="V64" s="550"/>
      <c r="W64" s="550"/>
      <c r="Y64" s="519"/>
      <c r="Z64" s="519"/>
    </row>
    <row r="65" spans="1:26" ht="17.25" hidden="1" customHeight="1">
      <c r="A65" s="521">
        <v>44595</v>
      </c>
      <c r="B65" s="551"/>
      <c r="C65" s="552" t="s">
        <v>187</v>
      </c>
      <c r="D65" s="524"/>
      <c r="E65" s="525"/>
      <c r="F65" s="525"/>
      <c r="G65" s="525"/>
      <c r="H65" s="525"/>
      <c r="I65" s="525"/>
      <c r="J65" s="525"/>
      <c r="K65" s="525"/>
      <c r="L65" s="525"/>
      <c r="M65" s="525"/>
      <c r="N65" s="525"/>
      <c r="O65" s="525">
        <v>93.55</v>
      </c>
      <c r="P65" s="525"/>
      <c r="Q65" s="525"/>
      <c r="R65" s="525"/>
      <c r="S65" s="525"/>
      <c r="T65" s="525"/>
      <c r="U65" s="525"/>
      <c r="V65" s="525"/>
      <c r="W65" s="525"/>
      <c r="Y65" s="519"/>
      <c r="Z65" s="519"/>
    </row>
    <row r="66" spans="1:26" ht="17.25" hidden="1" customHeight="1">
      <c r="A66" s="521">
        <v>44599</v>
      </c>
      <c r="B66" s="551"/>
      <c r="C66" s="552" t="s">
        <v>174</v>
      </c>
      <c r="D66" s="524"/>
      <c r="E66" s="525"/>
      <c r="F66" s="525"/>
      <c r="G66" s="525"/>
      <c r="H66" s="525"/>
      <c r="I66" s="525"/>
      <c r="J66" s="525"/>
      <c r="K66" s="525">
        <v>11.91</v>
      </c>
      <c r="L66" s="525"/>
      <c r="M66" s="525"/>
      <c r="N66" s="525"/>
      <c r="O66" s="525"/>
      <c r="P66" s="525"/>
      <c r="Q66" s="525"/>
      <c r="R66" s="525"/>
      <c r="S66" s="525"/>
      <c r="T66" s="525"/>
      <c r="U66" s="525"/>
      <c r="V66" s="525"/>
      <c r="W66" s="525"/>
      <c r="Y66" s="519"/>
      <c r="Z66" s="519"/>
    </row>
    <row r="67" spans="1:26" ht="17.25" hidden="1" customHeight="1">
      <c r="A67" s="521">
        <v>44599</v>
      </c>
      <c r="B67" s="551"/>
      <c r="C67" s="552" t="s">
        <v>174</v>
      </c>
      <c r="D67" s="524"/>
      <c r="E67" s="525"/>
      <c r="F67" s="525"/>
      <c r="G67" s="525"/>
      <c r="H67" s="525"/>
      <c r="I67" s="525"/>
      <c r="J67" s="525"/>
      <c r="K67" s="525">
        <v>11.91</v>
      </c>
      <c r="L67" s="525"/>
      <c r="M67" s="525"/>
      <c r="N67" s="525"/>
      <c r="O67" s="525"/>
      <c r="P67" s="525"/>
      <c r="Q67" s="525"/>
      <c r="R67" s="525"/>
      <c r="S67" s="525"/>
      <c r="T67" s="525"/>
      <c r="U67" s="525"/>
      <c r="V67" s="525"/>
      <c r="W67" s="525"/>
      <c r="Y67" s="519"/>
      <c r="Z67" s="519"/>
    </row>
    <row r="68" spans="1:26" ht="17.25" hidden="1" customHeight="1">
      <c r="A68" s="521">
        <v>44599</v>
      </c>
      <c r="B68" s="551"/>
      <c r="C68" s="552" t="s">
        <v>174</v>
      </c>
      <c r="D68" s="524"/>
      <c r="E68" s="525"/>
      <c r="F68" s="525"/>
      <c r="G68" s="525"/>
      <c r="H68" s="525"/>
      <c r="I68" s="525"/>
      <c r="J68" s="525"/>
      <c r="K68" s="525">
        <v>11.91</v>
      </c>
      <c r="L68" s="525"/>
      <c r="M68" s="525"/>
      <c r="N68" s="525"/>
      <c r="O68" s="525"/>
      <c r="P68" s="525"/>
      <c r="Q68" s="525"/>
      <c r="R68" s="525"/>
      <c r="S68" s="525"/>
      <c r="T68" s="525"/>
      <c r="U68" s="525"/>
      <c r="V68" s="525"/>
      <c r="W68" s="525"/>
      <c r="Y68" s="519"/>
      <c r="Z68" s="519"/>
    </row>
    <row r="69" spans="1:26" ht="17.25" hidden="1" customHeight="1">
      <c r="A69" s="521">
        <v>44599</v>
      </c>
      <c r="B69" s="551"/>
      <c r="C69" s="552" t="s">
        <v>174</v>
      </c>
      <c r="D69" s="524"/>
      <c r="E69" s="525"/>
      <c r="F69" s="525"/>
      <c r="G69" s="525"/>
      <c r="H69" s="525"/>
      <c r="I69" s="525"/>
      <c r="J69" s="525"/>
      <c r="K69" s="525">
        <v>11.91</v>
      </c>
      <c r="L69" s="525"/>
      <c r="M69" s="525"/>
      <c r="N69" s="525"/>
      <c r="O69" s="525"/>
      <c r="P69" s="525"/>
      <c r="Q69" s="525"/>
      <c r="R69" s="525"/>
      <c r="S69" s="525"/>
      <c r="T69" s="525"/>
      <c r="U69" s="525"/>
      <c r="V69" s="525"/>
      <c r="W69" s="525"/>
      <c r="Y69" s="519"/>
      <c r="Z69" s="519"/>
    </row>
    <row r="70" spans="1:26" ht="17.25" hidden="1" customHeight="1">
      <c r="A70" s="521">
        <v>44599</v>
      </c>
      <c r="B70" s="551"/>
      <c r="C70" s="552" t="s">
        <v>188</v>
      </c>
      <c r="D70" s="524"/>
      <c r="E70" s="525"/>
      <c r="F70" s="525"/>
      <c r="G70" s="525"/>
      <c r="H70" s="525"/>
      <c r="I70" s="525"/>
      <c r="J70" s="525"/>
      <c r="K70" s="525"/>
      <c r="L70" s="525"/>
      <c r="M70" s="525">
        <v>12.3</v>
      </c>
      <c r="N70" s="525"/>
      <c r="O70" s="525"/>
      <c r="P70" s="525"/>
      <c r="Q70" s="525"/>
      <c r="R70" s="525"/>
      <c r="S70" s="525"/>
      <c r="T70" s="525"/>
      <c r="U70" s="525"/>
      <c r="V70" s="525"/>
      <c r="W70" s="525"/>
      <c r="Y70" s="519"/>
      <c r="Z70" s="519"/>
    </row>
    <row r="71" spans="1:26" ht="17.25" hidden="1" customHeight="1">
      <c r="A71" s="521">
        <v>44603</v>
      </c>
      <c r="B71" s="551"/>
      <c r="C71" s="552" t="s">
        <v>174</v>
      </c>
      <c r="D71" s="524"/>
      <c r="E71" s="525"/>
      <c r="F71" s="525"/>
      <c r="G71" s="525"/>
      <c r="H71" s="525"/>
      <c r="I71" s="525"/>
      <c r="J71" s="525"/>
      <c r="K71" s="525">
        <v>11.89</v>
      </c>
      <c r="L71" s="525"/>
      <c r="M71" s="525"/>
      <c r="N71" s="525"/>
      <c r="O71" s="525"/>
      <c r="P71" s="525"/>
      <c r="Q71" s="525"/>
      <c r="R71" s="525"/>
      <c r="S71" s="525"/>
      <c r="T71" s="525"/>
      <c r="U71" s="525"/>
      <c r="V71" s="525"/>
      <c r="W71" s="525"/>
      <c r="Y71" s="519"/>
      <c r="Z71" s="519"/>
    </row>
    <row r="72" spans="1:26" ht="17.25" hidden="1" customHeight="1">
      <c r="A72" s="521">
        <v>44603</v>
      </c>
      <c r="B72" s="551"/>
      <c r="C72" s="552" t="s">
        <v>174</v>
      </c>
      <c r="D72" s="524"/>
      <c r="E72" s="525"/>
      <c r="F72" s="525"/>
      <c r="G72" s="525"/>
      <c r="H72" s="525"/>
      <c r="I72" s="525"/>
      <c r="J72" s="525"/>
      <c r="K72" s="525">
        <v>11.89</v>
      </c>
      <c r="L72" s="525"/>
      <c r="M72" s="525"/>
      <c r="N72" s="525"/>
      <c r="O72" s="525"/>
      <c r="P72" s="525"/>
      <c r="Q72" s="525"/>
      <c r="R72" s="525"/>
      <c r="S72" s="525"/>
      <c r="T72" s="525"/>
      <c r="U72" s="525"/>
      <c r="V72" s="525"/>
      <c r="W72" s="525"/>
      <c r="Y72" s="519"/>
      <c r="Z72" s="519"/>
    </row>
    <row r="73" spans="1:26" ht="17.25" hidden="1" customHeight="1">
      <c r="A73" s="521">
        <v>44603</v>
      </c>
      <c r="B73" s="551"/>
      <c r="C73" s="552" t="s">
        <v>174</v>
      </c>
      <c r="D73" s="524"/>
      <c r="E73" s="525"/>
      <c r="F73" s="525"/>
      <c r="G73" s="525"/>
      <c r="H73" s="525"/>
      <c r="I73" s="525"/>
      <c r="J73" s="525"/>
      <c r="K73" s="525">
        <v>11.89</v>
      </c>
      <c r="L73" s="525"/>
      <c r="M73" s="525"/>
      <c r="N73" s="525"/>
      <c r="O73" s="525"/>
      <c r="P73" s="525"/>
      <c r="Q73" s="525"/>
      <c r="R73" s="525"/>
      <c r="S73" s="525"/>
      <c r="T73" s="525"/>
      <c r="U73" s="525"/>
      <c r="V73" s="525"/>
      <c r="W73" s="525"/>
      <c r="Y73" s="519"/>
      <c r="Z73" s="519"/>
    </row>
    <row r="74" spans="1:26" ht="17.25" hidden="1" customHeight="1">
      <c r="A74" s="521">
        <v>44607</v>
      </c>
      <c r="B74" s="551"/>
      <c r="C74" s="552" t="s">
        <v>182</v>
      </c>
      <c r="D74" s="524"/>
      <c r="E74" s="525">
        <v>96.36</v>
      </c>
      <c r="F74" s="525"/>
      <c r="G74" s="525"/>
      <c r="H74" s="525"/>
      <c r="I74" s="525"/>
      <c r="J74" s="525"/>
      <c r="K74" s="525"/>
      <c r="L74" s="525"/>
      <c r="M74" s="525"/>
      <c r="N74" s="525"/>
      <c r="O74" s="525"/>
      <c r="P74" s="525"/>
      <c r="Q74" s="525"/>
      <c r="R74" s="525"/>
      <c r="S74" s="525"/>
      <c r="T74" s="525"/>
      <c r="U74" s="525"/>
      <c r="V74" s="525"/>
      <c r="W74" s="525"/>
      <c r="Y74" s="519"/>
      <c r="Z74" s="519"/>
    </row>
    <row r="75" spans="1:26" ht="17.25" hidden="1" customHeight="1">
      <c r="A75" s="521">
        <v>44609</v>
      </c>
      <c r="B75" s="551" t="s">
        <v>189</v>
      </c>
      <c r="C75" s="552" t="s">
        <v>91</v>
      </c>
      <c r="D75" s="524">
        <v>5430</v>
      </c>
      <c r="E75" s="553"/>
      <c r="F75" s="525"/>
      <c r="G75" s="525"/>
      <c r="H75" s="525"/>
      <c r="I75" s="525"/>
      <c r="J75" s="525"/>
      <c r="K75" s="525"/>
      <c r="L75" s="525"/>
      <c r="M75" s="525"/>
      <c r="N75" s="525"/>
      <c r="O75" s="525"/>
      <c r="P75" s="525"/>
      <c r="Q75" s="525"/>
      <c r="R75" s="525"/>
      <c r="S75" s="525"/>
      <c r="T75" s="525"/>
      <c r="U75" s="525"/>
      <c r="V75" s="525"/>
      <c r="W75" s="525"/>
      <c r="Y75" s="519"/>
      <c r="Z75" s="519"/>
    </row>
    <row r="76" spans="1:26" ht="17.25" hidden="1" customHeight="1">
      <c r="A76" s="521">
        <v>44614</v>
      </c>
      <c r="B76" s="551"/>
      <c r="C76" s="552" t="s">
        <v>190</v>
      </c>
      <c r="D76" s="524"/>
      <c r="E76" s="525"/>
      <c r="F76" s="525"/>
      <c r="G76" s="525"/>
      <c r="H76" s="525"/>
      <c r="I76" s="525"/>
      <c r="J76" s="525"/>
      <c r="K76" s="525"/>
      <c r="L76" s="525">
        <v>317.22000000000003</v>
      </c>
      <c r="M76" s="525"/>
      <c r="N76" s="525"/>
      <c r="O76" s="525"/>
      <c r="P76" s="525"/>
      <c r="Q76" s="525"/>
      <c r="R76" s="525"/>
      <c r="S76" s="525"/>
      <c r="T76" s="525"/>
      <c r="U76" s="525"/>
      <c r="V76" s="525"/>
      <c r="W76" s="525"/>
      <c r="Y76" s="519"/>
      <c r="Z76" s="519"/>
    </row>
    <row r="77" spans="1:26" ht="17.25" hidden="1" customHeight="1">
      <c r="A77" s="521">
        <v>44614</v>
      </c>
      <c r="B77" s="551"/>
      <c r="C77" s="552" t="s">
        <v>191</v>
      </c>
      <c r="D77" s="524"/>
      <c r="E77" s="525"/>
      <c r="F77" s="525"/>
      <c r="G77" s="525"/>
      <c r="H77" s="525"/>
      <c r="I77" s="525"/>
      <c r="J77" s="525"/>
      <c r="K77" s="525"/>
      <c r="L77" s="525">
        <v>34.85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25"/>
      <c r="Y77" s="519"/>
      <c r="Z77" s="519"/>
    </row>
    <row r="78" spans="1:26" ht="17.25" hidden="1" customHeight="1">
      <c r="A78" s="521">
        <v>44614</v>
      </c>
      <c r="B78" s="551"/>
      <c r="C78" s="552" t="s">
        <v>191</v>
      </c>
      <c r="D78" s="524"/>
      <c r="E78" s="525"/>
      <c r="F78" s="525"/>
      <c r="G78" s="525"/>
      <c r="H78" s="525"/>
      <c r="I78" s="525"/>
      <c r="J78" s="525"/>
      <c r="K78" s="525"/>
      <c r="L78" s="525">
        <v>34.85</v>
      </c>
      <c r="M78" s="525"/>
      <c r="N78" s="525"/>
      <c r="O78" s="525"/>
      <c r="P78" s="525"/>
      <c r="Q78" s="525"/>
      <c r="R78" s="525"/>
      <c r="S78" s="525"/>
      <c r="T78" s="525"/>
      <c r="U78" s="525"/>
      <c r="V78" s="525"/>
      <c r="W78" s="525"/>
      <c r="Y78" s="519"/>
      <c r="Z78" s="519"/>
    </row>
    <row r="79" spans="1:26" ht="17.25" hidden="1" customHeight="1">
      <c r="A79" s="521">
        <v>44615</v>
      </c>
      <c r="B79" s="551"/>
      <c r="C79" s="552" t="s">
        <v>192</v>
      </c>
      <c r="D79" s="524"/>
      <c r="E79" s="525"/>
      <c r="F79" s="525"/>
      <c r="G79" s="525"/>
      <c r="H79" s="525"/>
      <c r="I79" s="525"/>
      <c r="J79" s="525"/>
      <c r="K79" s="525"/>
      <c r="L79" s="525"/>
      <c r="M79" s="525">
        <v>25.38</v>
      </c>
      <c r="N79" s="525"/>
      <c r="O79" s="525"/>
      <c r="P79" s="525"/>
      <c r="Q79" s="525"/>
      <c r="R79" s="525"/>
      <c r="S79" s="525"/>
      <c r="T79" s="525"/>
      <c r="U79" s="525"/>
      <c r="V79" s="525"/>
      <c r="W79" s="525"/>
      <c r="Y79" s="519"/>
      <c r="Z79" s="519"/>
    </row>
    <row r="80" spans="1:26" ht="17.25" hidden="1" customHeight="1">
      <c r="A80" s="521">
        <v>44620</v>
      </c>
      <c r="B80" s="551"/>
      <c r="C80" s="552" t="s">
        <v>193</v>
      </c>
      <c r="D80" s="524"/>
      <c r="E80" s="525"/>
      <c r="F80" s="525"/>
      <c r="G80" s="525"/>
      <c r="H80" s="525"/>
      <c r="I80" s="525"/>
      <c r="J80" s="525"/>
      <c r="K80" s="525"/>
      <c r="L80" s="525"/>
      <c r="M80" s="525"/>
      <c r="N80" s="525"/>
      <c r="O80" s="525"/>
      <c r="P80" s="525"/>
      <c r="Q80" s="525"/>
      <c r="R80" s="525"/>
      <c r="S80" s="525">
        <v>19.27</v>
      </c>
      <c r="T80" s="525"/>
      <c r="U80" s="525"/>
      <c r="V80" s="525"/>
      <c r="W80" s="525"/>
      <c r="Y80" s="519"/>
      <c r="Z80" s="519"/>
    </row>
    <row r="81" spans="1:26" ht="17.25" hidden="1" customHeight="1">
      <c r="A81" s="521">
        <v>44620</v>
      </c>
      <c r="B81" s="551"/>
      <c r="C81" s="534" t="s">
        <v>194</v>
      </c>
      <c r="D81" s="524"/>
      <c r="E81" s="525"/>
      <c r="F81" s="525"/>
      <c r="G81" s="525"/>
      <c r="H81" s="525"/>
      <c r="I81" s="525"/>
      <c r="J81" s="525"/>
      <c r="K81" s="525"/>
      <c r="L81" s="525"/>
      <c r="M81" s="525"/>
      <c r="N81" s="525"/>
      <c r="O81" s="525"/>
      <c r="P81" s="525"/>
      <c r="Q81" s="525"/>
      <c r="R81" s="525"/>
      <c r="S81" s="525">
        <v>9.16</v>
      </c>
      <c r="T81" s="525"/>
      <c r="U81" s="525"/>
      <c r="V81" s="525"/>
      <c r="W81" s="525"/>
      <c r="Y81" s="519"/>
      <c r="Z81" s="519"/>
    </row>
    <row r="82" spans="1:26" ht="17.25" hidden="1" customHeight="1">
      <c r="A82" s="521">
        <v>44620</v>
      </c>
      <c r="B82" s="551"/>
      <c r="C82" s="552" t="s">
        <v>190</v>
      </c>
      <c r="D82" s="524"/>
      <c r="E82" s="525"/>
      <c r="F82" s="525"/>
      <c r="G82" s="525"/>
      <c r="H82" s="525"/>
      <c r="I82" s="525"/>
      <c r="J82" s="525"/>
      <c r="K82" s="525"/>
      <c r="L82" s="525">
        <v>352.69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25"/>
      <c r="Y82" s="519"/>
      <c r="Z82" s="519"/>
    </row>
    <row r="83" spans="1:26" ht="17.25" hidden="1" customHeight="1">
      <c r="A83" s="521">
        <v>44620</v>
      </c>
      <c r="B83" s="551"/>
      <c r="C83" s="552" t="s">
        <v>195</v>
      </c>
      <c r="D83" s="524"/>
      <c r="E83" s="525"/>
      <c r="F83" s="525"/>
      <c r="G83" s="525"/>
      <c r="H83" s="525"/>
      <c r="I83" s="525"/>
      <c r="J83" s="525"/>
      <c r="K83" s="525"/>
      <c r="L83" s="525">
        <v>643.25</v>
      </c>
      <c r="M83" s="525"/>
      <c r="N83" s="525"/>
      <c r="O83" s="525"/>
      <c r="P83" s="525"/>
      <c r="Q83" s="525"/>
      <c r="R83" s="525"/>
      <c r="S83" s="525"/>
      <c r="T83" s="525"/>
      <c r="U83" s="525"/>
      <c r="V83" s="525"/>
      <c r="W83" s="525"/>
      <c r="Y83" s="519"/>
      <c r="Z83" s="519"/>
    </row>
    <row r="84" spans="1:26" ht="17.25" hidden="1" customHeight="1" thickBot="1">
      <c r="A84" s="521">
        <v>44620</v>
      </c>
      <c r="B84" s="551"/>
      <c r="C84" s="552" t="s">
        <v>172</v>
      </c>
      <c r="D84" s="524"/>
      <c r="E84" s="525"/>
      <c r="F84" s="525"/>
      <c r="G84" s="525"/>
      <c r="H84" s="525"/>
      <c r="I84" s="525"/>
      <c r="J84" s="525"/>
      <c r="K84" s="525"/>
      <c r="L84" s="525"/>
      <c r="M84" s="525"/>
      <c r="N84" s="525"/>
      <c r="O84" s="525"/>
      <c r="P84" s="525">
        <v>43.8</v>
      </c>
      <c r="Q84" s="525"/>
      <c r="R84" s="525"/>
      <c r="S84" s="525"/>
      <c r="T84" s="525"/>
      <c r="U84" s="525"/>
      <c r="V84" s="525"/>
      <c r="W84" s="525"/>
      <c r="Y84" s="519"/>
      <c r="Z84" s="519"/>
    </row>
    <row r="85" spans="1:26" ht="17.25" hidden="1" customHeight="1" thickTop="1">
      <c r="A85" s="543"/>
      <c r="B85" s="554">
        <v>44621</v>
      </c>
      <c r="C85" s="545"/>
      <c r="D85" s="545"/>
      <c r="E85" s="545"/>
      <c r="F85" s="545"/>
      <c r="G85" s="545"/>
      <c r="H85" s="545"/>
      <c r="I85" s="545"/>
      <c r="J85" s="545"/>
      <c r="K85" s="545"/>
      <c r="L85" s="545"/>
      <c r="M85" s="545"/>
      <c r="N85" s="545"/>
      <c r="O85" s="545"/>
      <c r="P85" s="545"/>
      <c r="Q85" s="545"/>
      <c r="R85" s="545"/>
      <c r="S85" s="545"/>
      <c r="T85" s="545"/>
      <c r="U85" s="545"/>
      <c r="V85" s="545"/>
      <c r="W85" s="545"/>
      <c r="Y85" s="519"/>
      <c r="Z85" s="519"/>
    </row>
    <row r="86" spans="1:26" ht="17.25" hidden="1" customHeight="1">
      <c r="A86" s="521">
        <v>44621</v>
      </c>
      <c r="B86" s="555"/>
      <c r="C86" s="556" t="s">
        <v>62</v>
      </c>
      <c r="D86" s="524"/>
      <c r="E86" s="525"/>
      <c r="F86" s="525"/>
      <c r="G86" s="525"/>
      <c r="H86" s="525"/>
      <c r="I86" s="525"/>
      <c r="J86" s="525"/>
      <c r="K86" s="525"/>
      <c r="L86" s="525"/>
      <c r="M86" s="525"/>
      <c r="N86" s="525"/>
      <c r="O86" s="525"/>
      <c r="P86" s="525"/>
      <c r="Q86" s="525"/>
      <c r="R86" s="525"/>
      <c r="S86" s="525"/>
      <c r="T86" s="525"/>
      <c r="U86" s="525"/>
      <c r="V86" s="525">
        <v>1036.55</v>
      </c>
      <c r="W86" s="525"/>
      <c r="Y86" s="519"/>
      <c r="Z86" s="519"/>
    </row>
    <row r="87" spans="1:26" ht="17.25" hidden="1" customHeight="1">
      <c r="A87" s="521">
        <v>44621</v>
      </c>
      <c r="B87" s="522" t="s">
        <v>196</v>
      </c>
      <c r="C87" s="523" t="s">
        <v>63</v>
      </c>
      <c r="D87" s="524"/>
      <c r="E87" s="525"/>
      <c r="F87" s="525"/>
      <c r="G87" s="525"/>
      <c r="H87" s="525"/>
      <c r="I87" s="525"/>
      <c r="J87" s="525"/>
      <c r="K87" s="525"/>
      <c r="L87" s="525"/>
      <c r="M87" s="525"/>
      <c r="N87" s="525"/>
      <c r="O87" s="525"/>
      <c r="P87" s="525"/>
      <c r="Q87" s="525"/>
      <c r="R87" s="525"/>
      <c r="S87" s="525"/>
      <c r="T87" s="525">
        <v>261.2</v>
      </c>
      <c r="U87" s="525"/>
      <c r="V87" s="525"/>
      <c r="W87" s="525"/>
      <c r="Y87" s="519"/>
      <c r="Z87" s="519"/>
    </row>
    <row r="88" spans="1:26" ht="17.25" hidden="1" customHeight="1">
      <c r="A88" s="521">
        <v>44621</v>
      </c>
      <c r="B88" s="522">
        <v>0.83925000000000005</v>
      </c>
      <c r="C88" s="523" t="s">
        <v>64</v>
      </c>
      <c r="D88" s="524"/>
      <c r="E88" s="525"/>
      <c r="F88" s="525"/>
      <c r="G88" s="525"/>
      <c r="H88" s="525"/>
      <c r="I88" s="525"/>
      <c r="J88" s="525"/>
      <c r="K88" s="525"/>
      <c r="L88" s="525"/>
      <c r="M88" s="525"/>
      <c r="N88" s="525"/>
      <c r="O88" s="525"/>
      <c r="P88" s="525"/>
      <c r="Q88" s="525"/>
      <c r="R88" s="525"/>
      <c r="S88" s="525"/>
      <c r="T88" s="525">
        <v>700</v>
      </c>
      <c r="U88" s="525"/>
      <c r="V88" s="525"/>
      <c r="W88" s="525"/>
      <c r="Y88" s="519"/>
      <c r="Z88" s="519"/>
    </row>
    <row r="89" spans="1:26" ht="17.25" hidden="1" customHeight="1">
      <c r="A89" s="521">
        <v>44623</v>
      </c>
      <c r="B89" s="529"/>
      <c r="C89" s="523" t="s">
        <v>65</v>
      </c>
      <c r="D89" s="524"/>
      <c r="E89" s="525"/>
      <c r="F89" s="525"/>
      <c r="G89" s="525"/>
      <c r="H89" s="525"/>
      <c r="I89" s="525"/>
      <c r="J89" s="525"/>
      <c r="K89" s="525"/>
      <c r="L89" s="525"/>
      <c r="M89" s="525"/>
      <c r="N89" s="525"/>
      <c r="O89" s="525"/>
      <c r="P89" s="525"/>
      <c r="Q89" s="525"/>
      <c r="R89" s="525"/>
      <c r="S89" s="525"/>
      <c r="T89" s="525">
        <v>18</v>
      </c>
      <c r="U89" s="525"/>
      <c r="V89" s="525"/>
      <c r="W89" s="525"/>
      <c r="Y89" s="519"/>
      <c r="Z89" s="519"/>
    </row>
    <row r="90" spans="1:26" ht="17.25" hidden="1" customHeight="1">
      <c r="A90" s="521">
        <v>44623</v>
      </c>
      <c r="B90" s="526"/>
      <c r="C90" s="523" t="s">
        <v>167</v>
      </c>
      <c r="D90" s="524"/>
      <c r="E90" s="525"/>
      <c r="F90" s="525"/>
      <c r="G90" s="525"/>
      <c r="H90" s="525"/>
      <c r="I90" s="525"/>
      <c r="J90" s="525"/>
      <c r="K90" s="525"/>
      <c r="L90" s="525"/>
      <c r="M90" s="525"/>
      <c r="N90" s="525"/>
      <c r="O90" s="525"/>
      <c r="P90" s="525"/>
      <c r="Q90" s="525"/>
      <c r="R90" s="525"/>
      <c r="S90" s="525">
        <v>9.16</v>
      </c>
      <c r="T90" s="525"/>
      <c r="U90" s="525"/>
      <c r="V90" s="525"/>
      <c r="W90" s="525"/>
      <c r="Y90" s="519"/>
      <c r="Z90" s="519"/>
    </row>
    <row r="91" spans="1:26" ht="17.25" hidden="1" customHeight="1">
      <c r="A91" s="521">
        <v>44625</v>
      </c>
      <c r="B91" s="546"/>
      <c r="C91" s="523" t="s">
        <v>190</v>
      </c>
      <c r="D91" s="524"/>
      <c r="E91" s="525"/>
      <c r="F91" s="525"/>
      <c r="G91" s="525"/>
      <c r="H91" s="525"/>
      <c r="I91" s="525"/>
      <c r="J91" s="525"/>
      <c r="K91" s="525"/>
      <c r="L91" s="525">
        <v>219.41</v>
      </c>
      <c r="M91" s="525"/>
      <c r="N91" s="525"/>
      <c r="O91" s="525"/>
      <c r="P91" s="525"/>
      <c r="Q91" s="525"/>
      <c r="R91" s="525"/>
      <c r="S91" s="525"/>
      <c r="T91" s="525"/>
      <c r="U91" s="525"/>
      <c r="V91" s="525"/>
      <c r="W91" s="525"/>
      <c r="Y91" s="519"/>
      <c r="Z91" s="519"/>
    </row>
    <row r="92" spans="1:26" ht="17.25" hidden="1" customHeight="1">
      <c r="A92" s="521">
        <v>44629</v>
      </c>
      <c r="B92" s="546"/>
      <c r="C92" s="527" t="s">
        <v>197</v>
      </c>
      <c r="D92" s="524"/>
      <c r="E92" s="525"/>
      <c r="F92" s="525"/>
      <c r="G92" s="525"/>
      <c r="H92" s="525"/>
      <c r="I92" s="525"/>
      <c r="J92" s="525"/>
      <c r="K92" s="525"/>
      <c r="L92" s="525"/>
      <c r="M92" s="528"/>
      <c r="N92" s="525">
        <v>965</v>
      </c>
      <c r="O92" s="525"/>
      <c r="P92" s="525"/>
      <c r="Q92" s="525"/>
      <c r="R92" s="525"/>
      <c r="S92" s="525"/>
      <c r="T92" s="525"/>
      <c r="U92" s="525"/>
      <c r="V92" s="525"/>
      <c r="W92" s="525"/>
      <c r="Y92" s="519"/>
      <c r="Z92" s="519"/>
    </row>
    <row r="93" spans="1:26" ht="17.25" hidden="1" customHeight="1">
      <c r="A93" s="521">
        <v>44635</v>
      </c>
      <c r="B93" s="526"/>
      <c r="C93" s="523" t="s">
        <v>168</v>
      </c>
      <c r="D93" s="524"/>
      <c r="E93" s="525"/>
      <c r="F93" s="525"/>
      <c r="G93" s="525"/>
      <c r="H93" s="525"/>
      <c r="I93" s="525"/>
      <c r="J93" s="525"/>
      <c r="K93" s="525"/>
      <c r="L93" s="525"/>
      <c r="M93" s="525"/>
      <c r="N93" s="525"/>
      <c r="O93" s="525"/>
      <c r="P93" s="525"/>
      <c r="Q93" s="525"/>
      <c r="R93" s="525"/>
      <c r="S93" s="525"/>
      <c r="T93" s="525">
        <v>1608.88</v>
      </c>
      <c r="U93" s="525"/>
      <c r="V93" s="525"/>
      <c r="W93" s="525"/>
      <c r="Y93" s="519"/>
      <c r="Z93" s="519"/>
    </row>
    <row r="94" spans="1:26" ht="17.25" hidden="1" customHeight="1">
      <c r="A94" s="521">
        <v>44637</v>
      </c>
      <c r="B94" s="526"/>
      <c r="C94" s="523" t="s">
        <v>111</v>
      </c>
      <c r="D94" s="524"/>
      <c r="E94" s="525"/>
      <c r="F94" s="525"/>
      <c r="G94" s="525"/>
      <c r="H94" s="525"/>
      <c r="I94" s="525"/>
      <c r="J94" s="528"/>
      <c r="K94" s="525">
        <v>29.99</v>
      </c>
      <c r="L94" s="525"/>
      <c r="M94" s="525"/>
      <c r="N94" s="525"/>
      <c r="O94" s="525"/>
      <c r="P94" s="525"/>
      <c r="Q94" s="525"/>
      <c r="R94" s="525"/>
      <c r="S94" s="525"/>
      <c r="T94" s="525"/>
      <c r="U94" s="525"/>
      <c r="V94" s="525"/>
      <c r="W94" s="525"/>
      <c r="Y94" s="519"/>
      <c r="Z94" s="519"/>
    </row>
    <row r="95" spans="1:26" ht="17.25" hidden="1" customHeight="1">
      <c r="A95" s="521">
        <v>44638</v>
      </c>
      <c r="B95" s="526"/>
      <c r="C95" s="523" t="s">
        <v>78</v>
      </c>
      <c r="D95" s="524"/>
      <c r="E95" s="525"/>
      <c r="F95" s="525"/>
      <c r="G95" s="525"/>
      <c r="H95" s="525"/>
      <c r="I95" s="525"/>
      <c r="J95" s="525">
        <v>21.92</v>
      </c>
      <c r="K95" s="525"/>
      <c r="L95" s="525"/>
      <c r="M95" s="525"/>
      <c r="N95" s="525"/>
      <c r="O95" s="525"/>
      <c r="P95" s="525"/>
      <c r="Q95" s="525"/>
      <c r="R95" s="525"/>
      <c r="S95" s="525"/>
      <c r="T95" s="525"/>
      <c r="U95" s="525"/>
      <c r="V95" s="525"/>
      <c r="W95" s="525"/>
      <c r="Y95" s="519"/>
      <c r="Z95" s="519"/>
    </row>
    <row r="96" spans="1:26" ht="17.25" hidden="1" customHeight="1">
      <c r="A96" s="521">
        <v>44641</v>
      </c>
      <c r="B96" s="526"/>
      <c r="C96" s="523" t="s">
        <v>77</v>
      </c>
      <c r="D96" s="524"/>
      <c r="E96" s="525"/>
      <c r="F96" s="525"/>
      <c r="G96" s="525"/>
      <c r="H96" s="525"/>
      <c r="I96" s="525"/>
      <c r="J96" s="525"/>
      <c r="K96" s="525"/>
      <c r="L96" s="525"/>
      <c r="M96" s="525"/>
      <c r="N96" s="525"/>
      <c r="O96" s="525"/>
      <c r="P96" s="525"/>
      <c r="Q96" s="525"/>
      <c r="R96" s="525"/>
      <c r="S96" s="525"/>
      <c r="T96" s="525">
        <v>80</v>
      </c>
      <c r="U96" s="525"/>
      <c r="V96" s="525"/>
      <c r="W96" s="525"/>
      <c r="Y96" s="519"/>
      <c r="Z96" s="519"/>
    </row>
    <row r="97" spans="1:26" ht="17.25" hidden="1" customHeight="1">
      <c r="A97" s="521">
        <v>44642</v>
      </c>
      <c r="B97" s="526"/>
      <c r="C97" s="523" t="s">
        <v>64</v>
      </c>
      <c r="D97" s="524"/>
      <c r="E97" s="525"/>
      <c r="F97" s="525"/>
      <c r="G97" s="525"/>
      <c r="H97" s="525"/>
      <c r="I97" s="525"/>
      <c r="J97" s="525"/>
      <c r="K97" s="525"/>
      <c r="L97" s="525"/>
      <c r="M97" s="525"/>
      <c r="N97" s="525"/>
      <c r="O97" s="525"/>
      <c r="P97" s="525"/>
      <c r="Q97" s="525"/>
      <c r="R97" s="525"/>
      <c r="S97" s="525"/>
      <c r="T97" s="525">
        <v>300</v>
      </c>
      <c r="U97" s="525"/>
      <c r="V97" s="525"/>
      <c r="W97" s="525"/>
      <c r="Y97" s="519"/>
      <c r="Z97" s="519"/>
    </row>
    <row r="98" spans="1:26" ht="15.75" hidden="1" customHeight="1">
      <c r="A98" s="521">
        <v>44651</v>
      </c>
      <c r="B98" s="529"/>
      <c r="C98" s="523" t="s">
        <v>198</v>
      </c>
      <c r="D98" s="524"/>
      <c r="E98" s="525"/>
      <c r="F98" s="525"/>
      <c r="G98" s="525"/>
      <c r="H98" s="525"/>
      <c r="I98" s="525"/>
      <c r="J98" s="528"/>
      <c r="K98" s="525">
        <v>108.35</v>
      </c>
      <c r="L98" s="525"/>
      <c r="M98" s="525"/>
      <c r="N98" s="525"/>
      <c r="O98" s="525"/>
      <c r="P98" s="525"/>
      <c r="Q98" s="525"/>
      <c r="R98" s="525"/>
      <c r="S98" s="525"/>
      <c r="T98" s="525"/>
      <c r="U98" s="525"/>
      <c r="V98" s="525"/>
      <c r="W98" s="525"/>
      <c r="Y98" s="519"/>
      <c r="Z98" s="519"/>
    </row>
    <row r="99" spans="1:26" ht="15.75" hidden="1" customHeight="1">
      <c r="A99" s="521">
        <v>44651</v>
      </c>
      <c r="B99" s="526"/>
      <c r="C99" s="527" t="s">
        <v>172</v>
      </c>
      <c r="D99" s="524"/>
      <c r="E99" s="525"/>
      <c r="F99" s="525"/>
      <c r="G99" s="525"/>
      <c r="H99" s="525"/>
      <c r="I99" s="525"/>
      <c r="J99" s="525"/>
      <c r="K99" s="525"/>
      <c r="L99" s="525"/>
      <c r="M99" s="525"/>
      <c r="N99" s="525"/>
      <c r="O99" s="525"/>
      <c r="P99" s="525">
        <v>120.08</v>
      </c>
      <c r="Q99" s="525"/>
      <c r="R99" s="525"/>
      <c r="S99" s="525"/>
      <c r="T99" s="525"/>
      <c r="U99" s="525"/>
      <c r="V99" s="525"/>
      <c r="W99" s="525"/>
      <c r="Y99" s="519"/>
      <c r="Z99" s="519"/>
    </row>
    <row r="100" spans="1:26" ht="15.75" hidden="1" customHeight="1">
      <c r="A100" s="547"/>
      <c r="B100" s="557"/>
      <c r="C100" s="558"/>
      <c r="D100" s="559"/>
      <c r="E100" s="559"/>
      <c r="F100" s="550"/>
      <c r="G100" s="550"/>
      <c r="H100" s="550"/>
      <c r="I100" s="550"/>
      <c r="J100" s="550"/>
      <c r="K100" s="550"/>
      <c r="L100" s="550"/>
      <c r="M100" s="550"/>
      <c r="N100" s="550"/>
      <c r="O100" s="550"/>
      <c r="P100" s="550"/>
      <c r="Q100" s="550"/>
      <c r="R100" s="550"/>
      <c r="S100" s="550"/>
      <c r="T100" s="550"/>
      <c r="U100" s="550"/>
      <c r="V100" s="550"/>
      <c r="W100" s="550"/>
      <c r="Y100" s="519"/>
      <c r="Z100" s="519"/>
    </row>
    <row r="101" spans="1:26" ht="15.75" hidden="1" customHeight="1">
      <c r="A101" s="521">
        <v>44621</v>
      </c>
      <c r="B101" s="560"/>
      <c r="C101" s="552" t="s">
        <v>180</v>
      </c>
      <c r="D101" s="524"/>
      <c r="E101" s="561"/>
      <c r="F101" s="525"/>
      <c r="G101" s="525"/>
      <c r="H101" s="525"/>
      <c r="I101" s="525"/>
      <c r="J101" s="525"/>
      <c r="K101" s="525"/>
      <c r="L101" s="525"/>
      <c r="M101" s="525"/>
      <c r="N101" s="525"/>
      <c r="O101" s="525">
        <v>121.09</v>
      </c>
      <c r="P101" s="525"/>
      <c r="Q101" s="525"/>
      <c r="R101" s="525"/>
      <c r="S101" s="525"/>
      <c r="T101" s="525"/>
      <c r="U101" s="525"/>
      <c r="V101" s="525"/>
      <c r="W101" s="525"/>
      <c r="Y101" s="519"/>
      <c r="Z101" s="519"/>
    </row>
    <row r="102" spans="1:26" ht="15.75" hidden="1" customHeight="1">
      <c r="A102" s="521">
        <v>44622</v>
      </c>
      <c r="B102" s="537" t="s">
        <v>199</v>
      </c>
      <c r="C102" s="552" t="s">
        <v>200</v>
      </c>
      <c r="D102" s="524">
        <v>650</v>
      </c>
      <c r="E102" s="561">
        <v>743.09</v>
      </c>
      <c r="F102" s="525"/>
      <c r="G102" s="525"/>
      <c r="H102" s="525"/>
      <c r="I102" s="525"/>
      <c r="J102" s="525"/>
      <c r="K102" s="525"/>
      <c r="L102" s="525"/>
      <c r="M102" s="525"/>
      <c r="N102" s="525"/>
      <c r="O102" s="525"/>
      <c r="P102" s="525"/>
      <c r="Q102" s="525"/>
      <c r="R102" s="525"/>
      <c r="S102" s="525"/>
      <c r="T102" s="525"/>
      <c r="U102" s="525"/>
      <c r="V102" s="525"/>
      <c r="W102" s="525"/>
      <c r="Y102" s="519"/>
      <c r="Z102" s="519"/>
    </row>
    <row r="103" spans="1:26" ht="15.75" hidden="1" customHeight="1">
      <c r="A103" s="521">
        <v>44625</v>
      </c>
      <c r="B103" s="560"/>
      <c r="C103" s="552" t="s">
        <v>201</v>
      </c>
      <c r="D103" s="524"/>
      <c r="E103" s="561"/>
      <c r="F103" s="525"/>
      <c r="G103" s="525"/>
      <c r="H103" s="525"/>
      <c r="I103" s="525"/>
      <c r="J103" s="525"/>
      <c r="K103" s="525"/>
      <c r="L103" s="525"/>
      <c r="M103" s="525"/>
      <c r="N103" s="525"/>
      <c r="O103" s="525"/>
      <c r="P103" s="525"/>
      <c r="Q103" s="525">
        <v>575.66</v>
      </c>
      <c r="R103" s="525"/>
      <c r="S103" s="525"/>
      <c r="T103" s="525"/>
      <c r="U103" s="525"/>
      <c r="V103" s="525"/>
      <c r="W103" s="525"/>
      <c r="Y103" s="519"/>
      <c r="Z103" s="519"/>
    </row>
    <row r="104" spans="1:26" ht="15.75" hidden="1" customHeight="1">
      <c r="A104" s="521">
        <v>44627</v>
      </c>
      <c r="B104" s="560"/>
      <c r="C104" s="552" t="s">
        <v>174</v>
      </c>
      <c r="D104" s="524"/>
      <c r="E104" s="561"/>
      <c r="F104" s="525"/>
      <c r="G104" s="525"/>
      <c r="H104" s="525"/>
      <c r="I104" s="525"/>
      <c r="J104" s="525"/>
      <c r="K104" s="525">
        <v>12.15</v>
      </c>
      <c r="L104" s="525"/>
      <c r="M104" s="525"/>
      <c r="N104" s="525"/>
      <c r="O104" s="525"/>
      <c r="P104" s="525"/>
      <c r="Q104" s="525"/>
      <c r="R104" s="525"/>
      <c r="S104" s="525"/>
      <c r="T104" s="525"/>
      <c r="U104" s="525"/>
      <c r="V104" s="525"/>
      <c r="W104" s="525"/>
      <c r="Y104" s="519"/>
      <c r="Z104" s="519"/>
    </row>
    <row r="105" spans="1:26" ht="15.75" hidden="1" customHeight="1">
      <c r="A105" s="521">
        <v>44627</v>
      </c>
      <c r="B105" s="560"/>
      <c r="C105" s="552" t="s">
        <v>174</v>
      </c>
      <c r="D105" s="524"/>
      <c r="E105" s="561"/>
      <c r="F105" s="525"/>
      <c r="G105" s="525"/>
      <c r="H105" s="525"/>
      <c r="I105" s="525"/>
      <c r="J105" s="525"/>
      <c r="K105" s="525">
        <v>12.15</v>
      </c>
      <c r="L105" s="525"/>
      <c r="M105" s="525"/>
      <c r="N105" s="525"/>
      <c r="O105" s="525"/>
      <c r="P105" s="525"/>
      <c r="Q105" s="525"/>
      <c r="R105" s="525"/>
      <c r="S105" s="525"/>
      <c r="T105" s="525"/>
      <c r="U105" s="525"/>
      <c r="V105" s="525"/>
      <c r="W105" s="525"/>
      <c r="Y105" s="519"/>
      <c r="Z105" s="519"/>
    </row>
    <row r="106" spans="1:26" ht="15.75" hidden="1" customHeight="1">
      <c r="A106" s="521">
        <v>44627</v>
      </c>
      <c r="B106" s="560"/>
      <c r="C106" s="552" t="s">
        <v>174</v>
      </c>
      <c r="D106" s="524"/>
      <c r="E106" s="561"/>
      <c r="F106" s="525"/>
      <c r="G106" s="525"/>
      <c r="H106" s="525"/>
      <c r="I106" s="525"/>
      <c r="J106" s="525"/>
      <c r="K106" s="525">
        <v>12.15</v>
      </c>
      <c r="L106" s="525"/>
      <c r="M106" s="525"/>
      <c r="N106" s="525"/>
      <c r="O106" s="525"/>
      <c r="P106" s="525"/>
      <c r="Q106" s="525"/>
      <c r="R106" s="525"/>
      <c r="S106" s="525"/>
      <c r="T106" s="525"/>
      <c r="U106" s="525"/>
      <c r="V106" s="525"/>
      <c r="W106" s="525"/>
      <c r="Y106" s="519"/>
      <c r="Z106" s="519"/>
    </row>
    <row r="107" spans="1:26" ht="15.75" hidden="1" customHeight="1">
      <c r="A107" s="521">
        <v>44627</v>
      </c>
      <c r="B107" s="560"/>
      <c r="C107" s="552" t="s">
        <v>174</v>
      </c>
      <c r="D107" s="524"/>
      <c r="E107" s="561"/>
      <c r="F107" s="525"/>
      <c r="G107" s="525"/>
      <c r="H107" s="525"/>
      <c r="I107" s="525"/>
      <c r="J107" s="525"/>
      <c r="K107" s="525">
        <v>12.15</v>
      </c>
      <c r="L107" s="525"/>
      <c r="M107" s="525"/>
      <c r="N107" s="525"/>
      <c r="O107" s="525"/>
      <c r="P107" s="525"/>
      <c r="Q107" s="525"/>
      <c r="R107" s="525"/>
      <c r="S107" s="525"/>
      <c r="T107" s="525"/>
      <c r="U107" s="525"/>
      <c r="V107" s="525"/>
      <c r="W107" s="525"/>
      <c r="Y107" s="519"/>
      <c r="Z107" s="519"/>
    </row>
    <row r="108" spans="1:26" ht="15.75" hidden="1" customHeight="1">
      <c r="A108" s="521">
        <v>44629</v>
      </c>
      <c r="B108" s="560"/>
      <c r="C108" s="552" t="s">
        <v>180</v>
      </c>
      <c r="D108" s="524"/>
      <c r="E108" s="561"/>
      <c r="F108" s="525"/>
      <c r="G108" s="525"/>
      <c r="H108" s="525"/>
      <c r="I108" s="525"/>
      <c r="J108" s="525"/>
      <c r="K108" s="525"/>
      <c r="L108" s="525"/>
      <c r="M108" s="525"/>
      <c r="N108" s="525"/>
      <c r="O108" s="525">
        <v>86.13</v>
      </c>
      <c r="P108" s="525"/>
      <c r="Q108" s="525"/>
      <c r="R108" s="525"/>
      <c r="S108" s="525"/>
      <c r="T108" s="525"/>
      <c r="U108" s="525"/>
      <c r="V108" s="525"/>
      <c r="W108" s="525"/>
      <c r="Y108" s="519"/>
      <c r="Z108" s="519"/>
    </row>
    <row r="109" spans="1:26" ht="15.75" hidden="1" customHeight="1">
      <c r="A109" s="521">
        <v>44630</v>
      </c>
      <c r="B109" s="562" t="s">
        <v>202</v>
      </c>
      <c r="C109" s="552" t="s">
        <v>91</v>
      </c>
      <c r="D109" s="524">
        <v>5802</v>
      </c>
      <c r="E109" s="561">
        <v>6988.67</v>
      </c>
      <c r="F109" s="525"/>
      <c r="G109" s="525"/>
      <c r="H109" s="525"/>
      <c r="I109" s="525"/>
      <c r="J109" s="525"/>
      <c r="K109" s="525"/>
      <c r="L109" s="525"/>
      <c r="M109" s="525"/>
      <c r="N109" s="525"/>
      <c r="O109" s="525"/>
      <c r="P109" s="525"/>
      <c r="Q109" s="525"/>
      <c r="R109" s="525"/>
      <c r="S109" s="525"/>
      <c r="T109" s="525"/>
      <c r="U109" s="525"/>
      <c r="V109" s="525"/>
      <c r="W109" s="525"/>
      <c r="Y109" s="519"/>
      <c r="Z109" s="519"/>
    </row>
    <row r="110" spans="1:26" ht="15.75" hidden="1" customHeight="1">
      <c r="A110" s="521">
        <v>44630</v>
      </c>
      <c r="B110" s="563" t="s">
        <v>203</v>
      </c>
      <c r="C110" s="552" t="s">
        <v>204</v>
      </c>
      <c r="D110" s="524">
        <v>450</v>
      </c>
      <c r="E110" s="561">
        <v>526.79</v>
      </c>
      <c r="F110" s="525"/>
      <c r="G110" s="525"/>
      <c r="H110" s="525"/>
      <c r="I110" s="525"/>
      <c r="J110" s="525"/>
      <c r="K110" s="525"/>
      <c r="L110" s="525"/>
      <c r="M110" s="525"/>
      <c r="N110" s="525"/>
      <c r="O110" s="525"/>
      <c r="P110" s="525"/>
      <c r="Q110" s="525"/>
      <c r="R110" s="525"/>
      <c r="S110" s="525"/>
      <c r="T110" s="525"/>
      <c r="U110" s="525"/>
      <c r="V110" s="525"/>
      <c r="W110" s="525"/>
      <c r="Y110" s="519"/>
      <c r="Z110" s="519"/>
    </row>
    <row r="111" spans="1:26" ht="15.75" hidden="1" customHeight="1">
      <c r="A111" s="521">
        <v>44631</v>
      </c>
      <c r="B111" s="560"/>
      <c r="C111" s="552" t="s">
        <v>174</v>
      </c>
      <c r="D111" s="524"/>
      <c r="E111" s="561"/>
      <c r="F111" s="525"/>
      <c r="G111" s="525"/>
      <c r="H111" s="525"/>
      <c r="I111" s="525"/>
      <c r="J111" s="525"/>
      <c r="K111" s="525">
        <v>11.95</v>
      </c>
      <c r="L111" s="525"/>
      <c r="M111" s="525"/>
      <c r="N111" s="525"/>
      <c r="O111" s="525"/>
      <c r="P111" s="525"/>
      <c r="Q111" s="525"/>
      <c r="R111" s="525"/>
      <c r="S111" s="525"/>
      <c r="T111" s="525"/>
      <c r="U111" s="525"/>
      <c r="V111" s="525"/>
      <c r="W111" s="525"/>
      <c r="Y111" s="519"/>
      <c r="Z111" s="519"/>
    </row>
    <row r="112" spans="1:26" ht="15.75" hidden="1" customHeight="1">
      <c r="A112" s="521">
        <v>44631</v>
      </c>
      <c r="B112" s="560"/>
      <c r="C112" s="552" t="s">
        <v>174</v>
      </c>
      <c r="D112" s="524"/>
      <c r="E112" s="561"/>
      <c r="F112" s="525"/>
      <c r="G112" s="525"/>
      <c r="H112" s="525"/>
      <c r="I112" s="525"/>
      <c r="J112" s="525"/>
      <c r="K112" s="525">
        <v>11.95</v>
      </c>
      <c r="L112" s="525"/>
      <c r="M112" s="525"/>
      <c r="N112" s="525"/>
      <c r="O112" s="525"/>
      <c r="P112" s="525"/>
      <c r="Q112" s="525"/>
      <c r="R112" s="525"/>
      <c r="S112" s="525"/>
      <c r="T112" s="525"/>
      <c r="U112" s="525"/>
      <c r="V112" s="525"/>
      <c r="W112" s="525"/>
      <c r="Y112" s="519"/>
      <c r="Z112" s="519"/>
    </row>
    <row r="113" spans="1:26" ht="15.75" hidden="1" customHeight="1">
      <c r="A113" s="521">
        <v>44631</v>
      </c>
      <c r="B113" s="560"/>
      <c r="C113" s="552" t="s">
        <v>174</v>
      </c>
      <c r="D113" s="524"/>
      <c r="E113" s="561"/>
      <c r="F113" s="525"/>
      <c r="G113" s="525"/>
      <c r="H113" s="525"/>
      <c r="I113" s="525"/>
      <c r="J113" s="525"/>
      <c r="K113" s="525">
        <v>11.95</v>
      </c>
      <c r="L113" s="525"/>
      <c r="M113" s="525"/>
      <c r="N113" s="525"/>
      <c r="O113" s="525"/>
      <c r="P113" s="525"/>
      <c r="Q113" s="525"/>
      <c r="R113" s="525"/>
      <c r="S113" s="525"/>
      <c r="T113" s="525"/>
      <c r="U113" s="525"/>
      <c r="V113" s="525"/>
      <c r="W113" s="525"/>
      <c r="Y113" s="519"/>
      <c r="Z113" s="519"/>
    </row>
    <row r="114" spans="1:26" ht="15.75" hidden="1" customHeight="1">
      <c r="A114" s="521">
        <v>44634</v>
      </c>
      <c r="B114" s="560"/>
      <c r="C114" s="552" t="s">
        <v>174</v>
      </c>
      <c r="D114" s="524"/>
      <c r="E114" s="561"/>
      <c r="F114" s="525"/>
      <c r="G114" s="525"/>
      <c r="H114" s="525"/>
      <c r="I114" s="525"/>
      <c r="J114" s="525"/>
      <c r="K114" s="525">
        <v>11.95</v>
      </c>
      <c r="L114" s="525"/>
      <c r="M114" s="525"/>
      <c r="N114" s="525"/>
      <c r="O114" s="525"/>
      <c r="P114" s="525"/>
      <c r="Q114" s="525"/>
      <c r="R114" s="525"/>
      <c r="S114" s="525"/>
      <c r="T114" s="525"/>
      <c r="U114" s="525"/>
      <c r="V114" s="525"/>
      <c r="W114" s="525"/>
      <c r="Y114" s="519"/>
      <c r="Z114" s="519"/>
    </row>
    <row r="115" spans="1:26" ht="15.75" hidden="1" customHeight="1">
      <c r="A115" s="521">
        <v>44634</v>
      </c>
      <c r="B115" s="560"/>
      <c r="C115" s="552" t="s">
        <v>174</v>
      </c>
      <c r="D115" s="524"/>
      <c r="E115" s="561"/>
      <c r="F115" s="525"/>
      <c r="G115" s="525"/>
      <c r="H115" s="525"/>
      <c r="I115" s="525"/>
      <c r="J115" s="525"/>
      <c r="K115" s="525">
        <v>11.95</v>
      </c>
      <c r="L115" s="525"/>
      <c r="M115" s="525"/>
      <c r="N115" s="525"/>
      <c r="O115" s="525"/>
      <c r="P115" s="525"/>
      <c r="Q115" s="525"/>
      <c r="R115" s="525"/>
      <c r="S115" s="525"/>
      <c r="T115" s="525"/>
      <c r="U115" s="525"/>
      <c r="V115" s="525"/>
      <c r="W115" s="525"/>
      <c r="Y115" s="519"/>
      <c r="Z115" s="519"/>
    </row>
    <row r="116" spans="1:26" ht="15.75" hidden="1" customHeight="1">
      <c r="A116" s="521">
        <v>44634</v>
      </c>
      <c r="B116" s="560"/>
      <c r="C116" s="552" t="s">
        <v>191</v>
      </c>
      <c r="D116" s="524"/>
      <c r="E116" s="561"/>
      <c r="F116" s="525"/>
      <c r="G116" s="525"/>
      <c r="H116" s="525"/>
      <c r="I116" s="525"/>
      <c r="J116" s="525"/>
      <c r="K116" s="525"/>
      <c r="L116" s="525">
        <v>34.659999999999997</v>
      </c>
      <c r="M116" s="525"/>
      <c r="N116" s="525"/>
      <c r="O116" s="525"/>
      <c r="P116" s="525"/>
      <c r="Q116" s="525"/>
      <c r="R116" s="525"/>
      <c r="S116" s="525"/>
      <c r="T116" s="525"/>
      <c r="U116" s="525"/>
      <c r="V116" s="525"/>
      <c r="W116" s="525"/>
      <c r="Y116" s="519"/>
      <c r="Z116" s="519"/>
    </row>
    <row r="117" spans="1:26" ht="15.75" hidden="1" customHeight="1">
      <c r="A117" s="521">
        <v>44638</v>
      </c>
      <c r="B117" s="560"/>
      <c r="C117" s="552" t="s">
        <v>205</v>
      </c>
      <c r="D117" s="524"/>
      <c r="E117" s="561"/>
      <c r="F117" s="525"/>
      <c r="G117" s="525"/>
      <c r="H117" s="525"/>
      <c r="I117" s="525"/>
      <c r="J117" s="525"/>
      <c r="K117" s="525"/>
      <c r="L117" s="525"/>
      <c r="M117" s="525"/>
      <c r="N117" s="525"/>
      <c r="O117" s="525"/>
      <c r="P117" s="525">
        <v>16.72</v>
      </c>
      <c r="Q117" s="525"/>
      <c r="R117" s="525"/>
      <c r="S117" s="525"/>
      <c r="T117" s="525"/>
      <c r="U117" s="525"/>
      <c r="V117" s="525"/>
      <c r="W117" s="525"/>
      <c r="Y117" s="519"/>
      <c r="Z117" s="519"/>
    </row>
    <row r="118" spans="1:26" ht="15.75" hidden="1" customHeight="1">
      <c r="A118" s="521">
        <v>44642</v>
      </c>
      <c r="B118" s="560"/>
      <c r="C118" s="552" t="s">
        <v>191</v>
      </c>
      <c r="D118" s="524"/>
      <c r="E118" s="561"/>
      <c r="F118" s="525"/>
      <c r="G118" s="525"/>
      <c r="H118" s="525"/>
      <c r="I118" s="525"/>
      <c r="J118" s="525"/>
      <c r="K118" s="525"/>
      <c r="L118" s="525">
        <v>34.68</v>
      </c>
      <c r="M118" s="525"/>
      <c r="N118" s="525"/>
      <c r="O118" s="525"/>
      <c r="P118" s="525"/>
      <c r="Q118" s="525"/>
      <c r="R118" s="525"/>
      <c r="S118" s="525"/>
      <c r="T118" s="525"/>
      <c r="U118" s="525"/>
      <c r="V118" s="525"/>
      <c r="W118" s="525"/>
      <c r="Y118" s="519"/>
      <c r="Z118" s="519"/>
    </row>
    <row r="119" spans="1:26" ht="15.75" hidden="1" customHeight="1">
      <c r="A119" s="521">
        <v>44643</v>
      </c>
      <c r="B119" s="560"/>
      <c r="C119" s="552" t="s">
        <v>181</v>
      </c>
      <c r="D119" s="524"/>
      <c r="E119" s="561"/>
      <c r="F119" s="525"/>
      <c r="G119" s="525"/>
      <c r="H119" s="525"/>
      <c r="I119" s="525"/>
      <c r="J119" s="525"/>
      <c r="K119" s="525"/>
      <c r="L119" s="525"/>
      <c r="M119" s="525"/>
      <c r="N119" s="525"/>
      <c r="O119" s="525">
        <v>195.26</v>
      </c>
      <c r="P119" s="525"/>
      <c r="Q119" s="525"/>
      <c r="R119" s="525"/>
      <c r="S119" s="525"/>
      <c r="T119" s="525"/>
      <c r="U119" s="525"/>
      <c r="V119" s="525"/>
      <c r="W119" s="525"/>
      <c r="Y119" s="519"/>
      <c r="Z119" s="519"/>
    </row>
    <row r="120" spans="1:26" ht="15.75" hidden="1" customHeight="1">
      <c r="A120" s="521">
        <v>44651</v>
      </c>
      <c r="B120" s="560"/>
      <c r="C120" s="552" t="s">
        <v>206</v>
      </c>
      <c r="D120" s="524"/>
      <c r="E120" s="561"/>
      <c r="F120" s="525"/>
      <c r="G120" s="525"/>
      <c r="H120" s="525"/>
      <c r="I120" s="525"/>
      <c r="J120" s="525"/>
      <c r="K120" s="525"/>
      <c r="L120" s="525">
        <v>35.51</v>
      </c>
      <c r="M120" s="525"/>
      <c r="N120" s="525"/>
      <c r="O120" s="525"/>
      <c r="P120" s="525"/>
      <c r="Q120" s="525"/>
      <c r="R120" s="525"/>
      <c r="S120" s="525"/>
      <c r="T120" s="525"/>
      <c r="U120" s="525"/>
      <c r="V120" s="525"/>
      <c r="W120" s="525"/>
      <c r="Y120" s="519"/>
      <c r="Z120" s="519"/>
    </row>
    <row r="121" spans="1:26" ht="15.75" hidden="1" customHeight="1">
      <c r="A121" s="521">
        <v>44651</v>
      </c>
      <c r="B121" s="560"/>
      <c r="C121" s="552" t="s">
        <v>206</v>
      </c>
      <c r="D121" s="524"/>
      <c r="E121" s="561"/>
      <c r="F121" s="525"/>
      <c r="G121" s="525"/>
      <c r="H121" s="525"/>
      <c r="I121" s="525"/>
      <c r="J121" s="525"/>
      <c r="K121" s="525"/>
      <c r="L121" s="525">
        <v>35.51</v>
      </c>
      <c r="M121" s="525"/>
      <c r="N121" s="525"/>
      <c r="O121" s="525"/>
      <c r="P121" s="525"/>
      <c r="Q121" s="525"/>
      <c r="R121" s="525"/>
      <c r="S121" s="525"/>
      <c r="T121" s="525"/>
      <c r="U121" s="525"/>
      <c r="V121" s="525"/>
      <c r="W121" s="525"/>
      <c r="Y121" s="519"/>
      <c r="Z121" s="519"/>
    </row>
    <row r="122" spans="1:26" ht="15.75" hidden="1" customHeight="1">
      <c r="A122" s="521">
        <v>44651</v>
      </c>
      <c r="B122" s="560"/>
      <c r="C122" s="552" t="s">
        <v>207</v>
      </c>
      <c r="D122" s="524"/>
      <c r="E122" s="561"/>
      <c r="F122" s="525"/>
      <c r="G122" s="525"/>
      <c r="H122" s="525"/>
      <c r="I122" s="525"/>
      <c r="J122" s="525"/>
      <c r="K122" s="525"/>
      <c r="L122" s="525"/>
      <c r="M122" s="525">
        <v>42.75</v>
      </c>
      <c r="N122" s="525"/>
      <c r="O122" s="525"/>
      <c r="P122" s="525"/>
      <c r="Q122" s="525"/>
      <c r="R122" s="525"/>
      <c r="S122" s="525"/>
      <c r="T122" s="525"/>
      <c r="U122" s="525"/>
      <c r="V122" s="525"/>
      <c r="W122" s="525"/>
      <c r="Y122" s="519"/>
      <c r="Z122" s="519"/>
    </row>
    <row r="123" spans="1:26" ht="15.75" hidden="1" customHeight="1">
      <c r="A123" s="521">
        <v>44651</v>
      </c>
      <c r="B123" s="560"/>
      <c r="C123" s="552" t="s">
        <v>208</v>
      </c>
      <c r="D123" s="524"/>
      <c r="E123" s="561"/>
      <c r="F123" s="525"/>
      <c r="G123" s="525"/>
      <c r="H123" s="525"/>
      <c r="I123" s="525"/>
      <c r="J123" s="525"/>
      <c r="K123" s="525"/>
      <c r="L123" s="525"/>
      <c r="M123" s="525"/>
      <c r="N123" s="525"/>
      <c r="O123" s="525"/>
      <c r="P123" s="525"/>
      <c r="Q123" s="525"/>
      <c r="R123" s="525"/>
      <c r="S123" s="525">
        <v>32.270000000000003</v>
      </c>
      <c r="T123" s="525"/>
      <c r="U123" s="525"/>
      <c r="V123" s="525"/>
      <c r="W123" s="525"/>
      <c r="Y123" s="519"/>
      <c r="Z123" s="519"/>
    </row>
    <row r="124" spans="1:26" ht="15.75" hidden="1" customHeight="1">
      <c r="A124" s="521">
        <v>44651</v>
      </c>
      <c r="B124" s="560"/>
      <c r="C124" s="552" t="s">
        <v>209</v>
      </c>
      <c r="D124" s="524"/>
      <c r="E124" s="561"/>
      <c r="F124" s="525"/>
      <c r="G124" s="525"/>
      <c r="H124" s="525"/>
      <c r="I124" s="525"/>
      <c r="J124" s="525"/>
      <c r="K124" s="525"/>
      <c r="L124" s="525"/>
      <c r="M124" s="525"/>
      <c r="N124" s="525"/>
      <c r="O124" s="525"/>
      <c r="P124" s="525"/>
      <c r="Q124" s="525"/>
      <c r="R124" s="525"/>
      <c r="S124" s="525">
        <v>20.7</v>
      </c>
      <c r="T124" s="525"/>
      <c r="U124" s="525"/>
      <c r="V124" s="525"/>
      <c r="W124" s="525"/>
      <c r="Y124" s="519"/>
      <c r="Z124" s="519"/>
    </row>
    <row r="125" spans="1:26" ht="15.75" hidden="1" customHeight="1" thickBot="1">
      <c r="A125" s="538"/>
      <c r="B125" s="564"/>
      <c r="C125" s="565"/>
      <c r="D125" s="541"/>
      <c r="E125" s="566"/>
      <c r="F125" s="542"/>
      <c r="G125" s="542"/>
      <c r="H125" s="542"/>
      <c r="I125" s="542"/>
      <c r="J125" s="542"/>
      <c r="K125" s="542"/>
      <c r="L125" s="542"/>
      <c r="M125" s="542"/>
      <c r="N125" s="542"/>
      <c r="O125" s="542"/>
      <c r="P125" s="542"/>
      <c r="Q125" s="542"/>
      <c r="R125" s="542"/>
      <c r="S125" s="542"/>
      <c r="T125" s="542"/>
      <c r="U125" s="542"/>
      <c r="V125" s="542"/>
      <c r="W125" s="542"/>
      <c r="Y125" s="519"/>
      <c r="Z125" s="519"/>
    </row>
    <row r="126" spans="1:26" ht="15.75" hidden="1" customHeight="1" thickTop="1">
      <c r="A126" s="543"/>
      <c r="B126" s="554">
        <v>44652</v>
      </c>
      <c r="C126" s="545"/>
      <c r="D126" s="545"/>
      <c r="E126" s="545"/>
      <c r="F126" s="545"/>
      <c r="G126" s="545"/>
      <c r="H126" s="545"/>
      <c r="I126" s="545"/>
      <c r="J126" s="545"/>
      <c r="K126" s="545"/>
      <c r="L126" s="545"/>
      <c r="M126" s="545"/>
      <c r="N126" s="545"/>
      <c r="O126" s="545"/>
      <c r="P126" s="545"/>
      <c r="Q126" s="545"/>
      <c r="R126" s="545"/>
      <c r="S126" s="545"/>
      <c r="T126" s="545"/>
      <c r="U126" s="545"/>
      <c r="V126" s="545"/>
      <c r="W126" s="545"/>
      <c r="Y126" s="519"/>
      <c r="Z126" s="519"/>
    </row>
    <row r="127" spans="1:26" ht="15.75" hidden="1" customHeight="1">
      <c r="A127" s="521">
        <v>44652</v>
      </c>
      <c r="B127" s="567"/>
      <c r="C127" s="523" t="s">
        <v>62</v>
      </c>
      <c r="D127" s="524"/>
      <c r="E127" s="525"/>
      <c r="F127" s="525"/>
      <c r="G127" s="525"/>
      <c r="H127" s="525"/>
      <c r="I127" s="525"/>
      <c r="J127" s="525"/>
      <c r="K127" s="525"/>
      <c r="L127" s="525"/>
      <c r="M127" s="525"/>
      <c r="N127" s="525"/>
      <c r="O127" s="525"/>
      <c r="P127" s="525"/>
      <c r="Q127" s="525"/>
      <c r="R127" s="525"/>
      <c r="S127" s="525"/>
      <c r="T127" s="525"/>
      <c r="U127" s="525"/>
      <c r="V127" s="525">
        <v>1036.55</v>
      </c>
      <c r="W127" s="525"/>
      <c r="Y127" s="519"/>
      <c r="Z127" s="519"/>
    </row>
    <row r="128" spans="1:26" ht="15.75" hidden="1" customHeight="1">
      <c r="A128" s="521">
        <v>44652</v>
      </c>
      <c r="B128" s="522" t="s">
        <v>210</v>
      </c>
      <c r="C128" s="523" t="s">
        <v>63</v>
      </c>
      <c r="D128" s="524"/>
      <c r="E128" s="525"/>
      <c r="F128" s="525"/>
      <c r="G128" s="525"/>
      <c r="H128" s="525"/>
      <c r="I128" s="525"/>
      <c r="J128" s="525"/>
      <c r="K128" s="525"/>
      <c r="L128" s="525"/>
      <c r="M128" s="525"/>
      <c r="N128" s="525"/>
      <c r="O128" s="525"/>
      <c r="P128" s="525"/>
      <c r="Q128" s="525"/>
      <c r="R128" s="525"/>
      <c r="S128" s="525"/>
      <c r="T128" s="525">
        <v>261.2</v>
      </c>
      <c r="U128" s="525"/>
      <c r="V128" s="525"/>
      <c r="W128" s="525"/>
      <c r="Y128" s="519"/>
      <c r="Z128" s="519"/>
    </row>
    <row r="129" spans="1:26" ht="15.75" hidden="1" customHeight="1">
      <c r="A129" s="521">
        <v>44652</v>
      </c>
      <c r="B129" s="522">
        <v>0.82908000000000004</v>
      </c>
      <c r="C129" s="523" t="s">
        <v>64</v>
      </c>
      <c r="D129" s="524"/>
      <c r="E129" s="525"/>
      <c r="F129" s="525"/>
      <c r="G129" s="525"/>
      <c r="H129" s="525"/>
      <c r="I129" s="525"/>
      <c r="J129" s="525"/>
      <c r="K129" s="525"/>
      <c r="L129" s="525"/>
      <c r="M129" s="525"/>
      <c r="N129" s="525"/>
      <c r="O129" s="525"/>
      <c r="P129" s="525"/>
      <c r="Q129" s="525"/>
      <c r="R129" s="525"/>
      <c r="S129" s="525"/>
      <c r="T129" s="525">
        <v>700</v>
      </c>
      <c r="U129" s="525"/>
      <c r="V129" s="525"/>
      <c r="W129" s="525"/>
      <c r="Y129" s="519"/>
      <c r="Z129" s="519"/>
    </row>
    <row r="130" spans="1:26" ht="15.75" hidden="1" customHeight="1" thickBot="1">
      <c r="A130" s="538">
        <v>44655</v>
      </c>
      <c r="B130" s="568"/>
      <c r="C130" s="569" t="s">
        <v>65</v>
      </c>
      <c r="D130" s="541"/>
      <c r="E130" s="542"/>
      <c r="F130" s="542"/>
      <c r="G130" s="542"/>
      <c r="H130" s="542"/>
      <c r="I130" s="542"/>
      <c r="J130" s="542"/>
      <c r="K130" s="542"/>
      <c r="L130" s="542"/>
      <c r="M130" s="542"/>
      <c r="N130" s="542"/>
      <c r="O130" s="542"/>
      <c r="P130" s="542"/>
      <c r="Q130" s="542"/>
      <c r="R130" s="542"/>
      <c r="S130" s="542"/>
      <c r="T130" s="542">
        <v>18</v>
      </c>
      <c r="U130" s="542"/>
      <c r="V130" s="542"/>
      <c r="W130" s="542"/>
      <c r="Y130" s="519"/>
      <c r="Z130" s="519"/>
    </row>
    <row r="131" spans="1:26" ht="15.75" hidden="1" customHeight="1" thickTop="1">
      <c r="A131" s="570">
        <v>44659</v>
      </c>
      <c r="B131" s="571"/>
      <c r="C131" s="572" t="s">
        <v>211</v>
      </c>
      <c r="D131" s="524"/>
      <c r="E131" s="525"/>
      <c r="F131" s="525"/>
      <c r="G131" s="525"/>
      <c r="H131" s="525"/>
      <c r="I131" s="525"/>
      <c r="J131" s="525"/>
      <c r="K131" s="525"/>
      <c r="L131" s="525"/>
      <c r="M131" s="528"/>
      <c r="N131" s="525">
        <v>965</v>
      </c>
      <c r="O131" s="525"/>
      <c r="P131" s="525"/>
      <c r="Q131" s="525"/>
      <c r="R131" s="525"/>
      <c r="S131" s="525"/>
      <c r="T131" s="525"/>
      <c r="U131" s="525"/>
      <c r="V131" s="525"/>
      <c r="W131" s="525"/>
      <c r="Y131" s="519"/>
      <c r="Z131" s="519"/>
    </row>
    <row r="132" spans="1:26" ht="15.75" hidden="1" customHeight="1">
      <c r="A132" s="570">
        <v>44670</v>
      </c>
      <c r="B132" s="526"/>
      <c r="C132" s="523" t="s">
        <v>168</v>
      </c>
      <c r="D132" s="524"/>
      <c r="E132" s="525"/>
      <c r="F132" s="525"/>
      <c r="G132" s="525"/>
      <c r="H132" s="525"/>
      <c r="I132" s="525"/>
      <c r="J132" s="525"/>
      <c r="K132" s="525"/>
      <c r="L132" s="525"/>
      <c r="M132" s="525"/>
      <c r="N132" s="525"/>
      <c r="O132" s="525"/>
      <c r="P132" s="525"/>
      <c r="Q132" s="525"/>
      <c r="R132" s="525"/>
      <c r="S132" s="525"/>
      <c r="T132" s="525">
        <v>1608.88</v>
      </c>
      <c r="U132" s="525"/>
      <c r="V132" s="525"/>
      <c r="W132" s="525"/>
      <c r="Y132" s="519"/>
      <c r="Z132" s="519"/>
    </row>
    <row r="133" spans="1:26" ht="15.75" hidden="1" customHeight="1">
      <c r="A133" s="570">
        <v>44671</v>
      </c>
      <c r="B133" s="526"/>
      <c r="C133" s="523" t="s">
        <v>111</v>
      </c>
      <c r="D133" s="524"/>
      <c r="E133" s="525"/>
      <c r="F133" s="525"/>
      <c r="G133" s="525"/>
      <c r="H133" s="525"/>
      <c r="I133" s="525"/>
      <c r="J133" s="528"/>
      <c r="K133" s="525">
        <v>29.99</v>
      </c>
      <c r="L133" s="525"/>
      <c r="M133" s="525"/>
      <c r="N133" s="525"/>
      <c r="O133" s="525"/>
      <c r="P133" s="525"/>
      <c r="Q133" s="525"/>
      <c r="R133" s="525"/>
      <c r="S133" s="525"/>
      <c r="T133" s="525"/>
      <c r="U133" s="525"/>
      <c r="V133" s="525"/>
      <c r="W133" s="525"/>
      <c r="Y133" s="519"/>
      <c r="Z133" s="519"/>
    </row>
    <row r="134" spans="1:26" ht="15.75" hidden="1" customHeight="1">
      <c r="A134" s="570">
        <v>44671</v>
      </c>
      <c r="B134" s="526"/>
      <c r="C134" s="523" t="s">
        <v>77</v>
      </c>
      <c r="D134" s="524"/>
      <c r="E134" s="525"/>
      <c r="F134" s="525"/>
      <c r="G134" s="525"/>
      <c r="H134" s="525"/>
      <c r="I134" s="525"/>
      <c r="J134" s="525"/>
      <c r="K134" s="525"/>
      <c r="L134" s="525"/>
      <c r="M134" s="525"/>
      <c r="N134" s="525"/>
      <c r="O134" s="525"/>
      <c r="P134" s="525"/>
      <c r="Q134" s="525"/>
      <c r="R134" s="525"/>
      <c r="S134" s="525"/>
      <c r="T134" s="525">
        <v>80</v>
      </c>
      <c r="U134" s="525"/>
      <c r="V134" s="525"/>
      <c r="W134" s="525"/>
      <c r="Y134" s="519"/>
      <c r="Z134" s="519"/>
    </row>
    <row r="135" spans="1:26" ht="15.75" hidden="1" customHeight="1">
      <c r="A135" s="570">
        <v>44672</v>
      </c>
      <c r="B135" s="526"/>
      <c r="C135" s="523" t="s">
        <v>48</v>
      </c>
      <c r="D135" s="524"/>
      <c r="E135" s="525"/>
      <c r="F135" s="525"/>
      <c r="G135" s="525"/>
      <c r="H135" s="525"/>
      <c r="I135" s="525"/>
      <c r="J135" s="525"/>
      <c r="K135" s="525"/>
      <c r="L135" s="525"/>
      <c r="M135" s="525"/>
      <c r="N135" s="525"/>
      <c r="O135" s="525"/>
      <c r="P135" s="525"/>
      <c r="Q135" s="525"/>
      <c r="R135" s="525"/>
      <c r="S135" s="525">
        <f>9.16+16.32</f>
        <v>25.48</v>
      </c>
      <c r="T135" s="525"/>
      <c r="U135" s="525"/>
      <c r="V135" s="525"/>
      <c r="W135" s="525"/>
      <c r="Y135" s="519"/>
      <c r="Z135" s="519"/>
    </row>
    <row r="136" spans="1:26" ht="15.75" hidden="1" customHeight="1">
      <c r="A136" s="570">
        <v>44672</v>
      </c>
      <c r="B136" s="529"/>
      <c r="C136" s="523" t="s">
        <v>212</v>
      </c>
      <c r="D136" s="524"/>
      <c r="E136" s="525"/>
      <c r="F136" s="525"/>
      <c r="G136" s="525"/>
      <c r="H136" s="525"/>
      <c r="I136" s="525"/>
      <c r="J136" s="528"/>
      <c r="K136" s="525">
        <v>108.35</v>
      </c>
      <c r="L136" s="525"/>
      <c r="M136" s="525"/>
      <c r="N136" s="525"/>
      <c r="O136" s="525"/>
      <c r="P136" s="525"/>
      <c r="Q136" s="525"/>
      <c r="R136" s="525"/>
      <c r="S136" s="525"/>
      <c r="T136" s="525"/>
      <c r="U136" s="525"/>
      <c r="V136" s="525"/>
      <c r="W136" s="525"/>
      <c r="Y136" s="519"/>
      <c r="Z136" s="519"/>
    </row>
    <row r="137" spans="1:26" ht="15.75" hidden="1" customHeight="1">
      <c r="A137" s="570">
        <v>44673</v>
      </c>
      <c r="B137" s="526"/>
      <c r="C137" s="523" t="s">
        <v>78</v>
      </c>
      <c r="D137" s="524"/>
      <c r="E137" s="525"/>
      <c r="F137" s="525"/>
      <c r="G137" s="525"/>
      <c r="H137" s="525"/>
      <c r="I137" s="525"/>
      <c r="J137" s="525">
        <v>20.56</v>
      </c>
      <c r="K137" s="525"/>
      <c r="L137" s="525"/>
      <c r="M137" s="525"/>
      <c r="N137" s="525"/>
      <c r="O137" s="525"/>
      <c r="P137" s="525"/>
      <c r="Q137" s="525"/>
      <c r="R137" s="525"/>
      <c r="S137" s="525"/>
      <c r="T137" s="525"/>
      <c r="U137" s="525"/>
      <c r="V137" s="525"/>
      <c r="W137" s="525"/>
      <c r="Y137" s="519"/>
      <c r="Z137" s="519"/>
    </row>
    <row r="138" spans="1:26" ht="15.75" hidden="1" customHeight="1">
      <c r="A138" s="570">
        <v>44674</v>
      </c>
      <c r="B138" s="526"/>
      <c r="C138" s="523" t="s">
        <v>64</v>
      </c>
      <c r="D138" s="524"/>
      <c r="E138" s="525"/>
      <c r="F138" s="525"/>
      <c r="G138" s="525"/>
      <c r="H138" s="525"/>
      <c r="I138" s="525"/>
      <c r="J138" s="525"/>
      <c r="K138" s="525"/>
      <c r="L138" s="525"/>
      <c r="M138" s="525"/>
      <c r="N138" s="525"/>
      <c r="O138" s="525"/>
      <c r="P138" s="525"/>
      <c r="Q138" s="525"/>
      <c r="R138" s="525"/>
      <c r="S138" s="525"/>
      <c r="T138" s="525">
        <v>300</v>
      </c>
      <c r="U138" s="525"/>
      <c r="V138" s="525"/>
      <c r="W138" s="525"/>
      <c r="Y138" s="519"/>
      <c r="Z138" s="519"/>
    </row>
    <row r="139" spans="1:26" ht="17.25" hidden="1" customHeight="1">
      <c r="A139" s="547"/>
      <c r="B139" s="573"/>
      <c r="C139" s="550"/>
      <c r="D139" s="550"/>
      <c r="E139" s="550"/>
      <c r="F139" s="550"/>
      <c r="G139" s="550"/>
      <c r="H139" s="550"/>
      <c r="I139" s="550"/>
      <c r="J139" s="550"/>
      <c r="K139" s="550"/>
      <c r="L139" s="550"/>
      <c r="M139" s="550"/>
      <c r="N139" s="550"/>
      <c r="O139" s="550"/>
      <c r="P139" s="550"/>
      <c r="Q139" s="550"/>
      <c r="R139" s="550"/>
      <c r="S139" s="550"/>
      <c r="T139" s="550"/>
      <c r="U139" s="550"/>
      <c r="V139" s="550"/>
      <c r="W139" s="550"/>
      <c r="Y139" s="519"/>
      <c r="Z139" s="519"/>
    </row>
    <row r="140" spans="1:26" ht="17.25" hidden="1" customHeight="1">
      <c r="A140" s="521">
        <v>44652</v>
      </c>
      <c r="B140" s="551"/>
      <c r="C140" s="552" t="s">
        <v>188</v>
      </c>
      <c r="D140" s="524"/>
      <c r="E140" s="525"/>
      <c r="F140" s="525"/>
      <c r="G140" s="525"/>
      <c r="H140" s="525"/>
      <c r="I140" s="525"/>
      <c r="J140" s="525"/>
      <c r="K140" s="525"/>
      <c r="L140" s="525"/>
      <c r="M140" s="525">
        <v>14.8</v>
      </c>
      <c r="N140" s="525"/>
      <c r="O140" s="525"/>
      <c r="P140" s="525"/>
      <c r="Q140" s="525"/>
      <c r="R140" s="525"/>
      <c r="S140" s="525"/>
      <c r="T140" s="525"/>
      <c r="U140" s="525"/>
      <c r="V140" s="525"/>
      <c r="W140" s="525"/>
      <c r="Y140" s="519"/>
      <c r="Z140" s="519"/>
    </row>
    <row r="141" spans="1:26" ht="15.75" hidden="1" customHeight="1">
      <c r="A141" s="521">
        <v>44652</v>
      </c>
      <c r="B141" s="560"/>
      <c r="C141" s="552" t="s">
        <v>180</v>
      </c>
      <c r="D141" s="524"/>
      <c r="E141" s="561"/>
      <c r="F141" s="525"/>
      <c r="G141" s="525"/>
      <c r="H141" s="525"/>
      <c r="I141" s="525"/>
      <c r="J141" s="525"/>
      <c r="K141" s="525"/>
      <c r="L141" s="525"/>
      <c r="M141" s="525"/>
      <c r="N141" s="525"/>
      <c r="O141" s="525">
        <v>64.69</v>
      </c>
      <c r="P141" s="525"/>
      <c r="Q141" s="525"/>
      <c r="R141" s="525"/>
      <c r="S141" s="525"/>
      <c r="T141" s="525"/>
      <c r="U141" s="525"/>
      <c r="V141" s="525"/>
      <c r="W141" s="525"/>
      <c r="Y141" s="519"/>
      <c r="Z141" s="519"/>
    </row>
    <row r="142" spans="1:26" ht="15.75" hidden="1" customHeight="1">
      <c r="A142" s="521">
        <v>44652</v>
      </c>
      <c r="B142" s="560"/>
      <c r="C142" s="552" t="s">
        <v>194</v>
      </c>
      <c r="D142" s="524"/>
      <c r="E142" s="561"/>
      <c r="F142" s="525"/>
      <c r="G142" s="525"/>
      <c r="H142" s="525"/>
      <c r="I142" s="525"/>
      <c r="J142" s="525"/>
      <c r="K142" s="525"/>
      <c r="L142" s="525"/>
      <c r="M142" s="525"/>
      <c r="N142" s="525"/>
      <c r="O142" s="525"/>
      <c r="P142" s="525"/>
      <c r="Q142" s="525"/>
      <c r="R142" s="525"/>
      <c r="S142" s="525">
        <v>9.16</v>
      </c>
      <c r="T142" s="525"/>
      <c r="U142" s="525"/>
      <c r="V142" s="525"/>
      <c r="W142" s="525"/>
      <c r="Y142" s="519"/>
      <c r="Z142" s="519"/>
    </row>
    <row r="143" spans="1:26" ht="15.75" hidden="1" customHeight="1">
      <c r="A143" s="521">
        <v>44655</v>
      </c>
      <c r="B143" s="560" t="s">
        <v>213</v>
      </c>
      <c r="C143" s="552" t="s">
        <v>214</v>
      </c>
      <c r="D143" s="524">
        <v>6494</v>
      </c>
      <c r="E143" s="561"/>
      <c r="F143" s="525"/>
      <c r="G143" s="525"/>
      <c r="H143" s="525"/>
      <c r="I143" s="525"/>
      <c r="J143" s="525"/>
      <c r="K143" s="525"/>
      <c r="L143" s="525"/>
      <c r="M143" s="525"/>
      <c r="N143" s="525"/>
      <c r="O143" s="525"/>
      <c r="P143" s="525"/>
      <c r="Q143" s="525"/>
      <c r="R143" s="525"/>
      <c r="S143" s="525"/>
      <c r="T143" s="525"/>
      <c r="U143" s="525"/>
      <c r="V143" s="525"/>
      <c r="W143" s="525"/>
      <c r="Y143" s="519"/>
      <c r="Z143" s="519"/>
    </row>
    <row r="144" spans="1:26" ht="15.75" hidden="1" customHeight="1">
      <c r="A144" s="521">
        <v>44655</v>
      </c>
      <c r="B144" s="560"/>
      <c r="C144" s="552" t="s">
        <v>215</v>
      </c>
      <c r="D144" s="524"/>
      <c r="E144" s="561"/>
      <c r="F144" s="525"/>
      <c r="G144" s="525"/>
      <c r="H144" s="525"/>
      <c r="I144" s="525"/>
      <c r="J144" s="525"/>
      <c r="K144" s="525"/>
      <c r="L144" s="525"/>
      <c r="M144" s="525"/>
      <c r="N144" s="525"/>
      <c r="O144" s="525"/>
      <c r="P144" s="525"/>
      <c r="Q144" s="525">
        <v>0.7</v>
      </c>
      <c r="R144" s="525"/>
      <c r="S144" s="525"/>
      <c r="T144" s="525"/>
      <c r="U144" s="525"/>
      <c r="V144" s="525"/>
      <c r="W144" s="525">
        <v>500</v>
      </c>
      <c r="Y144" s="519"/>
      <c r="Z144" s="519"/>
    </row>
    <row r="145" spans="1:26" ht="15.75" hidden="1" customHeight="1">
      <c r="A145" s="521">
        <v>44655</v>
      </c>
      <c r="B145" s="560"/>
      <c r="C145" s="552" t="s">
        <v>216</v>
      </c>
      <c r="D145" s="524"/>
      <c r="E145" s="561"/>
      <c r="F145" s="525"/>
      <c r="G145" s="525"/>
      <c r="H145" s="525"/>
      <c r="I145" s="525"/>
      <c r="J145" s="525"/>
      <c r="K145" s="525"/>
      <c r="L145" s="525"/>
      <c r="M145" s="525"/>
      <c r="N145" s="525"/>
      <c r="O145" s="525"/>
      <c r="P145" s="525"/>
      <c r="Q145" s="525">
        <v>414.12</v>
      </c>
      <c r="R145" s="525"/>
      <c r="S145" s="525"/>
      <c r="T145" s="525"/>
      <c r="U145" s="525"/>
      <c r="V145" s="525"/>
      <c r="W145" s="525"/>
      <c r="Y145" s="519"/>
      <c r="Z145" s="519"/>
    </row>
    <row r="146" spans="1:26" ht="15.75" hidden="1" customHeight="1">
      <c r="A146" s="521">
        <v>44656</v>
      </c>
      <c r="B146" s="560"/>
      <c r="C146" s="552" t="s">
        <v>217</v>
      </c>
      <c r="D146" s="524"/>
      <c r="E146" s="561"/>
      <c r="F146" s="525"/>
      <c r="G146" s="525"/>
      <c r="H146" s="525"/>
      <c r="I146" s="525"/>
      <c r="J146" s="525"/>
      <c r="K146" s="525"/>
      <c r="L146" s="525">
        <v>36.03</v>
      </c>
      <c r="M146" s="525"/>
      <c r="N146" s="525"/>
      <c r="O146" s="525"/>
      <c r="P146" s="525"/>
      <c r="Q146" s="525"/>
      <c r="R146" s="525"/>
      <c r="S146" s="525"/>
      <c r="T146" s="525"/>
      <c r="U146" s="525"/>
      <c r="V146" s="525"/>
      <c r="W146" s="525"/>
      <c r="Y146" s="519"/>
      <c r="Z146" s="519"/>
    </row>
    <row r="147" spans="1:26" ht="15.75" hidden="1" customHeight="1">
      <c r="A147" s="521">
        <v>44656</v>
      </c>
      <c r="B147" s="560" t="s">
        <v>218</v>
      </c>
      <c r="C147" s="552" t="s">
        <v>219</v>
      </c>
      <c r="D147" s="524">
        <v>750</v>
      </c>
      <c r="E147" s="561"/>
      <c r="F147" s="525"/>
      <c r="G147" s="525"/>
      <c r="H147" s="525"/>
      <c r="I147" s="525"/>
      <c r="J147" s="525"/>
      <c r="K147" s="525"/>
      <c r="L147" s="525"/>
      <c r="M147" s="525"/>
      <c r="N147" s="525"/>
      <c r="O147" s="525"/>
      <c r="P147" s="525"/>
      <c r="Q147" s="525">
        <v>0.85</v>
      </c>
      <c r="R147" s="525"/>
      <c r="S147" s="525"/>
      <c r="T147" s="525"/>
      <c r="U147" s="525"/>
      <c r="V147" s="525"/>
      <c r="W147" s="525"/>
      <c r="Y147" s="519"/>
      <c r="Z147" s="519"/>
    </row>
    <row r="148" spans="1:26" ht="15.75" hidden="1" customHeight="1" thickBot="1">
      <c r="A148" s="538">
        <v>44656</v>
      </c>
      <c r="B148" s="564"/>
      <c r="C148" s="565" t="s">
        <v>174</v>
      </c>
      <c r="D148" s="541"/>
      <c r="E148" s="566"/>
      <c r="F148" s="542"/>
      <c r="G148" s="542"/>
      <c r="H148" s="542"/>
      <c r="I148" s="542"/>
      <c r="J148" s="542"/>
      <c r="K148" s="542">
        <v>11.95</v>
      </c>
      <c r="L148" s="542"/>
      <c r="M148" s="542"/>
      <c r="N148" s="542"/>
      <c r="O148" s="542"/>
      <c r="P148" s="542"/>
      <c r="Q148" s="542"/>
      <c r="R148" s="542"/>
      <c r="S148" s="542"/>
      <c r="T148" s="542"/>
      <c r="U148" s="542"/>
      <c r="V148" s="542"/>
      <c r="W148" s="542"/>
      <c r="Y148" s="519"/>
      <c r="Z148" s="519"/>
    </row>
    <row r="149" spans="1:26" ht="15.75" hidden="1" customHeight="1" thickTop="1">
      <c r="A149" s="570">
        <v>44657</v>
      </c>
      <c r="B149" s="560"/>
      <c r="C149" s="552" t="s">
        <v>220</v>
      </c>
      <c r="D149" s="524"/>
      <c r="E149" s="561"/>
      <c r="F149" s="525"/>
      <c r="G149" s="525"/>
      <c r="H149" s="525"/>
      <c r="I149" s="525">
        <v>12.87</v>
      </c>
      <c r="J149" s="525"/>
      <c r="K149" s="525"/>
      <c r="L149" s="525"/>
      <c r="M149" s="525"/>
      <c r="N149" s="525"/>
      <c r="O149" s="525"/>
      <c r="P149" s="525"/>
      <c r="Q149" s="525"/>
      <c r="R149" s="525"/>
      <c r="S149" s="525"/>
      <c r="T149" s="525"/>
      <c r="U149" s="525"/>
      <c r="V149" s="525"/>
      <c r="W149" s="525"/>
      <c r="Y149" s="519"/>
      <c r="Z149" s="519"/>
    </row>
    <row r="150" spans="1:26" ht="15.75" hidden="1" customHeight="1">
      <c r="A150" s="570">
        <v>44657</v>
      </c>
      <c r="B150" s="560"/>
      <c r="C150" s="552" t="s">
        <v>174</v>
      </c>
      <c r="D150" s="524"/>
      <c r="E150" s="561"/>
      <c r="F150" s="525"/>
      <c r="G150" s="525"/>
      <c r="H150" s="525"/>
      <c r="I150" s="525"/>
      <c r="J150" s="525"/>
      <c r="K150" s="525">
        <v>12.01</v>
      </c>
      <c r="L150" s="525"/>
      <c r="M150" s="525"/>
      <c r="N150" s="525"/>
      <c r="O150" s="525"/>
      <c r="P150" s="525"/>
      <c r="Q150" s="525"/>
      <c r="R150" s="525"/>
      <c r="S150" s="525"/>
      <c r="T150" s="525"/>
      <c r="U150" s="525"/>
      <c r="V150" s="525"/>
      <c r="W150" s="525"/>
      <c r="Y150" s="519"/>
      <c r="Z150" s="519"/>
    </row>
    <row r="151" spans="1:26" ht="15.75" hidden="1" customHeight="1">
      <c r="A151" s="570">
        <v>44657</v>
      </c>
      <c r="B151" s="560"/>
      <c r="C151" s="552" t="s">
        <v>174</v>
      </c>
      <c r="D151" s="524"/>
      <c r="E151" s="561"/>
      <c r="F151" s="525"/>
      <c r="G151" s="525"/>
      <c r="H151" s="525"/>
      <c r="I151" s="525"/>
      <c r="J151" s="525"/>
      <c r="K151" s="525">
        <v>12.01</v>
      </c>
      <c r="L151" s="525"/>
      <c r="M151" s="525"/>
      <c r="N151" s="525"/>
      <c r="O151" s="525"/>
      <c r="P151" s="525"/>
      <c r="Q151" s="525"/>
      <c r="R151" s="525"/>
      <c r="S151" s="525"/>
      <c r="T151" s="525"/>
      <c r="U151" s="525"/>
      <c r="V151" s="525"/>
      <c r="W151" s="525"/>
      <c r="Y151" s="519"/>
      <c r="Z151" s="519"/>
    </row>
    <row r="152" spans="1:26" ht="15.75" hidden="1" customHeight="1">
      <c r="A152" s="570">
        <v>44657</v>
      </c>
      <c r="B152" s="560"/>
      <c r="C152" s="552" t="s">
        <v>174</v>
      </c>
      <c r="D152" s="524"/>
      <c r="E152" s="561"/>
      <c r="F152" s="525"/>
      <c r="G152" s="525"/>
      <c r="H152" s="525"/>
      <c r="I152" s="525"/>
      <c r="J152" s="525"/>
      <c r="K152" s="525">
        <v>12.01</v>
      </c>
      <c r="L152" s="525"/>
      <c r="M152" s="525"/>
      <c r="N152" s="525"/>
      <c r="O152" s="525"/>
      <c r="P152" s="525"/>
      <c r="Q152" s="525"/>
      <c r="R152" s="525"/>
      <c r="S152" s="525"/>
      <c r="T152" s="525"/>
      <c r="U152" s="525"/>
      <c r="V152" s="525"/>
      <c r="W152" s="525"/>
      <c r="Y152" s="519"/>
      <c r="Z152" s="519"/>
    </row>
    <row r="153" spans="1:26" ht="15.75" hidden="1" customHeight="1">
      <c r="A153" s="570">
        <v>44662</v>
      </c>
      <c r="B153" s="560"/>
      <c r="C153" s="552" t="s">
        <v>174</v>
      </c>
      <c r="D153" s="524"/>
      <c r="E153" s="561"/>
      <c r="F153" s="525"/>
      <c r="G153" s="525"/>
      <c r="H153" s="525"/>
      <c r="I153" s="525"/>
      <c r="J153" s="525"/>
      <c r="K153" s="525">
        <v>12.04</v>
      </c>
      <c r="L153" s="525"/>
      <c r="M153" s="525"/>
      <c r="N153" s="525"/>
      <c r="O153" s="525"/>
      <c r="P153" s="525"/>
      <c r="Q153" s="525"/>
      <c r="R153" s="525"/>
      <c r="S153" s="525"/>
      <c r="T153" s="525"/>
      <c r="U153" s="525"/>
      <c r="V153" s="525"/>
      <c r="W153" s="525"/>
      <c r="Y153" s="519"/>
      <c r="Z153" s="519"/>
    </row>
    <row r="154" spans="1:26" ht="15.75" hidden="1" customHeight="1">
      <c r="A154" s="570">
        <v>44662</v>
      </c>
      <c r="B154" s="560"/>
      <c r="C154" s="552" t="s">
        <v>174</v>
      </c>
      <c r="D154" s="524"/>
      <c r="E154" s="561"/>
      <c r="F154" s="525"/>
      <c r="G154" s="525"/>
      <c r="H154" s="525"/>
      <c r="I154" s="525"/>
      <c r="J154" s="525"/>
      <c r="K154" s="525">
        <v>12.04</v>
      </c>
      <c r="L154" s="525"/>
      <c r="M154" s="525"/>
      <c r="N154" s="525"/>
      <c r="O154" s="525"/>
      <c r="P154" s="525"/>
      <c r="Q154" s="525"/>
      <c r="R154" s="525"/>
      <c r="S154" s="525"/>
      <c r="T154" s="525"/>
      <c r="U154" s="525"/>
      <c r="V154" s="525"/>
      <c r="W154" s="525"/>
      <c r="Y154" s="519"/>
      <c r="Z154" s="519"/>
    </row>
    <row r="155" spans="1:26" ht="15.75" hidden="1" customHeight="1">
      <c r="A155" s="570">
        <v>44662</v>
      </c>
      <c r="B155" s="560"/>
      <c r="C155" s="552" t="s">
        <v>174</v>
      </c>
      <c r="D155" s="524"/>
      <c r="E155" s="561"/>
      <c r="F155" s="525"/>
      <c r="G155" s="525"/>
      <c r="H155" s="525"/>
      <c r="I155" s="525"/>
      <c r="J155" s="525"/>
      <c r="K155" s="525">
        <v>12.04</v>
      </c>
      <c r="L155" s="525"/>
      <c r="M155" s="525"/>
      <c r="N155" s="525"/>
      <c r="O155" s="525"/>
      <c r="P155" s="525"/>
      <c r="Q155" s="525"/>
      <c r="R155" s="525"/>
      <c r="S155" s="525"/>
      <c r="T155" s="525"/>
      <c r="U155" s="525"/>
      <c r="V155" s="525"/>
      <c r="W155" s="525"/>
      <c r="Y155" s="519"/>
      <c r="Z155" s="519"/>
    </row>
    <row r="156" spans="1:26" ht="15.75" hidden="1" customHeight="1">
      <c r="A156" s="570">
        <v>44662</v>
      </c>
      <c r="B156" s="560"/>
      <c r="C156" s="552" t="s">
        <v>220</v>
      </c>
      <c r="D156" s="524"/>
      <c r="E156" s="561"/>
      <c r="F156" s="525"/>
      <c r="G156" s="525"/>
      <c r="H156" s="525"/>
      <c r="I156" s="525">
        <v>13.4</v>
      </c>
      <c r="J156" s="525"/>
      <c r="K156" s="525"/>
      <c r="L156" s="525"/>
      <c r="M156" s="525"/>
      <c r="N156" s="525"/>
      <c r="O156" s="525"/>
      <c r="P156" s="525"/>
      <c r="Q156" s="525"/>
      <c r="R156" s="525"/>
      <c r="S156" s="525"/>
      <c r="T156" s="525"/>
      <c r="U156" s="525"/>
      <c r="V156" s="525"/>
      <c r="W156" s="525"/>
      <c r="Y156" s="519"/>
      <c r="Z156" s="519"/>
    </row>
    <row r="157" spans="1:26" ht="15.75" hidden="1" customHeight="1">
      <c r="A157" s="570">
        <v>44665</v>
      </c>
      <c r="B157" s="560"/>
      <c r="C157" s="552" t="s">
        <v>174</v>
      </c>
      <c r="D157" s="524"/>
      <c r="E157" s="561"/>
      <c r="F157" s="525"/>
      <c r="G157" s="525"/>
      <c r="H157" s="525"/>
      <c r="I157" s="525"/>
      <c r="J157" s="525"/>
      <c r="K157" s="525">
        <v>12.03</v>
      </c>
      <c r="L157" s="525"/>
      <c r="M157" s="525"/>
      <c r="N157" s="525"/>
      <c r="O157" s="525"/>
      <c r="P157" s="525"/>
      <c r="Q157" s="525"/>
      <c r="R157" s="525"/>
      <c r="S157" s="525"/>
      <c r="T157" s="525"/>
      <c r="U157" s="525"/>
      <c r="V157" s="525"/>
      <c r="W157" s="525"/>
      <c r="Y157" s="519"/>
      <c r="Z157" s="519"/>
    </row>
    <row r="158" spans="1:26" ht="15.75" hidden="1" customHeight="1">
      <c r="A158" s="570">
        <v>44665</v>
      </c>
      <c r="B158" s="560"/>
      <c r="C158" s="552" t="s">
        <v>174</v>
      </c>
      <c r="D158" s="524"/>
      <c r="E158" s="561"/>
      <c r="F158" s="525"/>
      <c r="G158" s="525"/>
      <c r="H158" s="525"/>
      <c r="I158" s="525"/>
      <c r="J158" s="525"/>
      <c r="K158" s="525">
        <v>12.03</v>
      </c>
      <c r="L158" s="525"/>
      <c r="M158" s="525"/>
      <c r="N158" s="525"/>
      <c r="O158" s="525"/>
      <c r="P158" s="525"/>
      <c r="Q158" s="525"/>
      <c r="R158" s="525"/>
      <c r="S158" s="525"/>
      <c r="T158" s="525"/>
      <c r="U158" s="525"/>
      <c r="V158" s="525"/>
      <c r="W158" s="525"/>
      <c r="Y158" s="519"/>
      <c r="Z158" s="519"/>
    </row>
    <row r="159" spans="1:26" ht="15.75" hidden="1" customHeight="1">
      <c r="A159" s="570">
        <v>44670</v>
      </c>
      <c r="B159" s="560"/>
      <c r="C159" s="552" t="s">
        <v>221</v>
      </c>
      <c r="D159" s="524"/>
      <c r="E159" s="561"/>
      <c r="F159" s="525"/>
      <c r="G159" s="525"/>
      <c r="H159" s="525"/>
      <c r="I159" s="525"/>
      <c r="J159" s="525"/>
      <c r="K159" s="525"/>
      <c r="L159" s="525"/>
      <c r="M159" s="525">
        <v>26.53</v>
      </c>
      <c r="N159" s="525"/>
      <c r="O159" s="525"/>
      <c r="P159" s="525"/>
      <c r="Q159" s="525"/>
      <c r="R159" s="525"/>
      <c r="S159" s="525"/>
      <c r="T159" s="525"/>
      <c r="U159" s="525"/>
      <c r="V159" s="525"/>
      <c r="W159" s="525"/>
      <c r="Y159" s="519"/>
      <c r="Z159" s="519"/>
    </row>
    <row r="160" spans="1:26" ht="15.75" hidden="1" customHeight="1">
      <c r="A160" s="570">
        <v>44672</v>
      </c>
      <c r="B160" s="560"/>
      <c r="C160" s="552" t="s">
        <v>190</v>
      </c>
      <c r="D160" s="524"/>
      <c r="E160" s="525"/>
      <c r="F160" s="525"/>
      <c r="G160" s="525"/>
      <c r="H160" s="525"/>
      <c r="I160" s="525"/>
      <c r="J160" s="525"/>
      <c r="K160" s="525"/>
      <c r="L160" s="525">
        <v>337.82</v>
      </c>
      <c r="M160" s="525"/>
      <c r="N160" s="525"/>
      <c r="O160" s="525"/>
      <c r="P160" s="525"/>
      <c r="Q160" s="525"/>
      <c r="R160" s="525"/>
      <c r="S160" s="525"/>
      <c r="T160" s="525"/>
      <c r="U160" s="525"/>
      <c r="V160" s="525"/>
      <c r="W160" s="525"/>
      <c r="Y160" s="519"/>
      <c r="Z160" s="519"/>
    </row>
    <row r="161" spans="1:26" ht="15.75" hidden="1" customHeight="1">
      <c r="A161" s="570">
        <v>44672</v>
      </c>
      <c r="B161" s="560"/>
      <c r="C161" s="552" t="s">
        <v>222</v>
      </c>
      <c r="D161" s="524"/>
      <c r="E161" s="525"/>
      <c r="F161" s="525"/>
      <c r="G161" s="525"/>
      <c r="H161" s="525"/>
      <c r="I161" s="525"/>
      <c r="J161" s="525"/>
      <c r="K161" s="525"/>
      <c r="L161" s="525"/>
      <c r="M161" s="525"/>
      <c r="N161" s="525"/>
      <c r="O161" s="525"/>
      <c r="P161" s="525"/>
      <c r="Q161" s="525">
        <v>330.03</v>
      </c>
      <c r="R161" s="525"/>
      <c r="S161" s="525"/>
      <c r="T161" s="525"/>
      <c r="U161" s="525"/>
      <c r="V161" s="525"/>
      <c r="W161" s="525"/>
      <c r="Y161" s="519"/>
      <c r="Z161" s="519"/>
    </row>
    <row r="162" spans="1:26" ht="15.75" hidden="1" customHeight="1">
      <c r="A162" s="570">
        <v>44672</v>
      </c>
      <c r="B162" s="560"/>
      <c r="C162" s="552" t="s">
        <v>221</v>
      </c>
      <c r="D162" s="524"/>
      <c r="E162" s="525"/>
      <c r="F162" s="525"/>
      <c r="G162" s="525"/>
      <c r="H162" s="525"/>
      <c r="I162" s="525"/>
      <c r="J162" s="525"/>
      <c r="K162" s="525"/>
      <c r="L162" s="525"/>
      <c r="M162" s="525">
        <v>43.74</v>
      </c>
      <c r="N162" s="525"/>
      <c r="O162" s="525"/>
      <c r="P162" s="525"/>
      <c r="Q162" s="525"/>
      <c r="R162" s="525"/>
      <c r="S162" s="525"/>
      <c r="T162" s="525"/>
      <c r="U162" s="525"/>
      <c r="V162" s="525"/>
      <c r="W162" s="525"/>
      <c r="Y162" s="519"/>
      <c r="Z162" s="519"/>
    </row>
    <row r="163" spans="1:26" ht="15.75" hidden="1" customHeight="1">
      <c r="A163" s="570">
        <v>44673</v>
      </c>
      <c r="B163" s="560"/>
      <c r="C163" s="552" t="s">
        <v>223</v>
      </c>
      <c r="D163" s="524"/>
      <c r="E163" s="525"/>
      <c r="F163" s="525"/>
      <c r="G163" s="525"/>
      <c r="H163" s="525"/>
      <c r="I163" s="525"/>
      <c r="J163" s="525"/>
      <c r="K163" s="525"/>
      <c r="L163" s="525"/>
      <c r="M163" s="525">
        <v>35.85</v>
      </c>
      <c r="N163" s="525"/>
      <c r="O163" s="525"/>
      <c r="P163" s="525"/>
      <c r="Q163" s="525"/>
      <c r="R163" s="525"/>
      <c r="S163" s="525"/>
      <c r="T163" s="525"/>
      <c r="U163" s="525"/>
      <c r="V163" s="525"/>
      <c r="W163" s="525"/>
      <c r="Y163" s="519"/>
      <c r="Z163" s="519"/>
    </row>
    <row r="164" spans="1:26" ht="15.75" hidden="1" customHeight="1">
      <c r="A164" s="570">
        <v>44681</v>
      </c>
      <c r="B164" s="560"/>
      <c r="C164" s="552" t="s">
        <v>208</v>
      </c>
      <c r="D164" s="524"/>
      <c r="E164" s="561"/>
      <c r="F164" s="525"/>
      <c r="G164" s="525"/>
      <c r="H164" s="525"/>
      <c r="I164" s="525"/>
      <c r="J164" s="525"/>
      <c r="K164" s="525"/>
      <c r="L164" s="525"/>
      <c r="M164" s="525"/>
      <c r="N164" s="525"/>
      <c r="O164" s="525"/>
      <c r="P164" s="525"/>
      <c r="Q164" s="525"/>
      <c r="R164" s="525"/>
      <c r="S164" s="525">
        <v>19.13</v>
      </c>
      <c r="T164" s="525"/>
      <c r="U164" s="525"/>
      <c r="V164" s="525"/>
      <c r="W164" s="525"/>
      <c r="Y164" s="519"/>
      <c r="Z164" s="519"/>
    </row>
    <row r="165" spans="1:26" ht="15.75" hidden="1" customHeight="1" thickBot="1">
      <c r="A165" s="574"/>
      <c r="B165" s="564"/>
      <c r="C165" s="565"/>
      <c r="D165" s="541"/>
      <c r="E165" s="542"/>
      <c r="F165" s="542"/>
      <c r="G165" s="542"/>
      <c r="H165" s="542"/>
      <c r="I165" s="542"/>
      <c r="J165" s="542"/>
      <c r="K165" s="542"/>
      <c r="L165" s="542"/>
      <c r="M165" s="542"/>
      <c r="N165" s="542"/>
      <c r="O165" s="542"/>
      <c r="P165" s="542"/>
      <c r="Q165" s="542"/>
      <c r="R165" s="542"/>
      <c r="S165" s="542"/>
      <c r="T165" s="542"/>
      <c r="U165" s="542"/>
      <c r="V165" s="542"/>
      <c r="W165" s="542"/>
      <c r="Y165" s="519"/>
      <c r="Z165" s="519"/>
    </row>
    <row r="166" spans="1:26" ht="15.75" hidden="1" customHeight="1" thickTop="1">
      <c r="A166" s="543"/>
      <c r="B166" s="554">
        <v>44682</v>
      </c>
      <c r="C166" s="575"/>
      <c r="D166" s="576"/>
      <c r="E166" s="545"/>
      <c r="F166" s="545"/>
      <c r="G166" s="545"/>
      <c r="H166" s="545"/>
      <c r="I166" s="545"/>
      <c r="J166" s="545"/>
      <c r="K166" s="545"/>
      <c r="L166" s="545"/>
      <c r="M166" s="545"/>
      <c r="N166" s="545"/>
      <c r="O166" s="545"/>
      <c r="P166" s="545"/>
      <c r="Q166" s="545"/>
      <c r="R166" s="545"/>
      <c r="S166" s="545"/>
      <c r="T166" s="545"/>
      <c r="U166" s="545"/>
      <c r="V166" s="545"/>
      <c r="W166" s="545"/>
      <c r="X166" s="577"/>
      <c r="Y166" s="519"/>
      <c r="Z166" s="519"/>
    </row>
    <row r="167" spans="1:26" ht="15.75" hidden="1" customHeight="1">
      <c r="A167" s="570">
        <v>44683</v>
      </c>
      <c r="B167" s="567"/>
      <c r="C167" s="523" t="s">
        <v>62</v>
      </c>
      <c r="D167" s="524"/>
      <c r="E167" s="525"/>
      <c r="F167" s="525"/>
      <c r="G167" s="525"/>
      <c r="H167" s="525"/>
      <c r="I167" s="525"/>
      <c r="J167" s="525"/>
      <c r="K167" s="525"/>
      <c r="L167" s="525"/>
      <c r="M167" s="525"/>
      <c r="N167" s="525"/>
      <c r="O167" s="525"/>
      <c r="P167" s="525"/>
      <c r="Q167" s="525"/>
      <c r="R167" s="525"/>
      <c r="S167" s="525"/>
      <c r="T167" s="525"/>
      <c r="U167" s="525"/>
      <c r="V167" s="525">
        <v>1036.55</v>
      </c>
      <c r="W167" s="525"/>
      <c r="Y167" s="519"/>
      <c r="Z167" s="519"/>
    </row>
    <row r="168" spans="1:26" ht="15.75" hidden="1" customHeight="1">
      <c r="A168" s="570">
        <v>44683</v>
      </c>
      <c r="B168" s="522" t="s">
        <v>224</v>
      </c>
      <c r="C168" s="523" t="s">
        <v>63</v>
      </c>
      <c r="D168" s="524"/>
      <c r="E168" s="525"/>
      <c r="F168" s="525"/>
      <c r="G168" s="525"/>
      <c r="H168" s="525"/>
      <c r="I168" s="525"/>
      <c r="J168" s="525"/>
      <c r="K168" s="525"/>
      <c r="L168" s="525"/>
      <c r="M168" s="525"/>
      <c r="N168" s="525"/>
      <c r="O168" s="525"/>
      <c r="P168" s="525"/>
      <c r="Q168" s="525"/>
      <c r="R168" s="525"/>
      <c r="S168" s="525"/>
      <c r="T168" s="525">
        <v>261.2</v>
      </c>
      <c r="U168" s="525"/>
      <c r="V168" s="525"/>
      <c r="W168" s="525"/>
      <c r="Y168" s="519"/>
      <c r="Z168" s="519"/>
    </row>
    <row r="169" spans="1:26" ht="15.75" hidden="1" customHeight="1">
      <c r="A169" s="570">
        <v>44683</v>
      </c>
      <c r="B169" s="522">
        <v>0.85114999999999996</v>
      </c>
      <c r="C169" s="523" t="s">
        <v>64</v>
      </c>
      <c r="D169" s="524"/>
      <c r="E169" s="525"/>
      <c r="F169" s="525"/>
      <c r="G169" s="525"/>
      <c r="H169" s="525"/>
      <c r="I169" s="525"/>
      <c r="J169" s="525"/>
      <c r="K169" s="525"/>
      <c r="L169" s="525"/>
      <c r="M169" s="525"/>
      <c r="N169" s="525"/>
      <c r="O169" s="525"/>
      <c r="P169" s="525"/>
      <c r="Q169" s="525"/>
      <c r="R169" s="525"/>
      <c r="S169" s="525"/>
      <c r="T169" s="525">
        <v>700</v>
      </c>
      <c r="U169" s="525"/>
      <c r="V169" s="525"/>
      <c r="W169" s="525"/>
      <c r="Y169" s="519"/>
      <c r="Z169" s="519"/>
    </row>
    <row r="170" spans="1:26" ht="15.75" hidden="1" customHeight="1">
      <c r="A170" s="570">
        <v>44684</v>
      </c>
      <c r="B170" s="546"/>
      <c r="C170" s="523" t="s">
        <v>65</v>
      </c>
      <c r="D170" s="524"/>
      <c r="E170" s="525"/>
      <c r="F170" s="525"/>
      <c r="G170" s="525"/>
      <c r="H170" s="525"/>
      <c r="I170" s="525"/>
      <c r="J170" s="525"/>
      <c r="K170" s="525"/>
      <c r="L170" s="525"/>
      <c r="M170" s="525"/>
      <c r="N170" s="525"/>
      <c r="O170" s="525"/>
      <c r="P170" s="525"/>
      <c r="Q170" s="525"/>
      <c r="R170" s="525"/>
      <c r="S170" s="525"/>
      <c r="T170" s="525">
        <v>18</v>
      </c>
      <c r="U170" s="525"/>
      <c r="V170" s="525"/>
      <c r="W170" s="525"/>
      <c r="Y170" s="519"/>
      <c r="Z170" s="519"/>
    </row>
    <row r="171" spans="1:26" ht="15.75" hidden="1" customHeight="1">
      <c r="A171" s="570">
        <v>44684</v>
      </c>
      <c r="B171" s="546"/>
      <c r="C171" s="527" t="s">
        <v>167</v>
      </c>
      <c r="D171" s="524"/>
      <c r="E171" s="525"/>
      <c r="F171" s="525"/>
      <c r="G171" s="525"/>
      <c r="H171" s="525"/>
      <c r="I171" s="525"/>
      <c r="J171" s="525"/>
      <c r="K171" s="525"/>
      <c r="L171" s="525"/>
      <c r="M171" s="525"/>
      <c r="N171" s="525"/>
      <c r="O171" s="525"/>
      <c r="P171" s="525"/>
      <c r="Q171" s="525"/>
      <c r="R171" s="525"/>
      <c r="S171" s="525">
        <v>9.16</v>
      </c>
      <c r="T171" s="525"/>
      <c r="U171" s="525"/>
      <c r="V171" s="525"/>
      <c r="W171" s="525"/>
      <c r="Y171" s="519"/>
      <c r="Z171" s="519"/>
    </row>
    <row r="172" spans="1:26" ht="15.75" hidden="1" customHeight="1">
      <c r="A172" s="570">
        <v>44690</v>
      </c>
      <c r="B172" s="546"/>
      <c r="C172" s="527" t="s">
        <v>225</v>
      </c>
      <c r="D172" s="524"/>
      <c r="E172" s="525"/>
      <c r="F172" s="525"/>
      <c r="G172" s="525"/>
      <c r="H172" s="525"/>
      <c r="I172" s="525"/>
      <c r="J172" s="525"/>
      <c r="K172" s="525"/>
      <c r="L172" s="525"/>
      <c r="M172" s="528"/>
      <c r="N172" s="525">
        <v>940</v>
      </c>
      <c r="O172" s="525"/>
      <c r="P172" s="525"/>
      <c r="Q172" s="525"/>
      <c r="R172" s="525"/>
      <c r="S172" s="525"/>
      <c r="T172" s="525"/>
      <c r="U172" s="525"/>
      <c r="V172" s="525"/>
      <c r="W172" s="525"/>
      <c r="Y172" s="519"/>
      <c r="Z172" s="519"/>
    </row>
    <row r="173" spans="1:26" ht="15.75" hidden="1" customHeight="1">
      <c r="A173" s="570">
        <v>44697</v>
      </c>
      <c r="B173" s="526"/>
      <c r="C173" s="523" t="s">
        <v>168</v>
      </c>
      <c r="D173" s="524"/>
      <c r="E173" s="525"/>
      <c r="F173" s="525"/>
      <c r="G173" s="525"/>
      <c r="H173" s="525"/>
      <c r="I173" s="525"/>
      <c r="J173" s="525"/>
      <c r="K173" s="525"/>
      <c r="L173" s="525"/>
      <c r="M173" s="525"/>
      <c r="N173" s="525"/>
      <c r="O173" s="525"/>
      <c r="P173" s="525"/>
      <c r="Q173" s="525"/>
      <c r="R173" s="525"/>
      <c r="S173" s="525"/>
      <c r="T173" s="525">
        <v>1608.68</v>
      </c>
      <c r="U173" s="525"/>
      <c r="V173" s="525"/>
      <c r="W173" s="525"/>
      <c r="Y173" s="519"/>
      <c r="Z173" s="519"/>
    </row>
    <row r="174" spans="1:26" ht="15.75" hidden="1" customHeight="1">
      <c r="A174" s="570">
        <v>44698</v>
      </c>
      <c r="B174" s="526"/>
      <c r="C174" s="523" t="s">
        <v>111</v>
      </c>
      <c r="D174" s="524"/>
      <c r="E174" s="525"/>
      <c r="F174" s="525"/>
      <c r="G174" s="525"/>
      <c r="H174" s="525"/>
      <c r="I174" s="525"/>
      <c r="J174" s="528"/>
      <c r="K174" s="525">
        <v>29.99</v>
      </c>
      <c r="L174" s="525"/>
      <c r="M174" s="525"/>
      <c r="N174" s="525"/>
      <c r="O174" s="525"/>
      <c r="P174" s="525"/>
      <c r="Q174" s="525"/>
      <c r="R174" s="525"/>
      <c r="S174" s="525"/>
      <c r="T174" s="525"/>
      <c r="U174" s="525"/>
      <c r="V174" s="525"/>
      <c r="W174" s="525"/>
      <c r="Y174" s="519"/>
      <c r="Z174" s="519"/>
    </row>
    <row r="175" spans="1:26" ht="15.75" hidden="1" customHeight="1">
      <c r="A175" s="570">
        <v>44700</v>
      </c>
      <c r="B175" s="526"/>
      <c r="C175" s="523" t="s">
        <v>78</v>
      </c>
      <c r="D175" s="524"/>
      <c r="E175" s="525"/>
      <c r="F175" s="525"/>
      <c r="G175" s="525"/>
      <c r="H175" s="525"/>
      <c r="I175" s="525"/>
      <c r="J175" s="525">
        <v>20.07</v>
      </c>
      <c r="K175" s="525"/>
      <c r="L175" s="525"/>
      <c r="M175" s="525"/>
      <c r="N175" s="525"/>
      <c r="O175" s="525"/>
      <c r="P175" s="525"/>
      <c r="Q175" s="525"/>
      <c r="R175" s="525"/>
      <c r="S175" s="525"/>
      <c r="T175" s="525"/>
      <c r="U175" s="525"/>
      <c r="V175" s="525"/>
      <c r="W175" s="525"/>
      <c r="Y175" s="519"/>
      <c r="Z175" s="519"/>
    </row>
    <row r="176" spans="1:26" ht="15.75" hidden="1" customHeight="1">
      <c r="A176" s="570">
        <v>44701</v>
      </c>
      <c r="B176" s="526"/>
      <c r="C176" s="523" t="s">
        <v>77</v>
      </c>
      <c r="D176" s="524"/>
      <c r="E176" s="525"/>
      <c r="F176" s="525"/>
      <c r="G176" s="525"/>
      <c r="H176" s="525"/>
      <c r="I176" s="525"/>
      <c r="J176" s="525"/>
      <c r="K176" s="525"/>
      <c r="L176" s="525"/>
      <c r="M176" s="525"/>
      <c r="N176" s="525"/>
      <c r="O176" s="525"/>
      <c r="P176" s="525"/>
      <c r="Q176" s="525"/>
      <c r="R176" s="525"/>
      <c r="S176" s="525"/>
      <c r="T176" s="525">
        <v>80</v>
      </c>
      <c r="U176" s="525"/>
      <c r="V176" s="525"/>
      <c r="W176" s="525"/>
      <c r="Y176" s="519"/>
      <c r="Z176" s="519"/>
    </row>
    <row r="177" spans="1:26" ht="15.75" hidden="1" customHeight="1">
      <c r="A177" s="570">
        <v>44702</v>
      </c>
      <c r="B177" s="526"/>
      <c r="C177" s="523" t="s">
        <v>167</v>
      </c>
      <c r="D177" s="524"/>
      <c r="E177" s="525"/>
      <c r="F177" s="525"/>
      <c r="G177" s="525"/>
      <c r="H177" s="525"/>
      <c r="I177" s="525"/>
      <c r="J177" s="525"/>
      <c r="K177" s="525"/>
      <c r="L177" s="525"/>
      <c r="M177" s="525"/>
      <c r="N177" s="525"/>
      <c r="O177" s="525"/>
      <c r="P177" s="525"/>
      <c r="Q177" s="525"/>
      <c r="R177" s="525"/>
      <c r="S177" s="525">
        <v>14</v>
      </c>
      <c r="T177" s="525"/>
      <c r="U177" s="525"/>
      <c r="V177" s="525"/>
      <c r="W177" s="525"/>
      <c r="Y177" s="519"/>
      <c r="Z177" s="519"/>
    </row>
    <row r="178" spans="1:26" ht="15.75" hidden="1" customHeight="1">
      <c r="A178" s="570">
        <v>44702</v>
      </c>
      <c r="B178" s="529"/>
      <c r="C178" s="523" t="s">
        <v>226</v>
      </c>
      <c r="D178" s="524"/>
      <c r="E178" s="525"/>
      <c r="F178" s="525"/>
      <c r="G178" s="525"/>
      <c r="H178" s="525"/>
      <c r="I178" s="525"/>
      <c r="J178" s="528"/>
      <c r="K178" s="525">
        <v>106.35</v>
      </c>
      <c r="L178" s="525"/>
      <c r="M178" s="525"/>
      <c r="N178" s="525"/>
      <c r="O178" s="525"/>
      <c r="P178" s="525"/>
      <c r="Q178" s="525"/>
      <c r="R178" s="525"/>
      <c r="S178" s="525"/>
      <c r="T178" s="525"/>
      <c r="U178" s="525"/>
      <c r="V178" s="525"/>
      <c r="W178" s="525"/>
      <c r="Y178" s="519"/>
      <c r="Z178" s="519"/>
    </row>
    <row r="179" spans="1:26" ht="15.75" hidden="1" customHeight="1">
      <c r="A179" s="570">
        <v>44704</v>
      </c>
      <c r="B179" s="526"/>
      <c r="C179" s="523" t="s">
        <v>64</v>
      </c>
      <c r="D179" s="524"/>
      <c r="E179" s="525"/>
      <c r="F179" s="525"/>
      <c r="G179" s="525"/>
      <c r="H179" s="525"/>
      <c r="I179" s="525"/>
      <c r="J179" s="525"/>
      <c r="K179" s="525"/>
      <c r="L179" s="525"/>
      <c r="M179" s="525"/>
      <c r="N179" s="525"/>
      <c r="O179" s="525"/>
      <c r="P179" s="525"/>
      <c r="Q179" s="525"/>
      <c r="R179" s="525"/>
      <c r="S179" s="525"/>
      <c r="T179" s="525">
        <v>300</v>
      </c>
      <c r="U179" s="525"/>
      <c r="V179" s="525"/>
      <c r="W179" s="525"/>
      <c r="Y179" s="519"/>
      <c r="Z179" s="519"/>
    </row>
    <row r="180" spans="1:26" ht="15.75" hidden="1" customHeight="1">
      <c r="A180" s="578"/>
      <c r="B180" s="578"/>
      <c r="C180" s="558"/>
      <c r="D180" s="579"/>
      <c r="E180" s="550"/>
      <c r="F180" s="550"/>
      <c r="G180" s="550"/>
      <c r="H180" s="550"/>
      <c r="I180" s="550"/>
      <c r="J180" s="550"/>
      <c r="K180" s="550"/>
      <c r="L180" s="550"/>
      <c r="M180" s="550"/>
      <c r="N180" s="550"/>
      <c r="O180" s="550"/>
      <c r="P180" s="550"/>
      <c r="Q180" s="550"/>
      <c r="R180" s="550"/>
      <c r="S180" s="550"/>
      <c r="T180" s="550"/>
      <c r="U180" s="550"/>
      <c r="V180" s="550"/>
      <c r="W180" s="550"/>
      <c r="Y180" s="519"/>
      <c r="Z180" s="519"/>
    </row>
    <row r="181" spans="1:26" ht="15.75" hidden="1" customHeight="1">
      <c r="A181" s="570">
        <v>44684</v>
      </c>
      <c r="B181" s="560"/>
      <c r="C181" s="552" t="s">
        <v>180</v>
      </c>
      <c r="D181" s="524"/>
      <c r="E181" s="525"/>
      <c r="F181" s="525"/>
      <c r="G181" s="525"/>
      <c r="H181" s="525"/>
      <c r="I181" s="525"/>
      <c r="J181" s="525"/>
      <c r="K181" s="525"/>
      <c r="L181" s="525"/>
      <c r="M181" s="525"/>
      <c r="N181" s="525"/>
      <c r="O181" s="525">
        <v>55.06</v>
      </c>
      <c r="P181" s="525"/>
      <c r="Q181" s="525"/>
      <c r="R181" s="525"/>
      <c r="S181" s="525"/>
      <c r="T181" s="525"/>
      <c r="U181" s="525"/>
      <c r="V181" s="525"/>
      <c r="W181" s="525"/>
      <c r="Y181" s="519"/>
      <c r="Z181" s="519"/>
    </row>
    <row r="182" spans="1:26" ht="15.75" hidden="1" customHeight="1">
      <c r="A182" s="570">
        <v>44686</v>
      </c>
      <c r="B182" s="560"/>
      <c r="C182" s="552" t="s">
        <v>174</v>
      </c>
      <c r="D182" s="524"/>
      <c r="E182" s="525"/>
      <c r="F182" s="525"/>
      <c r="G182" s="525"/>
      <c r="H182" s="525"/>
      <c r="I182" s="525"/>
      <c r="J182" s="525"/>
      <c r="K182" s="525">
        <v>11.9</v>
      </c>
      <c r="L182" s="525"/>
      <c r="M182" s="525"/>
      <c r="N182" s="525"/>
      <c r="O182" s="525"/>
      <c r="P182" s="525"/>
      <c r="Q182" s="525"/>
      <c r="R182" s="525"/>
      <c r="S182" s="525"/>
      <c r="T182" s="525"/>
      <c r="U182" s="525"/>
      <c r="V182" s="525"/>
      <c r="W182" s="525"/>
      <c r="Y182" s="519"/>
      <c r="Z182" s="519"/>
    </row>
    <row r="183" spans="1:26" ht="15.75" hidden="1" customHeight="1">
      <c r="A183" s="570">
        <v>44687</v>
      </c>
      <c r="B183" s="560" t="s">
        <v>227</v>
      </c>
      <c r="C183" s="552" t="s">
        <v>228</v>
      </c>
      <c r="D183" s="524">
        <v>900</v>
      </c>
      <c r="E183" s="525"/>
      <c r="F183" s="525"/>
      <c r="G183" s="525"/>
      <c r="H183" s="525"/>
      <c r="I183" s="525"/>
      <c r="J183" s="525"/>
      <c r="K183" s="525"/>
      <c r="L183" s="525"/>
      <c r="M183" s="525"/>
      <c r="N183" s="525"/>
      <c r="O183" s="525"/>
      <c r="P183" s="525"/>
      <c r="Q183" s="525"/>
      <c r="R183" s="525"/>
      <c r="S183" s="525"/>
      <c r="T183" s="525"/>
      <c r="U183" s="525"/>
      <c r="V183" s="525"/>
      <c r="W183" s="525"/>
      <c r="Y183" s="519"/>
      <c r="Z183" s="519"/>
    </row>
    <row r="184" spans="1:26" ht="15.75" hidden="1" customHeight="1">
      <c r="A184" s="570">
        <v>44687</v>
      </c>
      <c r="B184" s="560" t="s">
        <v>229</v>
      </c>
      <c r="C184" s="552" t="s">
        <v>91</v>
      </c>
      <c r="D184" s="524">
        <v>5548</v>
      </c>
      <c r="E184" s="525"/>
      <c r="F184" s="525"/>
      <c r="G184" s="525"/>
      <c r="H184" s="525"/>
      <c r="I184" s="525"/>
      <c r="J184" s="525"/>
      <c r="K184" s="525"/>
      <c r="L184" s="525"/>
      <c r="M184" s="525"/>
      <c r="N184" s="525"/>
      <c r="O184" s="525"/>
      <c r="P184" s="525"/>
      <c r="Q184" s="525"/>
      <c r="R184" s="525"/>
      <c r="S184" s="525"/>
      <c r="T184" s="525"/>
      <c r="U184" s="525"/>
      <c r="V184" s="525"/>
      <c r="W184" s="525"/>
      <c r="Y184" s="519"/>
      <c r="Z184" s="519"/>
    </row>
    <row r="185" spans="1:26" ht="15.75" hidden="1" customHeight="1">
      <c r="A185" s="570">
        <v>44687</v>
      </c>
      <c r="B185" s="560"/>
      <c r="C185" s="552" t="s">
        <v>174</v>
      </c>
      <c r="D185" s="524"/>
      <c r="E185" s="525"/>
      <c r="F185" s="525"/>
      <c r="G185" s="525"/>
      <c r="H185" s="525"/>
      <c r="I185" s="525"/>
      <c r="J185" s="525"/>
      <c r="K185" s="525">
        <v>11.91</v>
      </c>
      <c r="L185" s="525"/>
      <c r="M185" s="525"/>
      <c r="N185" s="525"/>
      <c r="O185" s="525"/>
      <c r="P185" s="525"/>
      <c r="Q185" s="525"/>
      <c r="R185" s="525"/>
      <c r="S185" s="525"/>
      <c r="T185" s="525"/>
      <c r="U185" s="525"/>
      <c r="V185" s="525"/>
      <c r="W185" s="525"/>
      <c r="Y185" s="519"/>
      <c r="Z185" s="519"/>
    </row>
    <row r="186" spans="1:26" ht="15.75" hidden="1" customHeight="1">
      <c r="A186" s="570">
        <v>44687</v>
      </c>
      <c r="B186" s="560"/>
      <c r="C186" s="552" t="s">
        <v>174</v>
      </c>
      <c r="D186" s="524"/>
      <c r="E186" s="525"/>
      <c r="F186" s="525"/>
      <c r="G186" s="525"/>
      <c r="H186" s="525"/>
      <c r="I186" s="525"/>
      <c r="J186" s="525"/>
      <c r="K186" s="525">
        <v>11.91</v>
      </c>
      <c r="L186" s="525"/>
      <c r="M186" s="525"/>
      <c r="N186" s="525"/>
      <c r="O186" s="525"/>
      <c r="P186" s="525"/>
      <c r="Q186" s="525"/>
      <c r="R186" s="525"/>
      <c r="S186" s="525"/>
      <c r="T186" s="525"/>
      <c r="U186" s="525"/>
      <c r="V186" s="525"/>
      <c r="W186" s="525"/>
      <c r="Y186" s="519"/>
      <c r="Z186" s="519"/>
    </row>
    <row r="187" spans="1:26" ht="15.75" hidden="1" customHeight="1">
      <c r="A187" s="570">
        <v>44687</v>
      </c>
      <c r="B187" s="560"/>
      <c r="C187" s="552" t="s">
        <v>174</v>
      </c>
      <c r="D187" s="524"/>
      <c r="E187" s="525"/>
      <c r="F187" s="525"/>
      <c r="G187" s="525"/>
      <c r="H187" s="525"/>
      <c r="I187" s="525"/>
      <c r="J187" s="525"/>
      <c r="K187" s="525">
        <v>11.91</v>
      </c>
      <c r="L187" s="525"/>
      <c r="M187" s="525"/>
      <c r="N187" s="525"/>
      <c r="O187" s="525"/>
      <c r="P187" s="525"/>
      <c r="Q187" s="525"/>
      <c r="R187" s="525"/>
      <c r="S187" s="525"/>
      <c r="T187" s="525"/>
      <c r="U187" s="525"/>
      <c r="V187" s="525"/>
      <c r="W187" s="525"/>
      <c r="Y187" s="519"/>
      <c r="Z187" s="519"/>
    </row>
    <row r="188" spans="1:26" ht="15.75" hidden="1" customHeight="1">
      <c r="A188" s="570">
        <v>44691</v>
      </c>
      <c r="B188" s="560"/>
      <c r="C188" s="552" t="s">
        <v>182</v>
      </c>
      <c r="D188" s="524"/>
      <c r="E188" s="525"/>
      <c r="F188" s="525"/>
      <c r="G188" s="525"/>
      <c r="H188" s="525"/>
      <c r="I188" s="525"/>
      <c r="J188" s="525"/>
      <c r="K188" s="525"/>
      <c r="L188" s="525"/>
      <c r="M188" s="525"/>
      <c r="N188" s="525"/>
      <c r="O188" s="525"/>
      <c r="P188" s="525"/>
      <c r="Q188" s="525"/>
      <c r="R188" s="525"/>
      <c r="S188" s="525"/>
      <c r="T188" s="525"/>
      <c r="U188" s="525"/>
      <c r="V188" s="525"/>
      <c r="W188" s="525"/>
      <c r="Y188" s="519"/>
      <c r="Z188" s="519"/>
    </row>
    <row r="189" spans="1:26" ht="15.75" hidden="1" customHeight="1">
      <c r="A189" s="570">
        <v>44692</v>
      </c>
      <c r="B189" s="560"/>
      <c r="C189" s="552" t="s">
        <v>174</v>
      </c>
      <c r="D189" s="524"/>
      <c r="E189" s="525"/>
      <c r="F189" s="525"/>
      <c r="G189" s="525"/>
      <c r="H189" s="525"/>
      <c r="I189" s="525"/>
      <c r="J189" s="525"/>
      <c r="K189" s="525">
        <v>11.72</v>
      </c>
      <c r="L189" s="525"/>
      <c r="M189" s="525"/>
      <c r="N189" s="525"/>
      <c r="O189" s="525"/>
      <c r="P189" s="525"/>
      <c r="Q189" s="525"/>
      <c r="R189" s="525"/>
      <c r="S189" s="525"/>
      <c r="T189" s="525"/>
      <c r="U189" s="525"/>
      <c r="V189" s="525"/>
      <c r="W189" s="525"/>
      <c r="Y189" s="519"/>
      <c r="Z189" s="519"/>
    </row>
    <row r="190" spans="1:26" ht="15.75" hidden="1" customHeight="1">
      <c r="A190" s="570">
        <v>44692</v>
      </c>
      <c r="B190" s="560"/>
      <c r="C190" s="552" t="s">
        <v>174</v>
      </c>
      <c r="D190" s="524"/>
      <c r="E190" s="525"/>
      <c r="F190" s="525"/>
      <c r="G190" s="525"/>
      <c r="H190" s="525"/>
      <c r="I190" s="525"/>
      <c r="J190" s="525"/>
      <c r="K190" s="525">
        <v>11.72</v>
      </c>
      <c r="L190" s="525"/>
      <c r="M190" s="525"/>
      <c r="N190" s="525"/>
      <c r="O190" s="525"/>
      <c r="P190" s="525"/>
      <c r="Q190" s="525"/>
      <c r="R190" s="525"/>
      <c r="S190" s="525"/>
      <c r="T190" s="525"/>
      <c r="U190" s="525"/>
      <c r="V190" s="525"/>
      <c r="W190" s="525"/>
      <c r="Y190" s="519"/>
      <c r="Z190" s="519"/>
    </row>
    <row r="191" spans="1:26" ht="15.75" hidden="1" customHeight="1">
      <c r="A191" s="570">
        <v>44692</v>
      </c>
      <c r="B191" s="560"/>
      <c r="C191" s="552" t="s">
        <v>174</v>
      </c>
      <c r="D191" s="524"/>
      <c r="E191" s="525"/>
      <c r="F191" s="525"/>
      <c r="G191" s="525"/>
      <c r="H191" s="525"/>
      <c r="I191" s="525"/>
      <c r="J191" s="525"/>
      <c r="K191" s="525">
        <v>11.72</v>
      </c>
      <c r="L191" s="525"/>
      <c r="M191" s="525"/>
      <c r="N191" s="525"/>
      <c r="O191" s="525"/>
      <c r="P191" s="525"/>
      <c r="Q191" s="525"/>
      <c r="R191" s="525"/>
      <c r="S191" s="525"/>
      <c r="T191" s="525"/>
      <c r="U191" s="525"/>
      <c r="V191" s="525"/>
      <c r="W191" s="525"/>
      <c r="Y191" s="519"/>
      <c r="Z191" s="519"/>
    </row>
    <row r="192" spans="1:26" ht="15.75" hidden="1" customHeight="1">
      <c r="A192" s="570">
        <v>44692</v>
      </c>
      <c r="B192" s="560"/>
      <c r="C192" s="552" t="s">
        <v>230</v>
      </c>
      <c r="D192" s="524"/>
      <c r="E192" s="525"/>
      <c r="F192" s="525"/>
      <c r="G192" s="525"/>
      <c r="H192" s="525"/>
      <c r="I192" s="525"/>
      <c r="J192" s="525"/>
      <c r="K192" s="525"/>
      <c r="L192" s="525"/>
      <c r="M192" s="525"/>
      <c r="N192" s="525"/>
      <c r="O192" s="525"/>
      <c r="P192" s="525"/>
      <c r="Q192" s="525">
        <v>29.99</v>
      </c>
      <c r="R192" s="525"/>
      <c r="S192" s="525"/>
      <c r="T192" s="525"/>
      <c r="U192" s="525"/>
      <c r="V192" s="525"/>
      <c r="W192" s="525"/>
      <c r="Y192" s="519"/>
      <c r="Z192" s="519"/>
    </row>
    <row r="193" spans="1:26" ht="15.75" hidden="1" customHeight="1">
      <c r="A193" s="570">
        <v>44693</v>
      </c>
      <c r="B193" s="560"/>
      <c r="C193" s="552" t="s">
        <v>231</v>
      </c>
      <c r="D193" s="524"/>
      <c r="E193" s="525"/>
      <c r="F193" s="525"/>
      <c r="G193" s="525"/>
      <c r="H193" s="525"/>
      <c r="I193" s="525"/>
      <c r="J193" s="525"/>
      <c r="K193" s="525"/>
      <c r="L193" s="525"/>
      <c r="M193" s="525"/>
      <c r="N193" s="525"/>
      <c r="O193" s="525">
        <v>86.41</v>
      </c>
      <c r="P193" s="525"/>
      <c r="Q193" s="525"/>
      <c r="R193" s="525"/>
      <c r="S193" s="525"/>
      <c r="T193" s="525"/>
      <c r="U193" s="525"/>
      <c r="V193" s="525"/>
      <c r="W193" s="525"/>
      <c r="Y193" s="519"/>
      <c r="Z193" s="519"/>
    </row>
    <row r="194" spans="1:26" ht="15.75" hidden="1" customHeight="1">
      <c r="A194" s="570">
        <v>44697</v>
      </c>
      <c r="B194" s="560"/>
      <c r="C194" s="552" t="s">
        <v>174</v>
      </c>
      <c r="D194" s="524"/>
      <c r="E194" s="525"/>
      <c r="F194" s="525"/>
      <c r="G194" s="525"/>
      <c r="H194" s="525"/>
      <c r="I194" s="525"/>
      <c r="J194" s="525"/>
      <c r="K194" s="525">
        <v>11.78</v>
      </c>
      <c r="L194" s="525"/>
      <c r="M194" s="525"/>
      <c r="N194" s="525"/>
      <c r="O194" s="525"/>
      <c r="P194" s="525"/>
      <c r="Q194" s="525"/>
      <c r="R194" s="525"/>
      <c r="S194" s="525"/>
      <c r="T194" s="525"/>
      <c r="U194" s="525"/>
      <c r="V194" s="525"/>
      <c r="W194" s="525"/>
      <c r="Y194" s="519"/>
      <c r="Z194" s="519"/>
    </row>
    <row r="195" spans="1:26" ht="15.75" hidden="1" customHeight="1">
      <c r="A195" s="570">
        <v>44697</v>
      </c>
      <c r="B195" s="560"/>
      <c r="C195" s="552" t="s">
        <v>174</v>
      </c>
      <c r="D195" s="524"/>
      <c r="E195" s="525"/>
      <c r="F195" s="525"/>
      <c r="G195" s="525"/>
      <c r="H195" s="525"/>
      <c r="I195" s="525"/>
      <c r="J195" s="525"/>
      <c r="K195" s="525">
        <v>11.78</v>
      </c>
      <c r="L195" s="525"/>
      <c r="M195" s="525"/>
      <c r="N195" s="525"/>
      <c r="O195" s="525"/>
      <c r="P195" s="525"/>
      <c r="Q195" s="525"/>
      <c r="R195" s="525"/>
      <c r="S195" s="525"/>
      <c r="T195" s="525"/>
      <c r="U195" s="525"/>
      <c r="V195" s="525"/>
      <c r="W195" s="525"/>
      <c r="Y195" s="519"/>
      <c r="Z195" s="519"/>
    </row>
    <row r="196" spans="1:26" ht="15.75" hidden="1" customHeight="1">
      <c r="A196" s="570">
        <v>44699</v>
      </c>
      <c r="B196" s="536"/>
      <c r="C196" s="552" t="s">
        <v>232</v>
      </c>
      <c r="D196" s="524"/>
      <c r="E196" s="525"/>
      <c r="F196" s="525"/>
      <c r="G196" s="525"/>
      <c r="H196" s="525"/>
      <c r="I196" s="525"/>
      <c r="J196" s="525"/>
      <c r="K196" s="525"/>
      <c r="L196" s="525"/>
      <c r="M196" s="525">
        <v>26.17</v>
      </c>
      <c r="N196" s="525"/>
      <c r="O196" s="525"/>
      <c r="P196" s="525"/>
      <c r="Q196" s="525"/>
      <c r="R196" s="525"/>
      <c r="S196" s="525"/>
      <c r="T196" s="525"/>
      <c r="U196" s="525"/>
      <c r="V196" s="525"/>
      <c r="W196" s="525"/>
      <c r="Y196" s="519"/>
      <c r="Z196" s="519"/>
    </row>
    <row r="197" spans="1:26" ht="15.75" hidden="1" customHeight="1">
      <c r="A197" s="570">
        <v>44704</v>
      </c>
      <c r="B197" s="560"/>
      <c r="C197" s="552" t="s">
        <v>188</v>
      </c>
      <c r="D197" s="524"/>
      <c r="E197" s="525"/>
      <c r="F197" s="525"/>
      <c r="G197" s="525"/>
      <c r="H197" s="525"/>
      <c r="I197" s="525"/>
      <c r="J197" s="525"/>
      <c r="K197" s="525"/>
      <c r="L197" s="525"/>
      <c r="M197" s="525">
        <v>14.8</v>
      </c>
      <c r="N197" s="525"/>
      <c r="O197" s="525"/>
      <c r="P197" s="525"/>
      <c r="Q197" s="525"/>
      <c r="R197" s="525"/>
      <c r="S197" s="525"/>
      <c r="T197" s="525"/>
      <c r="U197" s="525"/>
      <c r="V197" s="525"/>
      <c r="W197" s="525"/>
      <c r="Y197" s="519"/>
      <c r="Z197" s="519"/>
    </row>
    <row r="198" spans="1:26" ht="15.75" hidden="1" customHeight="1">
      <c r="A198" s="570">
        <v>44707</v>
      </c>
      <c r="B198" s="560"/>
      <c r="C198" s="552" t="s">
        <v>220</v>
      </c>
      <c r="D198" s="524"/>
      <c r="E198" s="525"/>
      <c r="F198" s="525"/>
      <c r="G198" s="525"/>
      <c r="H198" s="525">
        <v>9.9499999999999993</v>
      </c>
      <c r="I198" s="525"/>
      <c r="J198" s="525"/>
      <c r="K198" s="525"/>
      <c r="L198" s="525"/>
      <c r="M198" s="525"/>
      <c r="N198" s="525"/>
      <c r="O198" s="525"/>
      <c r="P198" s="525"/>
      <c r="Q198" s="525"/>
      <c r="R198" s="525"/>
      <c r="S198" s="525"/>
      <c r="T198" s="525"/>
      <c r="U198" s="525"/>
      <c r="V198" s="525"/>
      <c r="W198" s="525"/>
      <c r="Y198" s="519"/>
      <c r="Z198" s="519"/>
    </row>
    <row r="199" spans="1:26" ht="15.75" hidden="1" customHeight="1">
      <c r="A199" s="570">
        <v>44711</v>
      </c>
      <c r="B199" s="560"/>
      <c r="C199" s="552" t="s">
        <v>208</v>
      </c>
      <c r="D199" s="524"/>
      <c r="E199" s="525"/>
      <c r="F199" s="525"/>
      <c r="G199" s="525"/>
      <c r="H199" s="525"/>
      <c r="I199" s="525"/>
      <c r="J199" s="525"/>
      <c r="K199" s="525"/>
      <c r="L199" s="525"/>
      <c r="M199" s="525"/>
      <c r="N199" s="525"/>
      <c r="O199" s="525"/>
      <c r="P199" s="525"/>
      <c r="Q199" s="525"/>
      <c r="R199" s="525"/>
      <c r="S199" s="525">
        <v>4.84</v>
      </c>
      <c r="T199" s="525"/>
      <c r="U199" s="525"/>
      <c r="V199" s="525"/>
      <c r="W199" s="525"/>
      <c r="Y199" s="519"/>
      <c r="Z199" s="519"/>
    </row>
    <row r="200" spans="1:26" ht="15.75" hidden="1" customHeight="1">
      <c r="A200" s="570">
        <v>44711</v>
      </c>
      <c r="B200" s="536"/>
      <c r="C200" s="552" t="s">
        <v>77</v>
      </c>
      <c r="D200" s="524"/>
      <c r="E200" s="525"/>
      <c r="F200" s="525"/>
      <c r="G200" s="525"/>
      <c r="H200" s="525"/>
      <c r="I200" s="525"/>
      <c r="J200" s="525"/>
      <c r="K200" s="525"/>
      <c r="L200" s="525"/>
      <c r="M200" s="525"/>
      <c r="N200" s="525"/>
      <c r="O200" s="525"/>
      <c r="P200" s="525"/>
      <c r="Q200" s="525"/>
      <c r="R200" s="525"/>
      <c r="S200" s="525"/>
      <c r="T200" s="525">
        <v>140</v>
      </c>
      <c r="U200" s="525"/>
      <c r="V200" s="525"/>
      <c r="W200" s="525"/>
      <c r="Y200" s="519"/>
      <c r="Z200" s="519"/>
    </row>
    <row r="201" spans="1:26" ht="15.75" hidden="1" customHeight="1">
      <c r="A201" s="570">
        <v>44711</v>
      </c>
      <c r="B201" s="560"/>
      <c r="C201" s="552" t="s">
        <v>233</v>
      </c>
      <c r="D201" s="524"/>
      <c r="E201" s="525"/>
      <c r="F201" s="525"/>
      <c r="G201" s="525"/>
      <c r="H201" s="525"/>
      <c r="I201" s="525">
        <v>17.489999999999998</v>
      </c>
      <c r="J201" s="525"/>
      <c r="K201" s="525"/>
      <c r="L201" s="525"/>
      <c r="M201" s="525"/>
      <c r="N201" s="525"/>
      <c r="O201" s="525"/>
      <c r="P201" s="525"/>
      <c r="Q201" s="525"/>
      <c r="R201" s="525"/>
      <c r="S201" s="525"/>
      <c r="T201" s="525"/>
      <c r="U201" s="525"/>
      <c r="V201" s="525"/>
      <c r="W201" s="525"/>
      <c r="Y201" s="519"/>
      <c r="Z201" s="519"/>
    </row>
    <row r="202" spans="1:26" ht="15.75" hidden="1" customHeight="1" thickBot="1">
      <c r="A202" s="580"/>
      <c r="B202" s="581"/>
      <c r="C202" s="582"/>
      <c r="D202" s="583"/>
      <c r="E202" s="584"/>
      <c r="F202" s="584"/>
      <c r="G202" s="584"/>
      <c r="H202" s="584"/>
      <c r="I202" s="584"/>
      <c r="J202" s="584"/>
      <c r="K202" s="584"/>
      <c r="L202" s="584"/>
      <c r="M202" s="584"/>
      <c r="N202" s="584"/>
      <c r="O202" s="584"/>
      <c r="P202" s="584"/>
      <c r="Q202" s="584"/>
      <c r="R202" s="584"/>
      <c r="S202" s="584"/>
      <c r="T202" s="584"/>
      <c r="U202" s="584"/>
      <c r="V202" s="584"/>
      <c r="W202" s="584"/>
      <c r="X202" s="585"/>
      <c r="Y202" s="586"/>
      <c r="Z202" s="586"/>
    </row>
    <row r="203" spans="1:26" ht="15.75" hidden="1" customHeight="1" thickTop="1">
      <c r="A203" s="543"/>
      <c r="B203" s="554">
        <v>44713</v>
      </c>
      <c r="C203" s="575"/>
      <c r="D203" s="576"/>
      <c r="E203" s="545"/>
      <c r="F203" s="545"/>
      <c r="G203" s="545"/>
      <c r="H203" s="545"/>
      <c r="I203" s="545"/>
      <c r="J203" s="545"/>
      <c r="K203" s="545"/>
      <c r="L203" s="545"/>
      <c r="M203" s="545"/>
      <c r="N203" s="545"/>
      <c r="O203" s="545"/>
      <c r="P203" s="545"/>
      <c r="Q203" s="545"/>
      <c r="R203" s="545"/>
      <c r="S203" s="545"/>
      <c r="T203" s="545"/>
      <c r="U203" s="545"/>
      <c r="V203" s="545"/>
      <c r="W203" s="545"/>
      <c r="Y203" s="519"/>
      <c r="Z203" s="519"/>
    </row>
    <row r="204" spans="1:26" ht="15.75" hidden="1" customHeight="1">
      <c r="A204" s="570">
        <v>44713</v>
      </c>
      <c r="B204" s="567"/>
      <c r="C204" s="523" t="s">
        <v>62</v>
      </c>
      <c r="D204" s="524"/>
      <c r="E204" s="525"/>
      <c r="F204" s="525"/>
      <c r="G204" s="525"/>
      <c r="H204" s="525"/>
      <c r="I204" s="525"/>
      <c r="J204" s="525"/>
      <c r="K204" s="525"/>
      <c r="L204" s="525"/>
      <c r="M204" s="525"/>
      <c r="N204" s="525"/>
      <c r="O204" s="525"/>
      <c r="P204" s="525"/>
      <c r="Q204" s="525"/>
      <c r="R204" s="525"/>
      <c r="S204" s="525"/>
      <c r="T204" s="525"/>
      <c r="U204" s="525"/>
      <c r="V204" s="525">
        <v>1036.55</v>
      </c>
      <c r="W204" s="525"/>
      <c r="Y204" s="519"/>
      <c r="Z204" s="519"/>
    </row>
    <row r="205" spans="1:26" ht="15.75" hidden="1" customHeight="1">
      <c r="A205" s="570">
        <v>44713</v>
      </c>
      <c r="B205" s="522" t="s">
        <v>234</v>
      </c>
      <c r="C205" s="523" t="s">
        <v>64</v>
      </c>
      <c r="D205" s="524"/>
      <c r="E205" s="525"/>
      <c r="F205" s="525"/>
      <c r="G205" s="525"/>
      <c r="H205" s="525"/>
      <c r="I205" s="525"/>
      <c r="J205" s="525"/>
      <c r="K205" s="525"/>
      <c r="L205" s="525"/>
      <c r="M205" s="525"/>
      <c r="N205" s="525"/>
      <c r="O205" s="525"/>
      <c r="P205" s="525"/>
      <c r="Q205" s="525"/>
      <c r="R205" s="525"/>
      <c r="S205" s="525"/>
      <c r="T205" s="525">
        <v>700</v>
      </c>
      <c r="U205" s="525"/>
      <c r="V205" s="525"/>
      <c r="W205" s="525"/>
      <c r="Y205" s="519"/>
      <c r="Z205" s="519"/>
    </row>
    <row r="206" spans="1:26" ht="15.75" hidden="1" customHeight="1">
      <c r="A206" s="570">
        <v>44714</v>
      </c>
      <c r="B206" s="522">
        <v>0.85499999999999998</v>
      </c>
      <c r="C206" s="523" t="s">
        <v>77</v>
      </c>
      <c r="D206" s="524"/>
      <c r="E206" s="525"/>
      <c r="F206" s="525"/>
      <c r="G206" s="525"/>
      <c r="H206" s="525"/>
      <c r="I206" s="525"/>
      <c r="J206" s="525"/>
      <c r="K206" s="525"/>
      <c r="L206" s="525"/>
      <c r="M206" s="525"/>
      <c r="N206" s="525"/>
      <c r="O206" s="525"/>
      <c r="P206" s="525"/>
      <c r="Q206" s="525"/>
      <c r="R206" s="525"/>
      <c r="S206" s="525"/>
      <c r="T206" s="525">
        <v>80</v>
      </c>
      <c r="U206" s="525"/>
      <c r="V206" s="525"/>
      <c r="W206" s="525"/>
      <c r="Y206" s="519"/>
      <c r="Z206" s="519"/>
    </row>
    <row r="207" spans="1:26" ht="15.75" hidden="1" customHeight="1">
      <c r="A207" s="570">
        <v>44714</v>
      </c>
      <c r="B207" s="526"/>
      <c r="C207" s="523" t="s">
        <v>63</v>
      </c>
      <c r="D207" s="524"/>
      <c r="E207" s="525"/>
      <c r="F207" s="525"/>
      <c r="G207" s="525"/>
      <c r="H207" s="525"/>
      <c r="I207" s="525"/>
      <c r="J207" s="525"/>
      <c r="K207" s="525"/>
      <c r="L207" s="525"/>
      <c r="M207" s="525"/>
      <c r="N207" s="525"/>
      <c r="O207" s="525"/>
      <c r="P207" s="525"/>
      <c r="Q207" s="525"/>
      <c r="R207" s="525"/>
      <c r="S207" s="525"/>
      <c r="T207" s="525">
        <v>261.2</v>
      </c>
      <c r="U207" s="525"/>
      <c r="V207" s="525"/>
      <c r="W207" s="525"/>
      <c r="Y207" s="519"/>
      <c r="Z207" s="519"/>
    </row>
    <row r="208" spans="1:26" ht="15.75" hidden="1" customHeight="1">
      <c r="A208" s="570">
        <v>44715</v>
      </c>
      <c r="B208" s="546"/>
      <c r="C208" s="527" t="s">
        <v>167</v>
      </c>
      <c r="D208" s="524"/>
      <c r="E208" s="525"/>
      <c r="F208" s="525"/>
      <c r="G208" s="525"/>
      <c r="H208" s="525"/>
      <c r="I208" s="525"/>
      <c r="J208" s="525"/>
      <c r="K208" s="525"/>
      <c r="L208" s="525"/>
      <c r="M208" s="525"/>
      <c r="N208" s="525"/>
      <c r="O208" s="525"/>
      <c r="P208" s="525"/>
      <c r="Q208" s="525"/>
      <c r="R208" s="525"/>
      <c r="S208" s="525">
        <v>9.16</v>
      </c>
      <c r="T208" s="525"/>
      <c r="U208" s="525"/>
      <c r="V208" s="525"/>
      <c r="W208" s="525"/>
      <c r="Y208" s="519"/>
      <c r="Z208" s="519"/>
    </row>
    <row r="209" spans="1:26" ht="15.75" hidden="1" customHeight="1">
      <c r="A209" s="570">
        <v>44715</v>
      </c>
      <c r="B209" s="546"/>
      <c r="C209" s="523" t="s">
        <v>65</v>
      </c>
      <c r="D209" s="524"/>
      <c r="E209" s="525"/>
      <c r="F209" s="525"/>
      <c r="G209" s="525"/>
      <c r="H209" s="525"/>
      <c r="I209" s="525"/>
      <c r="J209" s="525"/>
      <c r="K209" s="525"/>
      <c r="L209" s="525"/>
      <c r="M209" s="525"/>
      <c r="N209" s="525"/>
      <c r="O209" s="525"/>
      <c r="P209" s="525"/>
      <c r="Q209" s="525"/>
      <c r="R209" s="525"/>
      <c r="S209" s="525"/>
      <c r="T209" s="525">
        <v>18</v>
      </c>
      <c r="U209" s="525"/>
      <c r="V209" s="525"/>
      <c r="W209" s="525"/>
      <c r="Y209" s="519"/>
      <c r="Z209" s="519"/>
    </row>
    <row r="210" spans="1:26" ht="15.75" hidden="1" customHeight="1">
      <c r="A210" s="570">
        <v>44722</v>
      </c>
      <c r="B210" s="546"/>
      <c r="C210" s="527" t="s">
        <v>235</v>
      </c>
      <c r="D210" s="524"/>
      <c r="E210" s="525"/>
      <c r="F210" s="525"/>
      <c r="G210" s="525"/>
      <c r="H210" s="525"/>
      <c r="I210" s="525"/>
      <c r="J210" s="525"/>
      <c r="K210" s="525"/>
      <c r="L210" s="525"/>
      <c r="M210" s="528"/>
      <c r="N210" s="525">
        <v>960</v>
      </c>
      <c r="O210" s="525"/>
      <c r="P210" s="525"/>
      <c r="Q210" s="525"/>
      <c r="R210" s="525"/>
      <c r="S210" s="525"/>
      <c r="T210" s="525"/>
      <c r="U210" s="525"/>
      <c r="V210" s="525"/>
      <c r="W210" s="525"/>
      <c r="Y210" s="519"/>
      <c r="Z210" s="519"/>
    </row>
    <row r="211" spans="1:26" ht="15.75" hidden="1" customHeight="1">
      <c r="A211" s="570">
        <v>44727</v>
      </c>
      <c r="B211" s="526"/>
      <c r="C211" s="523" t="s">
        <v>168</v>
      </c>
      <c r="D211" s="524"/>
      <c r="E211" s="525"/>
      <c r="F211" s="525"/>
      <c r="G211" s="525"/>
      <c r="H211" s="525"/>
      <c r="I211" s="525"/>
      <c r="J211" s="525"/>
      <c r="K211" s="525"/>
      <c r="L211" s="525"/>
      <c r="M211" s="525"/>
      <c r="N211" s="525"/>
      <c r="O211" s="525"/>
      <c r="P211" s="525"/>
      <c r="Q211" s="525"/>
      <c r="R211" s="525"/>
      <c r="S211" s="525"/>
      <c r="T211" s="525">
        <v>1608.68</v>
      </c>
      <c r="U211" s="525"/>
      <c r="V211" s="525"/>
      <c r="W211" s="525"/>
      <c r="Y211" s="519"/>
      <c r="Z211" s="519"/>
    </row>
    <row r="212" spans="1:26" ht="15.75" hidden="1" customHeight="1">
      <c r="A212" s="570">
        <v>44732</v>
      </c>
      <c r="B212" s="526"/>
      <c r="C212" s="523" t="s">
        <v>111</v>
      </c>
      <c r="D212" s="524"/>
      <c r="E212" s="525"/>
      <c r="F212" s="525"/>
      <c r="G212" s="525"/>
      <c r="H212" s="525"/>
      <c r="I212" s="525"/>
      <c r="J212" s="528"/>
      <c r="K212" s="525">
        <v>29.99</v>
      </c>
      <c r="L212" s="525"/>
      <c r="M212" s="525"/>
      <c r="N212" s="525"/>
      <c r="O212" s="525"/>
      <c r="P212" s="525"/>
      <c r="Q212" s="525"/>
      <c r="R212" s="525"/>
      <c r="S212" s="525"/>
      <c r="T212" s="525"/>
      <c r="U212" s="525"/>
      <c r="V212" s="525"/>
      <c r="W212" s="525"/>
      <c r="Y212" s="519"/>
      <c r="Z212" s="519"/>
    </row>
    <row r="213" spans="1:26" ht="15.75" hidden="1" customHeight="1">
      <c r="A213" s="570">
        <v>44733</v>
      </c>
      <c r="B213" s="526"/>
      <c r="C213" s="523" t="s">
        <v>78</v>
      </c>
      <c r="D213" s="524"/>
      <c r="E213" s="525"/>
      <c r="F213" s="525"/>
      <c r="G213" s="525"/>
      <c r="H213" s="525"/>
      <c r="I213" s="525"/>
      <c r="J213" s="525">
        <v>21.14</v>
      </c>
      <c r="K213" s="525"/>
      <c r="L213" s="525"/>
      <c r="M213" s="525"/>
      <c r="N213" s="525"/>
      <c r="O213" s="525"/>
      <c r="P213" s="525"/>
      <c r="Q213" s="525"/>
      <c r="R213" s="525"/>
      <c r="S213" s="525"/>
      <c r="T213" s="525"/>
      <c r="U213" s="525"/>
      <c r="V213" s="525"/>
      <c r="W213" s="525"/>
      <c r="Y213" s="519"/>
      <c r="Z213" s="519"/>
    </row>
    <row r="214" spans="1:26" ht="15.75" hidden="1" customHeight="1">
      <c r="A214" s="570">
        <v>44734</v>
      </c>
      <c r="B214" s="526"/>
      <c r="C214" s="523" t="s">
        <v>64</v>
      </c>
      <c r="D214" s="524"/>
      <c r="E214" s="525"/>
      <c r="F214" s="525"/>
      <c r="G214" s="525"/>
      <c r="H214" s="525"/>
      <c r="I214" s="525"/>
      <c r="J214" s="525"/>
      <c r="K214" s="525"/>
      <c r="L214" s="525"/>
      <c r="M214" s="525"/>
      <c r="N214" s="525"/>
      <c r="O214" s="525"/>
      <c r="P214" s="525"/>
      <c r="Q214" s="525"/>
      <c r="R214" s="525"/>
      <c r="S214" s="525"/>
      <c r="T214" s="525">
        <v>300</v>
      </c>
      <c r="U214" s="525"/>
      <c r="V214" s="525"/>
      <c r="W214" s="525"/>
      <c r="Y214" s="519"/>
      <c r="Z214" s="519"/>
    </row>
    <row r="215" spans="1:26" ht="15.75" hidden="1" customHeight="1">
      <c r="A215" s="578"/>
      <c r="B215" s="578"/>
      <c r="C215" s="558"/>
      <c r="D215" s="579"/>
      <c r="E215" s="550"/>
      <c r="F215" s="550"/>
      <c r="G215" s="550"/>
      <c r="H215" s="550"/>
      <c r="I215" s="550"/>
      <c r="J215" s="550"/>
      <c r="K215" s="550"/>
      <c r="L215" s="550"/>
      <c r="M215" s="550"/>
      <c r="N215" s="550"/>
      <c r="O215" s="550"/>
      <c r="P215" s="550"/>
      <c r="Q215" s="550"/>
      <c r="R215" s="550"/>
      <c r="S215" s="550"/>
      <c r="T215" s="550"/>
      <c r="U215" s="550"/>
      <c r="V215" s="550"/>
      <c r="W215" s="550"/>
      <c r="Y215" s="519"/>
      <c r="Z215" s="519"/>
    </row>
    <row r="216" spans="1:26" ht="15.75" hidden="1" customHeight="1">
      <c r="A216" s="570">
        <v>44713</v>
      </c>
      <c r="B216" s="560"/>
      <c r="C216" s="552" t="s">
        <v>236</v>
      </c>
      <c r="D216" s="524"/>
      <c r="E216" s="525"/>
      <c r="F216" s="525"/>
      <c r="G216" s="525"/>
      <c r="H216" s="525"/>
      <c r="I216" s="525">
        <v>32.9</v>
      </c>
      <c r="J216" s="525"/>
      <c r="K216" s="525"/>
      <c r="L216" s="525"/>
      <c r="M216" s="525"/>
      <c r="N216" s="525"/>
      <c r="O216" s="525"/>
      <c r="P216" s="525"/>
      <c r="Q216" s="525"/>
      <c r="R216" s="525"/>
      <c r="S216" s="525"/>
      <c r="T216" s="525"/>
      <c r="U216" s="525"/>
      <c r="V216" s="525"/>
      <c r="W216" s="525"/>
      <c r="Y216" s="519"/>
      <c r="Z216" s="519"/>
    </row>
    <row r="217" spans="1:26" ht="15.75" hidden="1" customHeight="1">
      <c r="A217" s="570">
        <v>44713</v>
      </c>
      <c r="B217" s="560"/>
      <c r="C217" s="552" t="s">
        <v>237</v>
      </c>
      <c r="D217" s="524"/>
      <c r="E217" s="525"/>
      <c r="F217" s="525"/>
      <c r="G217" s="525"/>
      <c r="H217" s="525"/>
      <c r="I217" s="525"/>
      <c r="J217" s="525"/>
      <c r="K217" s="525"/>
      <c r="L217" s="525"/>
      <c r="M217" s="525"/>
      <c r="N217" s="525"/>
      <c r="O217" s="525"/>
      <c r="P217" s="525"/>
      <c r="Q217" s="525"/>
      <c r="R217" s="525">
        <v>94</v>
      </c>
      <c r="S217" s="525"/>
      <c r="T217" s="525"/>
      <c r="U217" s="525"/>
      <c r="V217" s="525"/>
      <c r="W217" s="525"/>
      <c r="Y217" s="519"/>
      <c r="Z217" s="519"/>
    </row>
    <row r="218" spans="1:26" ht="15.75" hidden="1" customHeight="1">
      <c r="A218" s="570">
        <v>44714</v>
      </c>
      <c r="B218" s="560"/>
      <c r="C218" s="552" t="s">
        <v>220</v>
      </c>
      <c r="D218" s="524"/>
      <c r="E218" s="525"/>
      <c r="F218" s="525"/>
      <c r="G218" s="525"/>
      <c r="H218" s="525"/>
      <c r="I218" s="525">
        <v>5.36</v>
      </c>
      <c r="J218" s="525"/>
      <c r="K218" s="525"/>
      <c r="L218" s="525"/>
      <c r="M218" s="525"/>
      <c r="N218" s="525"/>
      <c r="O218" s="525"/>
      <c r="P218" s="525"/>
      <c r="Q218" s="525"/>
      <c r="R218" s="525"/>
      <c r="S218" s="525"/>
      <c r="T218" s="525"/>
      <c r="U218" s="525"/>
      <c r="V218" s="525"/>
      <c r="W218" s="525"/>
      <c r="Y218" s="519"/>
      <c r="Z218" s="519"/>
    </row>
    <row r="219" spans="1:26" ht="15.75" hidden="1" customHeight="1">
      <c r="A219" s="570">
        <v>44714</v>
      </c>
      <c r="B219" s="560"/>
      <c r="C219" s="552" t="s">
        <v>238</v>
      </c>
      <c r="D219" s="524"/>
      <c r="E219" s="525"/>
      <c r="F219" s="525"/>
      <c r="G219" s="525"/>
      <c r="H219" s="525"/>
      <c r="I219" s="525"/>
      <c r="J219" s="525"/>
      <c r="K219" s="525"/>
      <c r="L219" s="525"/>
      <c r="M219" s="525">
        <v>9</v>
      </c>
      <c r="N219" s="525"/>
      <c r="O219" s="525"/>
      <c r="P219" s="525"/>
      <c r="Q219" s="525"/>
      <c r="R219" s="525"/>
      <c r="S219" s="525"/>
      <c r="T219" s="525"/>
      <c r="U219" s="525"/>
      <c r="V219" s="525"/>
      <c r="W219" s="525"/>
      <c r="Y219" s="519"/>
      <c r="Z219" s="519"/>
    </row>
    <row r="220" spans="1:26" ht="15.75" hidden="1" customHeight="1">
      <c r="A220" s="570">
        <v>44718</v>
      </c>
      <c r="B220" s="560"/>
      <c r="C220" s="552" t="s">
        <v>239</v>
      </c>
      <c r="D220" s="524"/>
      <c r="E220" s="525"/>
      <c r="F220" s="525"/>
      <c r="G220" s="525"/>
      <c r="H220" s="525"/>
      <c r="I220" s="525"/>
      <c r="J220" s="525"/>
      <c r="K220" s="525"/>
      <c r="L220" s="525"/>
      <c r="M220" s="525">
        <v>21.55</v>
      </c>
      <c r="N220" s="525"/>
      <c r="O220" s="525"/>
      <c r="P220" s="525"/>
      <c r="Q220" s="525"/>
      <c r="R220" s="525"/>
      <c r="S220" s="525"/>
      <c r="T220" s="525"/>
      <c r="U220" s="525"/>
      <c r="V220" s="525"/>
      <c r="W220" s="525"/>
      <c r="Y220" s="519"/>
      <c r="Z220" s="519"/>
    </row>
    <row r="221" spans="1:26" ht="15.75" hidden="1" customHeight="1">
      <c r="A221" s="570">
        <v>44718</v>
      </c>
      <c r="B221" s="560"/>
      <c r="C221" s="552" t="s">
        <v>240</v>
      </c>
      <c r="D221" s="524"/>
      <c r="E221" s="525"/>
      <c r="F221" s="525"/>
      <c r="G221" s="525"/>
      <c r="H221" s="525"/>
      <c r="I221" s="525"/>
      <c r="J221" s="525"/>
      <c r="K221" s="525"/>
      <c r="L221" s="525"/>
      <c r="M221" s="525">
        <v>63.01</v>
      </c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Y221" s="519"/>
      <c r="Z221" s="519"/>
    </row>
    <row r="222" spans="1:26" ht="15.75" hidden="1" customHeight="1">
      <c r="A222" s="570">
        <v>44718</v>
      </c>
      <c r="B222" s="560"/>
      <c r="C222" s="552" t="s">
        <v>241</v>
      </c>
      <c r="D222" s="524"/>
      <c r="E222" s="525"/>
      <c r="F222" s="525"/>
      <c r="G222" s="525"/>
      <c r="H222" s="525"/>
      <c r="I222" s="525"/>
      <c r="J222" s="525"/>
      <c r="K222" s="525"/>
      <c r="L222" s="525"/>
      <c r="M222" s="525">
        <v>29.32</v>
      </c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Y222" s="519"/>
      <c r="Z222" s="519"/>
    </row>
    <row r="223" spans="1:26" ht="15.75" hidden="1" customHeight="1">
      <c r="A223" s="570">
        <v>44719</v>
      </c>
      <c r="B223" s="560"/>
      <c r="C223" s="552" t="s">
        <v>174</v>
      </c>
      <c r="D223" s="524"/>
      <c r="E223" s="525"/>
      <c r="F223" s="525"/>
      <c r="G223" s="525"/>
      <c r="H223" s="525"/>
      <c r="I223" s="525"/>
      <c r="J223" s="525"/>
      <c r="K223" s="525">
        <v>11.72</v>
      </c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Y223" s="519"/>
      <c r="Z223" s="519"/>
    </row>
    <row r="224" spans="1:26" ht="15.75" hidden="1" customHeight="1">
      <c r="A224" s="570">
        <v>44719</v>
      </c>
      <c r="B224" s="560"/>
      <c r="C224" s="552" t="s">
        <v>174</v>
      </c>
      <c r="D224" s="524"/>
      <c r="E224" s="525"/>
      <c r="F224" s="525"/>
      <c r="G224" s="525"/>
      <c r="H224" s="525"/>
      <c r="I224" s="525"/>
      <c r="J224" s="525"/>
      <c r="K224" s="525">
        <v>11.72</v>
      </c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Y224" s="519"/>
      <c r="Z224" s="519"/>
    </row>
    <row r="225" spans="1:26" ht="15.75" hidden="1" customHeight="1">
      <c r="A225" s="570">
        <v>44719</v>
      </c>
      <c r="B225" s="560"/>
      <c r="C225" s="552" t="s">
        <v>174</v>
      </c>
      <c r="D225" s="524"/>
      <c r="E225" s="525"/>
      <c r="F225" s="525"/>
      <c r="G225" s="525"/>
      <c r="H225" s="525"/>
      <c r="I225" s="525"/>
      <c r="J225" s="525"/>
      <c r="K225" s="525">
        <v>11.72</v>
      </c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Y225" s="519"/>
      <c r="Z225" s="519"/>
    </row>
    <row r="226" spans="1:26" ht="15.75" hidden="1" customHeight="1">
      <c r="A226" s="570">
        <v>44719</v>
      </c>
      <c r="B226" s="560"/>
      <c r="C226" s="552" t="s">
        <v>174</v>
      </c>
      <c r="D226" s="524"/>
      <c r="E226" s="525"/>
      <c r="F226" s="525"/>
      <c r="G226" s="525"/>
      <c r="H226" s="525"/>
      <c r="I226" s="525"/>
      <c r="J226" s="525"/>
      <c r="K226" s="525">
        <v>11.72</v>
      </c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Y226" s="519"/>
      <c r="Z226" s="519"/>
    </row>
    <row r="227" spans="1:26" ht="15.75" hidden="1" customHeight="1">
      <c r="A227" s="570">
        <v>44719</v>
      </c>
      <c r="B227" s="560"/>
      <c r="C227" s="552" t="s">
        <v>182</v>
      </c>
      <c r="D227" s="524"/>
      <c r="E227" s="525"/>
      <c r="F227" s="525">
        <v>3000</v>
      </c>
      <c r="G227" s="525"/>
      <c r="H227" s="525"/>
      <c r="I227" s="525"/>
      <c r="J227" s="525"/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Y227" s="519"/>
      <c r="Z227" s="519"/>
    </row>
    <row r="228" spans="1:26" ht="15.75" hidden="1" customHeight="1">
      <c r="A228" s="570">
        <v>44721</v>
      </c>
      <c r="B228" s="560" t="s">
        <v>242</v>
      </c>
      <c r="C228" s="552" t="s">
        <v>91</v>
      </c>
      <c r="D228" s="524">
        <v>4000</v>
      </c>
      <c r="E228" s="525"/>
      <c r="F228" s="525"/>
      <c r="G228" s="525"/>
      <c r="H228" s="525"/>
      <c r="I228" s="525"/>
      <c r="J228" s="525"/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Y228" s="519"/>
      <c r="Z228" s="519"/>
    </row>
    <row r="229" spans="1:26" ht="15.75" hidden="1" customHeight="1">
      <c r="A229" s="570">
        <v>44722</v>
      </c>
      <c r="B229" s="560"/>
      <c r="C229" s="552" t="s">
        <v>243</v>
      </c>
      <c r="D229" s="524"/>
      <c r="E229" s="525"/>
      <c r="F229" s="525"/>
      <c r="G229" s="525"/>
      <c r="H229" s="525"/>
      <c r="I229" s="525"/>
      <c r="J229" s="525"/>
      <c r="K229" s="525"/>
      <c r="L229" s="525"/>
      <c r="M229" s="525"/>
      <c r="N229" s="525"/>
      <c r="O229" s="525"/>
      <c r="P229" s="525">
        <v>11.76</v>
      </c>
      <c r="Q229" s="525"/>
      <c r="R229" s="525"/>
      <c r="S229" s="525"/>
      <c r="T229" s="525"/>
      <c r="U229" s="525"/>
      <c r="V229" s="525"/>
      <c r="W229" s="525"/>
      <c r="Y229" s="519"/>
      <c r="Z229" s="519"/>
    </row>
    <row r="230" spans="1:26" ht="15.75" hidden="1" customHeight="1">
      <c r="A230" s="570">
        <v>44724</v>
      </c>
      <c r="B230" s="560"/>
      <c r="C230" s="552" t="s">
        <v>244</v>
      </c>
      <c r="D230" s="524"/>
      <c r="E230" s="525"/>
      <c r="F230" s="525"/>
      <c r="G230" s="525"/>
      <c r="H230" s="525"/>
      <c r="I230" s="525"/>
      <c r="J230" s="525"/>
      <c r="K230" s="525"/>
      <c r="L230" s="525"/>
      <c r="M230" s="525">
        <v>45.97</v>
      </c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Y230" s="519"/>
      <c r="Z230" s="519"/>
    </row>
    <row r="231" spans="1:26" ht="15.75" hidden="1" customHeight="1">
      <c r="A231" s="570">
        <v>44725</v>
      </c>
      <c r="B231" s="560"/>
      <c r="C231" s="552" t="s">
        <v>174</v>
      </c>
      <c r="D231" s="524"/>
      <c r="E231" s="525"/>
      <c r="F231" s="525"/>
      <c r="G231" s="525"/>
      <c r="H231" s="525"/>
      <c r="I231" s="525"/>
      <c r="J231" s="525"/>
      <c r="K231" s="525">
        <v>11.78</v>
      </c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Y231" s="519"/>
      <c r="Z231" s="519"/>
    </row>
    <row r="232" spans="1:26" ht="15.75" hidden="1" customHeight="1">
      <c r="A232" s="570">
        <v>44725</v>
      </c>
      <c r="B232" s="560"/>
      <c r="C232" s="552" t="s">
        <v>174</v>
      </c>
      <c r="D232" s="524"/>
      <c r="E232" s="525"/>
      <c r="F232" s="525"/>
      <c r="G232" s="525"/>
      <c r="H232" s="525"/>
      <c r="I232" s="525"/>
      <c r="J232" s="525"/>
      <c r="K232" s="525">
        <v>11.78</v>
      </c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Y232" s="519"/>
      <c r="Z232" s="519"/>
    </row>
    <row r="233" spans="1:26" ht="15.75" hidden="1" customHeight="1">
      <c r="A233" s="570">
        <v>44725</v>
      </c>
      <c r="B233" s="560"/>
      <c r="C233" s="552" t="s">
        <v>174</v>
      </c>
      <c r="D233" s="524"/>
      <c r="E233" s="525"/>
      <c r="F233" s="525"/>
      <c r="G233" s="525"/>
      <c r="H233" s="525"/>
      <c r="I233" s="525"/>
      <c r="J233" s="525"/>
      <c r="K233" s="525">
        <v>11.78</v>
      </c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Y233" s="519"/>
      <c r="Z233" s="519"/>
    </row>
    <row r="234" spans="1:26" ht="15.75" hidden="1" customHeight="1">
      <c r="A234" s="570">
        <v>44725</v>
      </c>
      <c r="B234" s="560"/>
      <c r="C234" s="552" t="s">
        <v>245</v>
      </c>
      <c r="D234" s="524"/>
      <c r="E234" s="525"/>
      <c r="F234" s="525"/>
      <c r="G234" s="525"/>
      <c r="H234" s="525"/>
      <c r="I234" s="525"/>
      <c r="J234" s="525"/>
      <c r="K234" s="525">
        <v>105.66</v>
      </c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Y234" s="519"/>
      <c r="Z234" s="519"/>
    </row>
    <row r="235" spans="1:26" ht="15.75" hidden="1" customHeight="1">
      <c r="A235" s="570">
        <v>44726</v>
      </c>
      <c r="B235" s="560"/>
      <c r="C235" s="552" t="s">
        <v>174</v>
      </c>
      <c r="D235" s="524"/>
      <c r="E235" s="525"/>
      <c r="F235" s="525"/>
      <c r="G235" s="525"/>
      <c r="H235" s="525"/>
      <c r="I235" s="525"/>
      <c r="J235" s="525"/>
      <c r="K235" s="525">
        <v>11.72</v>
      </c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Y235" s="519"/>
      <c r="Z235" s="519"/>
    </row>
    <row r="236" spans="1:26" ht="15.75" hidden="1" customHeight="1">
      <c r="A236" s="570">
        <v>44726</v>
      </c>
      <c r="B236" s="560"/>
      <c r="C236" s="552" t="s">
        <v>174</v>
      </c>
      <c r="D236" s="524"/>
      <c r="E236" s="525"/>
      <c r="F236" s="525"/>
      <c r="G236" s="525"/>
      <c r="H236" s="525"/>
      <c r="I236" s="525"/>
      <c r="J236" s="525"/>
      <c r="K236" s="525">
        <v>11.72</v>
      </c>
      <c r="L236" s="525"/>
      <c r="M236" s="525"/>
      <c r="N236" s="525"/>
      <c r="O236" s="525"/>
      <c r="P236" s="525"/>
      <c r="Q236" s="525"/>
      <c r="R236" s="525"/>
      <c r="S236" s="525"/>
      <c r="T236" s="525"/>
      <c r="U236" s="525"/>
      <c r="V236" s="525"/>
      <c r="W236" s="525"/>
      <c r="Y236" s="519"/>
      <c r="Z236" s="519"/>
    </row>
    <row r="237" spans="1:26" ht="15.75" hidden="1" customHeight="1">
      <c r="A237" s="570">
        <v>44726</v>
      </c>
      <c r="B237" s="560"/>
      <c r="C237" s="552" t="s">
        <v>246</v>
      </c>
      <c r="D237" s="524"/>
      <c r="E237" s="525"/>
      <c r="F237" s="525"/>
      <c r="G237" s="525"/>
      <c r="H237" s="525"/>
      <c r="I237" s="525"/>
      <c r="J237" s="525"/>
      <c r="K237" s="525"/>
      <c r="L237" s="525"/>
      <c r="M237" s="525">
        <v>309.98</v>
      </c>
      <c r="N237" s="525"/>
      <c r="O237" s="525"/>
      <c r="P237" s="525"/>
      <c r="Q237" s="525"/>
      <c r="R237" s="525"/>
      <c r="S237" s="525"/>
      <c r="T237" s="525"/>
      <c r="U237" s="525"/>
      <c r="V237" s="525"/>
      <c r="W237" s="525"/>
      <c r="Y237" s="519"/>
      <c r="Z237" s="519"/>
    </row>
    <row r="238" spans="1:26" ht="15.75" hidden="1" customHeight="1">
      <c r="A238" s="570">
        <v>44727</v>
      </c>
      <c r="B238" s="560"/>
      <c r="C238" s="552" t="s">
        <v>247</v>
      </c>
      <c r="D238" s="524"/>
      <c r="E238" s="525"/>
      <c r="F238" s="525"/>
      <c r="G238" s="525"/>
      <c r="H238" s="525"/>
      <c r="I238" s="525"/>
      <c r="J238" s="525"/>
      <c r="K238" s="525"/>
      <c r="L238" s="525"/>
      <c r="M238" s="525"/>
      <c r="N238" s="525"/>
      <c r="O238" s="525">
        <v>309.88</v>
      </c>
      <c r="P238" s="525"/>
      <c r="Q238" s="525"/>
      <c r="R238" s="525"/>
      <c r="S238" s="525"/>
      <c r="T238" s="525"/>
      <c r="U238" s="525"/>
      <c r="V238" s="525"/>
      <c r="W238" s="525"/>
      <c r="Y238" s="519"/>
      <c r="Z238" s="519"/>
    </row>
    <row r="239" spans="1:26" ht="15.75" hidden="1" customHeight="1">
      <c r="A239" s="570">
        <v>44736</v>
      </c>
      <c r="B239" s="560" t="s">
        <v>248</v>
      </c>
      <c r="C239" s="552" t="s">
        <v>249</v>
      </c>
      <c r="D239" s="524">
        <v>1000</v>
      </c>
      <c r="E239" s="525"/>
      <c r="F239" s="525"/>
      <c r="G239" s="525"/>
      <c r="H239" s="525"/>
      <c r="I239" s="525"/>
      <c r="J239" s="525"/>
      <c r="K239" s="525"/>
      <c r="L239" s="525"/>
      <c r="M239" s="525"/>
      <c r="N239" s="525"/>
      <c r="O239" s="525"/>
      <c r="P239" s="525"/>
      <c r="Q239" s="525"/>
      <c r="R239" s="525"/>
      <c r="S239" s="525"/>
      <c r="T239" s="525"/>
      <c r="U239" s="525"/>
      <c r="V239" s="525"/>
      <c r="W239" s="525"/>
      <c r="Y239" s="519"/>
      <c r="Z239" s="519"/>
    </row>
    <row r="240" spans="1:26" ht="15.75" hidden="1" customHeight="1">
      <c r="A240" s="570">
        <v>44739</v>
      </c>
      <c r="B240" s="560"/>
      <c r="C240" s="552" t="s">
        <v>250</v>
      </c>
      <c r="D240" s="524"/>
      <c r="E240" s="525"/>
      <c r="F240" s="525"/>
      <c r="G240" s="525"/>
      <c r="H240" s="525"/>
      <c r="I240" s="525"/>
      <c r="J240" s="525"/>
      <c r="K240" s="525"/>
      <c r="L240" s="525"/>
      <c r="M240" s="525"/>
      <c r="N240" s="525"/>
      <c r="O240" s="525">
        <v>25.8</v>
      </c>
      <c r="P240" s="525"/>
      <c r="Q240" s="525"/>
      <c r="R240" s="525"/>
      <c r="S240" s="525"/>
      <c r="T240" s="525"/>
      <c r="U240" s="525"/>
      <c r="V240" s="525"/>
      <c r="W240" s="525"/>
      <c r="Y240" s="519"/>
      <c r="Z240" s="519"/>
    </row>
    <row r="241" spans="1:26" ht="15.75" hidden="1" customHeight="1">
      <c r="A241" s="570">
        <v>44739</v>
      </c>
      <c r="B241" s="560" t="s">
        <v>251</v>
      </c>
      <c r="C241" s="552" t="s">
        <v>214</v>
      </c>
      <c r="D241" s="524">
        <v>184.48</v>
      </c>
      <c r="E241" s="525"/>
      <c r="F241" s="525"/>
      <c r="G241" s="525"/>
      <c r="H241" s="525"/>
      <c r="I241" s="525"/>
      <c r="J241" s="525"/>
      <c r="K241" s="525"/>
      <c r="L241" s="525"/>
      <c r="M241" s="525"/>
      <c r="N241" s="525"/>
      <c r="O241" s="525"/>
      <c r="P241" s="525"/>
      <c r="Q241" s="525"/>
      <c r="R241" s="525"/>
      <c r="S241" s="525"/>
      <c r="T241" s="525"/>
      <c r="U241" s="525"/>
      <c r="V241" s="525"/>
      <c r="W241" s="525"/>
      <c r="Y241" s="519"/>
      <c r="Z241" s="519"/>
    </row>
    <row r="242" spans="1:26" ht="15.75" hidden="1" customHeight="1">
      <c r="A242" s="570">
        <v>44742</v>
      </c>
      <c r="B242" s="560"/>
      <c r="C242" s="552" t="s">
        <v>208</v>
      </c>
      <c r="D242" s="524"/>
      <c r="E242" s="525"/>
      <c r="F242" s="525"/>
      <c r="G242" s="525"/>
      <c r="H242" s="525"/>
      <c r="I242" s="525"/>
      <c r="J242" s="525"/>
      <c r="K242" s="525"/>
      <c r="L242" s="525"/>
      <c r="M242" s="525"/>
      <c r="N242" s="525"/>
      <c r="O242" s="525"/>
      <c r="P242" s="525"/>
      <c r="Q242" s="525"/>
      <c r="R242" s="525"/>
      <c r="S242" s="525">
        <v>11.34</v>
      </c>
      <c r="T242" s="525"/>
      <c r="U242" s="525"/>
      <c r="V242" s="525"/>
      <c r="W242" s="525"/>
      <c r="Y242" s="519"/>
      <c r="Z242" s="519"/>
    </row>
    <row r="243" spans="1:26" ht="15.75" hidden="1" customHeight="1" thickBot="1">
      <c r="A243" s="580"/>
      <c r="B243" s="581"/>
      <c r="C243" s="582"/>
      <c r="D243" s="583"/>
      <c r="E243" s="584"/>
      <c r="F243" s="584"/>
      <c r="G243" s="584"/>
      <c r="H243" s="584"/>
      <c r="I243" s="584"/>
      <c r="J243" s="584"/>
      <c r="K243" s="584"/>
      <c r="L243" s="584"/>
      <c r="M243" s="584"/>
      <c r="N243" s="584"/>
      <c r="O243" s="584"/>
      <c r="P243" s="584"/>
      <c r="Q243" s="584"/>
      <c r="R243" s="584"/>
      <c r="S243" s="584"/>
      <c r="T243" s="584"/>
      <c r="U243" s="584"/>
      <c r="V243" s="584"/>
      <c r="W243" s="584"/>
      <c r="X243" s="585"/>
      <c r="Y243" s="586"/>
      <c r="Z243" s="586"/>
    </row>
    <row r="244" spans="1:26" ht="15.75" hidden="1" customHeight="1" thickTop="1">
      <c r="A244" s="543"/>
      <c r="B244" s="554">
        <v>44743</v>
      </c>
      <c r="C244" s="575"/>
      <c r="D244" s="576"/>
      <c r="E244" s="545"/>
      <c r="F244" s="545"/>
      <c r="G244" s="545"/>
      <c r="H244" s="545"/>
      <c r="I244" s="545"/>
      <c r="J244" s="545"/>
      <c r="K244" s="545"/>
      <c r="L244" s="545"/>
      <c r="M244" s="545"/>
      <c r="N244" s="545"/>
      <c r="O244" s="545"/>
      <c r="P244" s="545"/>
      <c r="Q244" s="545"/>
      <c r="R244" s="545"/>
      <c r="S244" s="545"/>
      <c r="T244" s="545"/>
      <c r="U244" s="545"/>
      <c r="V244" s="545"/>
      <c r="W244" s="545"/>
      <c r="Y244" s="519"/>
      <c r="Z244" s="519"/>
    </row>
    <row r="245" spans="1:26" ht="15.75" hidden="1" customHeight="1">
      <c r="A245" s="570">
        <v>44743</v>
      </c>
      <c r="B245" s="522" t="s">
        <v>252</v>
      </c>
      <c r="C245" s="527" t="s">
        <v>167</v>
      </c>
      <c r="D245" s="524"/>
      <c r="E245" s="525"/>
      <c r="F245" s="525"/>
      <c r="G245" s="525"/>
      <c r="H245" s="525"/>
      <c r="I245" s="525"/>
      <c r="J245" s="525"/>
      <c r="K245" s="525"/>
      <c r="L245" s="525"/>
      <c r="M245" s="525"/>
      <c r="N245" s="525"/>
      <c r="O245" s="525"/>
      <c r="P245" s="525"/>
      <c r="Q245" s="525"/>
      <c r="R245" s="525"/>
      <c r="S245" s="525">
        <v>9.16</v>
      </c>
      <c r="T245" s="525"/>
      <c r="U245" s="525"/>
      <c r="V245" s="525"/>
      <c r="W245" s="525"/>
      <c r="Y245" s="519"/>
      <c r="Z245" s="519"/>
    </row>
    <row r="246" spans="1:26" ht="15.75" hidden="1" customHeight="1">
      <c r="A246" s="570">
        <v>44743</v>
      </c>
      <c r="B246" s="522">
        <v>0.84987999999999997</v>
      </c>
      <c r="C246" s="523" t="s">
        <v>62</v>
      </c>
      <c r="D246" s="524"/>
      <c r="E246" s="525"/>
      <c r="F246" s="525"/>
      <c r="G246" s="525"/>
      <c r="H246" s="525"/>
      <c r="I246" s="525"/>
      <c r="J246" s="525"/>
      <c r="K246" s="525"/>
      <c r="L246" s="525"/>
      <c r="M246" s="525"/>
      <c r="N246" s="525"/>
      <c r="O246" s="525"/>
      <c r="P246" s="525"/>
      <c r="Q246" s="525"/>
      <c r="R246" s="525"/>
      <c r="S246" s="525"/>
      <c r="T246" s="525"/>
      <c r="U246" s="525"/>
      <c r="V246" s="525">
        <v>1036.55</v>
      </c>
      <c r="W246" s="525"/>
      <c r="Y246" s="519"/>
      <c r="Z246" s="519"/>
    </row>
    <row r="247" spans="1:26" ht="15.75" hidden="1" customHeight="1">
      <c r="A247" s="570">
        <v>44743</v>
      </c>
      <c r="B247" s="526"/>
      <c r="C247" s="523" t="s">
        <v>64</v>
      </c>
      <c r="D247" s="524"/>
      <c r="E247" s="525"/>
      <c r="F247" s="525"/>
      <c r="G247" s="525"/>
      <c r="H247" s="525"/>
      <c r="I247" s="525"/>
      <c r="J247" s="525"/>
      <c r="K247" s="525"/>
      <c r="L247" s="525"/>
      <c r="M247" s="525"/>
      <c r="N247" s="525"/>
      <c r="O247" s="525"/>
      <c r="P247" s="525"/>
      <c r="Q247" s="525"/>
      <c r="R247" s="525"/>
      <c r="S247" s="525"/>
      <c r="T247" s="525">
        <v>700</v>
      </c>
      <c r="U247" s="525"/>
      <c r="V247" s="525"/>
      <c r="W247" s="525"/>
      <c r="Y247" s="519"/>
      <c r="Z247" s="519"/>
    </row>
    <row r="248" spans="1:26" ht="15.75" hidden="1" customHeight="1">
      <c r="A248" s="570">
        <v>44746</v>
      </c>
      <c r="B248" s="526"/>
      <c r="C248" s="523" t="s">
        <v>77</v>
      </c>
      <c r="D248" s="524"/>
      <c r="E248" s="525"/>
      <c r="F248" s="525"/>
      <c r="G248" s="525"/>
      <c r="H248" s="525"/>
      <c r="I248" s="525"/>
      <c r="J248" s="525"/>
      <c r="K248" s="525"/>
      <c r="L248" s="525"/>
      <c r="M248" s="525"/>
      <c r="N248" s="525"/>
      <c r="O248" s="525"/>
      <c r="P248" s="525"/>
      <c r="Q248" s="525"/>
      <c r="R248" s="525"/>
      <c r="S248" s="525"/>
      <c r="T248" s="525">
        <v>80</v>
      </c>
      <c r="U248" s="525"/>
      <c r="V248" s="525"/>
      <c r="W248" s="525"/>
      <c r="Y248" s="519"/>
      <c r="Z248" s="519"/>
    </row>
    <row r="249" spans="1:26" ht="15.75" hidden="1" customHeight="1">
      <c r="A249" s="570">
        <v>44746</v>
      </c>
      <c r="B249" s="526"/>
      <c r="C249" s="523" t="s">
        <v>63</v>
      </c>
      <c r="D249" s="524"/>
      <c r="E249" s="525"/>
      <c r="F249" s="525"/>
      <c r="G249" s="525"/>
      <c r="H249" s="525"/>
      <c r="I249" s="525"/>
      <c r="J249" s="525"/>
      <c r="K249" s="525"/>
      <c r="L249" s="525"/>
      <c r="M249" s="525"/>
      <c r="N249" s="525"/>
      <c r="O249" s="525"/>
      <c r="P249" s="525"/>
      <c r="Q249" s="525"/>
      <c r="R249" s="525"/>
      <c r="S249" s="525"/>
      <c r="T249" s="525">
        <v>261.2</v>
      </c>
      <c r="U249" s="525"/>
      <c r="V249" s="525"/>
      <c r="W249" s="525"/>
      <c r="Y249" s="519"/>
      <c r="Z249" s="519"/>
    </row>
    <row r="250" spans="1:26" ht="15.75" hidden="1" customHeight="1">
      <c r="A250" s="570">
        <v>44746</v>
      </c>
      <c r="B250" s="546"/>
      <c r="C250" s="523" t="s">
        <v>65</v>
      </c>
      <c r="D250" s="524"/>
      <c r="E250" s="525"/>
      <c r="F250" s="525"/>
      <c r="G250" s="525"/>
      <c r="H250" s="525"/>
      <c r="I250" s="525"/>
      <c r="J250" s="525"/>
      <c r="K250" s="525"/>
      <c r="L250" s="525"/>
      <c r="M250" s="525"/>
      <c r="N250" s="525"/>
      <c r="O250" s="525"/>
      <c r="P250" s="525"/>
      <c r="Q250" s="525"/>
      <c r="R250" s="525"/>
      <c r="S250" s="525"/>
      <c r="T250" s="525">
        <v>18</v>
      </c>
      <c r="U250" s="525"/>
      <c r="V250" s="525"/>
      <c r="W250" s="525"/>
      <c r="Y250" s="519"/>
      <c r="Z250" s="519"/>
    </row>
    <row r="251" spans="1:26" ht="15.75" hidden="1" customHeight="1">
      <c r="A251" s="570">
        <v>44757</v>
      </c>
      <c r="B251" s="526"/>
      <c r="C251" s="523" t="s">
        <v>168</v>
      </c>
      <c r="D251" s="524"/>
      <c r="E251" s="525"/>
      <c r="F251" s="525"/>
      <c r="G251" s="525"/>
      <c r="H251" s="525"/>
      <c r="I251" s="525"/>
      <c r="J251" s="525"/>
      <c r="K251" s="525"/>
      <c r="L251" s="525"/>
      <c r="M251" s="525"/>
      <c r="N251" s="525"/>
      <c r="O251" s="525"/>
      <c r="P251" s="525"/>
      <c r="Q251" s="525"/>
      <c r="R251" s="525"/>
      <c r="S251" s="525"/>
      <c r="T251" s="525">
        <v>1608.68</v>
      </c>
      <c r="U251" s="525"/>
      <c r="V251" s="525"/>
      <c r="W251" s="525"/>
      <c r="Y251" s="519"/>
      <c r="Z251" s="519"/>
    </row>
    <row r="252" spans="1:26" ht="15.75" hidden="1" customHeight="1">
      <c r="A252" s="570">
        <v>44761</v>
      </c>
      <c r="B252" s="526"/>
      <c r="C252" s="523" t="s">
        <v>111</v>
      </c>
      <c r="D252" s="524"/>
      <c r="E252" s="525"/>
      <c r="F252" s="525"/>
      <c r="G252" s="525"/>
      <c r="H252" s="525"/>
      <c r="I252" s="525"/>
      <c r="J252" s="528"/>
      <c r="K252" s="525">
        <v>29.99</v>
      </c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Y252" s="519"/>
      <c r="Z252" s="519"/>
    </row>
    <row r="253" spans="1:26" ht="15.75" hidden="1" customHeight="1">
      <c r="A253" s="570">
        <v>44761</v>
      </c>
      <c r="B253" s="546"/>
      <c r="C253" s="527" t="s">
        <v>253</v>
      </c>
      <c r="D253" s="524"/>
      <c r="E253" s="525"/>
      <c r="F253" s="525"/>
      <c r="G253" s="525"/>
      <c r="H253" s="525"/>
      <c r="I253" s="525"/>
      <c r="J253" s="525"/>
      <c r="K253" s="525"/>
      <c r="L253" s="525"/>
      <c r="M253" s="528"/>
      <c r="N253" s="525">
        <v>940</v>
      </c>
      <c r="O253" s="525"/>
      <c r="P253" s="525"/>
      <c r="Q253" s="525"/>
      <c r="R253" s="525"/>
      <c r="S253" s="525"/>
      <c r="T253" s="525"/>
      <c r="U253" s="525"/>
      <c r="V253" s="525"/>
      <c r="W253" s="525"/>
      <c r="Y253" s="519"/>
      <c r="Z253" s="519"/>
    </row>
    <row r="254" spans="1:26" ht="15.75" hidden="1" customHeight="1">
      <c r="A254" s="570">
        <v>44762</v>
      </c>
      <c r="B254" s="526"/>
      <c r="C254" s="523" t="s">
        <v>78</v>
      </c>
      <c r="D254" s="524"/>
      <c r="E254" s="525"/>
      <c r="F254" s="525"/>
      <c r="G254" s="525"/>
      <c r="H254" s="525"/>
      <c r="I254" s="525"/>
      <c r="J254" s="525">
        <v>20.66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Y254" s="519"/>
      <c r="Z254" s="519"/>
    </row>
    <row r="255" spans="1:26" ht="15.75" hidden="1" customHeight="1">
      <c r="A255" s="570">
        <v>44764</v>
      </c>
      <c r="B255" s="526"/>
      <c r="C255" s="523" t="s">
        <v>64</v>
      </c>
      <c r="D255" s="524"/>
      <c r="E255" s="525"/>
      <c r="F255" s="525"/>
      <c r="G255" s="525"/>
      <c r="H255" s="525"/>
      <c r="I255" s="525"/>
      <c r="J255" s="525"/>
      <c r="K255" s="525"/>
      <c r="L255" s="525"/>
      <c r="M255" s="525"/>
      <c r="N255" s="525"/>
      <c r="O255" s="525"/>
      <c r="P255" s="525"/>
      <c r="Q255" s="525"/>
      <c r="R255" s="525"/>
      <c r="S255" s="525"/>
      <c r="T255" s="525">
        <v>500</v>
      </c>
      <c r="U255" s="525"/>
      <c r="V255" s="525"/>
      <c r="W255" s="525"/>
      <c r="Y255" s="519"/>
      <c r="Z255" s="519"/>
    </row>
    <row r="256" spans="1:26" ht="15.75" hidden="1" customHeight="1">
      <c r="A256" s="578"/>
      <c r="B256" s="578"/>
      <c r="C256" s="558"/>
      <c r="D256" s="579"/>
      <c r="E256" s="550"/>
      <c r="F256" s="550"/>
      <c r="G256" s="550"/>
      <c r="H256" s="550"/>
      <c r="I256" s="550"/>
      <c r="J256" s="550"/>
      <c r="K256" s="550"/>
      <c r="L256" s="550"/>
      <c r="M256" s="550"/>
      <c r="N256" s="550"/>
      <c r="O256" s="550"/>
      <c r="P256" s="550"/>
      <c r="Q256" s="550"/>
      <c r="R256" s="550"/>
      <c r="S256" s="550"/>
      <c r="T256" s="550"/>
      <c r="U256" s="550"/>
      <c r="V256" s="550"/>
      <c r="W256" s="550"/>
      <c r="Y256" s="519"/>
      <c r="Z256" s="519"/>
    </row>
    <row r="257" spans="1:26" ht="15.75" hidden="1" customHeight="1">
      <c r="A257" s="570">
        <v>44746</v>
      </c>
      <c r="B257" s="560"/>
      <c r="C257" s="552" t="s">
        <v>153</v>
      </c>
      <c r="D257" s="524"/>
      <c r="E257" s="525"/>
      <c r="F257" s="525"/>
      <c r="G257" s="525"/>
      <c r="H257" s="525"/>
      <c r="I257" s="525"/>
      <c r="J257" s="525"/>
      <c r="K257" s="525"/>
      <c r="L257" s="525"/>
      <c r="M257" s="525"/>
      <c r="N257" s="525"/>
      <c r="O257" s="525"/>
      <c r="P257" s="525"/>
      <c r="Q257" s="525"/>
      <c r="R257" s="525"/>
      <c r="S257" s="525"/>
      <c r="T257" s="525"/>
      <c r="U257" s="525"/>
      <c r="V257" s="525"/>
      <c r="W257" s="525">
        <v>500</v>
      </c>
      <c r="Y257" s="519"/>
      <c r="Z257" s="519"/>
    </row>
    <row r="258" spans="1:26" ht="15.75" hidden="1" customHeight="1">
      <c r="A258" s="570">
        <v>44747</v>
      </c>
      <c r="B258" s="560"/>
      <c r="C258" s="552" t="s">
        <v>174</v>
      </c>
      <c r="D258" s="524"/>
      <c r="E258" s="525"/>
      <c r="F258" s="525"/>
      <c r="G258" s="525"/>
      <c r="H258" s="525"/>
      <c r="I258" s="525"/>
      <c r="J258" s="525"/>
      <c r="K258" s="525">
        <v>11.64</v>
      </c>
      <c r="L258" s="525"/>
      <c r="M258" s="525"/>
      <c r="N258" s="525"/>
      <c r="O258" s="525"/>
      <c r="P258" s="525"/>
      <c r="Q258" s="525"/>
      <c r="R258" s="525"/>
      <c r="S258" s="525"/>
      <c r="T258" s="525"/>
      <c r="U258" s="525"/>
      <c r="V258" s="525"/>
      <c r="W258" s="525"/>
      <c r="Y258" s="519"/>
      <c r="Z258" s="519"/>
    </row>
    <row r="259" spans="1:26" ht="15.75" hidden="1" customHeight="1">
      <c r="A259" s="570">
        <v>44747</v>
      </c>
      <c r="B259" s="560"/>
      <c r="C259" s="552" t="s">
        <v>254</v>
      </c>
      <c r="D259" s="524"/>
      <c r="E259" s="525"/>
      <c r="F259" s="525"/>
      <c r="G259" s="525"/>
      <c r="H259" s="525"/>
      <c r="I259" s="525"/>
      <c r="J259" s="525"/>
      <c r="K259" s="525"/>
      <c r="L259" s="525"/>
      <c r="M259" s="525">
        <v>46.84</v>
      </c>
      <c r="N259" s="525"/>
      <c r="O259" s="525"/>
      <c r="P259" s="525"/>
      <c r="Q259" s="525"/>
      <c r="R259" s="525"/>
      <c r="S259" s="525"/>
      <c r="T259" s="525"/>
      <c r="U259" s="525"/>
      <c r="V259" s="525"/>
      <c r="W259" s="525"/>
      <c r="Y259" s="519"/>
      <c r="Z259" s="519"/>
    </row>
    <row r="260" spans="1:26" ht="15.75" hidden="1" customHeight="1">
      <c r="A260" s="570">
        <v>44748</v>
      </c>
      <c r="B260" s="560"/>
      <c r="C260" s="552" t="s">
        <v>174</v>
      </c>
      <c r="D260" s="524"/>
      <c r="E260" s="525"/>
      <c r="F260" s="525"/>
      <c r="G260" s="525"/>
      <c r="H260" s="525"/>
      <c r="I260" s="525"/>
      <c r="J260" s="525"/>
      <c r="K260" s="525">
        <v>11.71</v>
      </c>
      <c r="L260" s="525"/>
      <c r="M260" s="525"/>
      <c r="N260" s="525"/>
      <c r="O260" s="525"/>
      <c r="P260" s="525"/>
      <c r="Q260" s="525"/>
      <c r="R260" s="525"/>
      <c r="S260" s="525"/>
      <c r="T260" s="525"/>
      <c r="U260" s="525"/>
      <c r="V260" s="525"/>
      <c r="W260" s="525"/>
      <c r="Y260" s="519"/>
      <c r="Z260" s="519"/>
    </row>
    <row r="261" spans="1:26" ht="15.75" hidden="1" customHeight="1">
      <c r="A261" s="570">
        <v>44748</v>
      </c>
      <c r="B261" s="560"/>
      <c r="C261" s="552" t="s">
        <v>174</v>
      </c>
      <c r="D261" s="524"/>
      <c r="E261" s="525"/>
      <c r="F261" s="525"/>
      <c r="G261" s="525"/>
      <c r="H261" s="525"/>
      <c r="I261" s="525"/>
      <c r="J261" s="525"/>
      <c r="K261" s="525">
        <v>11.71</v>
      </c>
      <c r="L261" s="525"/>
      <c r="M261" s="525"/>
      <c r="N261" s="525"/>
      <c r="O261" s="525"/>
      <c r="P261" s="525"/>
      <c r="Q261" s="525"/>
      <c r="R261" s="525"/>
      <c r="S261" s="525"/>
      <c r="T261" s="525"/>
      <c r="U261" s="525"/>
      <c r="V261" s="525"/>
      <c r="W261" s="525"/>
      <c r="Y261" s="519"/>
      <c r="Z261" s="519"/>
    </row>
    <row r="262" spans="1:26" ht="15.75" hidden="1" customHeight="1">
      <c r="A262" s="570">
        <v>44748</v>
      </c>
      <c r="B262" s="560"/>
      <c r="C262" s="552" t="s">
        <v>174</v>
      </c>
      <c r="D262" s="524"/>
      <c r="E262" s="525"/>
      <c r="F262" s="525"/>
      <c r="G262" s="525"/>
      <c r="H262" s="525"/>
      <c r="I262" s="525"/>
      <c r="J262" s="525"/>
      <c r="K262" s="525">
        <v>11.71</v>
      </c>
      <c r="L262" s="525"/>
      <c r="M262" s="525"/>
      <c r="N262" s="525"/>
      <c r="O262" s="525"/>
      <c r="P262" s="525"/>
      <c r="Q262" s="525"/>
      <c r="R262" s="525"/>
      <c r="S262" s="525"/>
      <c r="T262" s="525"/>
      <c r="U262" s="525"/>
      <c r="V262" s="525"/>
      <c r="W262" s="525"/>
      <c r="Y262" s="519"/>
      <c r="Z262" s="519"/>
    </row>
    <row r="263" spans="1:26" ht="15.75" hidden="1" customHeight="1">
      <c r="A263" s="570">
        <v>44750</v>
      </c>
      <c r="B263" s="560"/>
      <c r="C263" s="552" t="s">
        <v>255</v>
      </c>
      <c r="D263" s="524"/>
      <c r="E263" s="525"/>
      <c r="F263" s="525"/>
      <c r="G263" s="525"/>
      <c r="H263" s="525"/>
      <c r="I263" s="525"/>
      <c r="J263" s="525"/>
      <c r="K263" s="525"/>
      <c r="L263" s="525"/>
      <c r="M263" s="525">
        <v>73.040000000000006</v>
      </c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Y263" s="519"/>
      <c r="Z263" s="519"/>
    </row>
    <row r="264" spans="1:26" ht="15.75" hidden="1" customHeight="1">
      <c r="A264" s="570">
        <v>44753</v>
      </c>
      <c r="B264" s="560"/>
      <c r="C264" s="552" t="s">
        <v>174</v>
      </c>
      <c r="D264" s="524"/>
      <c r="E264" s="525"/>
      <c r="F264" s="525"/>
      <c r="G264" s="525"/>
      <c r="H264" s="525"/>
      <c r="I264" s="525"/>
      <c r="J264" s="525"/>
      <c r="K264" s="525">
        <v>11.85</v>
      </c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Y264" s="519"/>
      <c r="Z264" s="519"/>
    </row>
    <row r="265" spans="1:26" ht="15.75" hidden="1" customHeight="1">
      <c r="A265" s="570">
        <v>44753</v>
      </c>
      <c r="B265" s="560"/>
      <c r="C265" s="552" t="s">
        <v>174</v>
      </c>
      <c r="D265" s="524"/>
      <c r="E265" s="525"/>
      <c r="F265" s="525"/>
      <c r="G265" s="525"/>
      <c r="H265" s="525"/>
      <c r="I265" s="525"/>
      <c r="J265" s="525"/>
      <c r="K265" s="525">
        <v>11.85</v>
      </c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Y265" s="519"/>
      <c r="Z265" s="519"/>
    </row>
    <row r="266" spans="1:26" ht="15.75" hidden="1" customHeight="1">
      <c r="A266" s="570">
        <v>44753</v>
      </c>
      <c r="B266" s="560"/>
      <c r="C266" s="552" t="s">
        <v>174</v>
      </c>
      <c r="D266" s="524"/>
      <c r="E266" s="525"/>
      <c r="F266" s="525"/>
      <c r="G266" s="525"/>
      <c r="H266" s="525"/>
      <c r="I266" s="525"/>
      <c r="J266" s="525"/>
      <c r="K266" s="525">
        <v>11.85</v>
      </c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Y266" s="519"/>
      <c r="Z266" s="519"/>
    </row>
    <row r="267" spans="1:26" ht="15.75" hidden="1" customHeight="1">
      <c r="A267" s="570">
        <v>44753</v>
      </c>
      <c r="B267" s="560"/>
      <c r="C267" s="552" t="s">
        <v>238</v>
      </c>
      <c r="D267" s="524"/>
      <c r="E267" s="525"/>
      <c r="F267" s="525"/>
      <c r="G267" s="525"/>
      <c r="H267" s="525"/>
      <c r="I267" s="525"/>
      <c r="J267" s="525"/>
      <c r="K267" s="525"/>
      <c r="L267" s="525"/>
      <c r="M267" s="525">
        <v>9</v>
      </c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Y267" s="519"/>
      <c r="Z267" s="519"/>
    </row>
    <row r="268" spans="1:26" ht="15.75" hidden="1" customHeight="1">
      <c r="A268" s="570">
        <v>44755</v>
      </c>
      <c r="B268" s="560"/>
      <c r="C268" s="552" t="s">
        <v>256</v>
      </c>
      <c r="D268" s="524"/>
      <c r="E268" s="525"/>
      <c r="F268" s="525"/>
      <c r="G268" s="525"/>
      <c r="H268" s="525"/>
      <c r="I268" s="525"/>
      <c r="J268" s="525"/>
      <c r="K268" s="525">
        <v>117.94</v>
      </c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Y268" s="519"/>
      <c r="Z268" s="519"/>
    </row>
    <row r="269" spans="1:26" ht="15.75" hidden="1" customHeight="1">
      <c r="A269" s="570">
        <v>44756</v>
      </c>
      <c r="B269" s="560"/>
      <c r="C269" s="552" t="s">
        <v>174</v>
      </c>
      <c r="D269" s="524"/>
      <c r="E269" s="525"/>
      <c r="F269" s="525"/>
      <c r="G269" s="525"/>
      <c r="H269" s="525"/>
      <c r="I269" s="525"/>
      <c r="J269" s="525"/>
      <c r="K269" s="525">
        <v>11.9</v>
      </c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Y269" s="519"/>
      <c r="Z269" s="519"/>
    </row>
    <row r="270" spans="1:26" ht="15.75" hidden="1" customHeight="1">
      <c r="A270" s="570">
        <v>44756</v>
      </c>
      <c r="B270" s="560"/>
      <c r="C270" s="552" t="s">
        <v>174</v>
      </c>
      <c r="D270" s="524"/>
      <c r="E270" s="525"/>
      <c r="F270" s="525"/>
      <c r="G270" s="525"/>
      <c r="H270" s="525"/>
      <c r="I270" s="525"/>
      <c r="J270" s="525"/>
      <c r="K270" s="525">
        <v>11.9</v>
      </c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Y270" s="519"/>
      <c r="Z270" s="519"/>
    </row>
    <row r="271" spans="1:26" ht="15.75" hidden="1" customHeight="1">
      <c r="A271" s="570">
        <v>44756</v>
      </c>
      <c r="B271" s="560" t="s">
        <v>257</v>
      </c>
      <c r="C271" s="552" t="s">
        <v>91</v>
      </c>
      <c r="D271" s="524"/>
      <c r="E271" s="525"/>
      <c r="F271" s="525"/>
      <c r="G271" s="525"/>
      <c r="H271" s="525"/>
      <c r="I271" s="525"/>
      <c r="J271" s="525"/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Y271" s="519"/>
      <c r="Z271" s="519"/>
    </row>
    <row r="272" spans="1:26" ht="15.75" hidden="1" customHeight="1">
      <c r="A272" s="570">
        <v>44760</v>
      </c>
      <c r="B272" s="560"/>
      <c r="C272" s="552" t="s">
        <v>174</v>
      </c>
      <c r="D272" s="524"/>
      <c r="E272" s="525"/>
      <c r="F272" s="525"/>
      <c r="G272" s="525"/>
      <c r="H272" s="525"/>
      <c r="I272" s="525"/>
      <c r="J272" s="525"/>
      <c r="K272" s="525">
        <v>11.82</v>
      </c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Y272" s="519"/>
      <c r="Z272" s="519"/>
    </row>
    <row r="273" spans="1:26" ht="15.75" hidden="1" customHeight="1">
      <c r="A273" s="570">
        <v>44769</v>
      </c>
      <c r="B273" s="560"/>
      <c r="C273" s="552" t="s">
        <v>258</v>
      </c>
      <c r="D273" s="524"/>
      <c r="E273" s="525"/>
      <c r="F273" s="525"/>
      <c r="G273" s="525"/>
      <c r="H273" s="525"/>
      <c r="I273" s="525"/>
      <c r="J273" s="525"/>
      <c r="K273" s="525"/>
      <c r="L273" s="525">
        <v>440.83</v>
      </c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Y273" s="519"/>
      <c r="Z273" s="519"/>
    </row>
    <row r="274" spans="1:26" ht="15.75" hidden="1" customHeight="1">
      <c r="A274" s="570">
        <v>44770</v>
      </c>
      <c r="B274" s="560"/>
      <c r="C274" s="552" t="s">
        <v>220</v>
      </c>
      <c r="D274" s="524"/>
      <c r="E274" s="525"/>
      <c r="F274" s="525"/>
      <c r="G274" s="525"/>
      <c r="H274" s="525"/>
      <c r="I274" s="525">
        <v>39.18</v>
      </c>
      <c r="J274" s="525"/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Y274" s="519"/>
      <c r="Z274" s="519"/>
    </row>
    <row r="275" spans="1:26" ht="15.75" hidden="1" customHeight="1" thickBot="1">
      <c r="A275" s="580"/>
      <c r="B275" s="581"/>
      <c r="C275" s="582"/>
      <c r="D275" s="583"/>
      <c r="E275" s="584"/>
      <c r="F275" s="584"/>
      <c r="G275" s="584"/>
      <c r="H275" s="584"/>
      <c r="I275" s="584"/>
      <c r="J275" s="584"/>
      <c r="K275" s="584"/>
      <c r="L275" s="584"/>
      <c r="M275" s="584"/>
      <c r="N275" s="584"/>
      <c r="O275" s="584"/>
      <c r="P275" s="584"/>
      <c r="Q275" s="584"/>
      <c r="R275" s="584"/>
      <c r="S275" s="584"/>
      <c r="T275" s="584"/>
      <c r="U275" s="584"/>
      <c r="V275" s="584"/>
      <c r="W275" s="584"/>
      <c r="X275" s="585"/>
      <c r="Y275" s="586"/>
      <c r="Z275" s="586"/>
    </row>
    <row r="276" spans="1:26" ht="15.75" hidden="1" customHeight="1" thickTop="1">
      <c r="A276" s="543"/>
      <c r="B276" s="554">
        <v>44774</v>
      </c>
      <c r="C276" s="575"/>
      <c r="D276" s="576"/>
      <c r="E276" s="545"/>
      <c r="F276" s="545"/>
      <c r="G276" s="545"/>
      <c r="H276" s="545"/>
      <c r="I276" s="545"/>
      <c r="J276" s="545"/>
      <c r="K276" s="545"/>
      <c r="L276" s="545"/>
      <c r="M276" s="545"/>
      <c r="N276" s="545"/>
      <c r="O276" s="545"/>
      <c r="P276" s="545"/>
      <c r="Q276" s="545"/>
      <c r="R276" s="545"/>
      <c r="S276" s="545"/>
      <c r="T276" s="545"/>
      <c r="U276" s="545"/>
      <c r="V276" s="545"/>
      <c r="W276" s="545"/>
      <c r="Y276" s="519"/>
      <c r="Z276" s="519"/>
    </row>
    <row r="277" spans="1:26" ht="15.75" hidden="1" customHeight="1">
      <c r="A277" s="570">
        <v>44774</v>
      </c>
      <c r="B277" s="567"/>
      <c r="C277" s="523" t="s">
        <v>62</v>
      </c>
      <c r="D277" s="524"/>
      <c r="E277" s="525"/>
      <c r="F277" s="525"/>
      <c r="G277" s="525"/>
      <c r="H277" s="525"/>
      <c r="I277" s="525"/>
      <c r="J277" s="525"/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>
        <v>1036.55</v>
      </c>
      <c r="W277" s="525"/>
      <c r="Y277" s="519"/>
      <c r="Z277" s="519"/>
    </row>
    <row r="278" spans="1:26" ht="15.75" hidden="1" customHeight="1">
      <c r="A278" s="570">
        <v>44774</v>
      </c>
      <c r="B278" s="522" t="s">
        <v>259</v>
      </c>
      <c r="C278" s="523" t="s">
        <v>63</v>
      </c>
      <c r="D278" s="524"/>
      <c r="E278" s="525"/>
      <c r="F278" s="525"/>
      <c r="G278" s="525"/>
      <c r="H278" s="525"/>
      <c r="I278" s="525"/>
      <c r="J278" s="525"/>
      <c r="K278" s="525"/>
      <c r="L278" s="525"/>
      <c r="M278" s="525"/>
      <c r="N278" s="525"/>
      <c r="O278" s="525"/>
      <c r="P278" s="525"/>
      <c r="Q278" s="525"/>
      <c r="R278" s="525"/>
      <c r="S278" s="525"/>
      <c r="T278" s="525">
        <v>261.2</v>
      </c>
      <c r="U278" s="525"/>
      <c r="V278" s="525"/>
      <c r="W278" s="525"/>
      <c r="Y278" s="519"/>
      <c r="Z278" s="519"/>
    </row>
    <row r="279" spans="1:26" ht="15.75" hidden="1" customHeight="1">
      <c r="A279" s="570">
        <v>44774</v>
      </c>
      <c r="B279" s="522">
        <v>0.84375</v>
      </c>
      <c r="C279" s="523" t="s">
        <v>64</v>
      </c>
      <c r="D279" s="524"/>
      <c r="E279" s="525"/>
      <c r="F279" s="525"/>
      <c r="G279" s="525"/>
      <c r="H279" s="525"/>
      <c r="I279" s="525"/>
      <c r="J279" s="525"/>
      <c r="K279" s="525"/>
      <c r="L279" s="525"/>
      <c r="M279" s="525"/>
      <c r="N279" s="525"/>
      <c r="O279" s="525"/>
      <c r="P279" s="525"/>
      <c r="Q279" s="525"/>
      <c r="R279" s="525"/>
      <c r="S279" s="525"/>
      <c r="T279" s="525">
        <v>700</v>
      </c>
      <c r="U279" s="525"/>
      <c r="V279" s="525"/>
      <c r="W279" s="525"/>
      <c r="Y279" s="519"/>
      <c r="Z279" s="519"/>
    </row>
    <row r="280" spans="1:26" ht="15.75" hidden="1" customHeight="1">
      <c r="A280" s="570">
        <v>44774</v>
      </c>
      <c r="B280" s="546"/>
      <c r="C280" s="527" t="s">
        <v>167</v>
      </c>
      <c r="D280" s="524"/>
      <c r="E280" s="525"/>
      <c r="F280" s="525"/>
      <c r="G280" s="525"/>
      <c r="H280" s="525"/>
      <c r="I280" s="525"/>
      <c r="J280" s="525"/>
      <c r="K280" s="525"/>
      <c r="L280" s="525"/>
      <c r="M280" s="525"/>
      <c r="N280" s="525"/>
      <c r="O280" s="525"/>
      <c r="P280" s="525"/>
      <c r="Q280" s="525"/>
      <c r="R280" s="525"/>
      <c r="S280" s="525">
        <v>9</v>
      </c>
      <c r="T280" s="525"/>
      <c r="U280" s="525"/>
      <c r="V280" s="525"/>
      <c r="W280" s="525"/>
      <c r="Y280" s="519"/>
      <c r="Z280" s="519"/>
    </row>
    <row r="281" spans="1:26" ht="15.75" hidden="1" customHeight="1">
      <c r="A281" s="570">
        <v>44775</v>
      </c>
      <c r="B281" s="526"/>
      <c r="C281" s="523" t="s">
        <v>260</v>
      </c>
      <c r="D281" s="524"/>
      <c r="E281" s="525">
        <v>929.47</v>
      </c>
      <c r="F281" s="525"/>
      <c r="G281" s="525"/>
      <c r="H281" s="525"/>
      <c r="I281" s="525"/>
      <c r="J281" s="525"/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Y281" s="519"/>
      <c r="Z281" s="519"/>
    </row>
    <row r="282" spans="1:26" ht="15.75" hidden="1" customHeight="1">
      <c r="A282" s="570">
        <v>44775</v>
      </c>
      <c r="B282" s="526"/>
      <c r="C282" s="523" t="s">
        <v>77</v>
      </c>
      <c r="D282" s="524"/>
      <c r="E282" s="525"/>
      <c r="F282" s="525"/>
      <c r="G282" s="525"/>
      <c r="H282" s="525"/>
      <c r="I282" s="525"/>
      <c r="J282" s="525"/>
      <c r="K282" s="525"/>
      <c r="L282" s="525"/>
      <c r="M282" s="525"/>
      <c r="N282" s="525"/>
      <c r="O282" s="525"/>
      <c r="P282" s="525"/>
      <c r="Q282" s="525"/>
      <c r="R282" s="525"/>
      <c r="S282" s="525"/>
      <c r="T282" s="525">
        <v>80</v>
      </c>
      <c r="U282" s="525"/>
      <c r="V282" s="525"/>
      <c r="W282" s="525"/>
      <c r="Y282" s="519"/>
      <c r="Z282" s="519"/>
    </row>
    <row r="283" spans="1:26" ht="15.75" hidden="1" customHeight="1">
      <c r="A283" s="570">
        <v>44775</v>
      </c>
      <c r="B283" s="526"/>
      <c r="C283" s="523" t="s">
        <v>167</v>
      </c>
      <c r="D283" s="524"/>
      <c r="E283" s="525"/>
      <c r="F283" s="525"/>
      <c r="G283" s="525"/>
      <c r="H283" s="525"/>
      <c r="I283" s="525"/>
      <c r="J283" s="525"/>
      <c r="K283" s="525"/>
      <c r="L283" s="525"/>
      <c r="M283" s="525"/>
      <c r="N283" s="525"/>
      <c r="O283" s="525"/>
      <c r="P283" s="525"/>
      <c r="Q283" s="525"/>
      <c r="R283" s="525"/>
      <c r="S283" s="525">
        <v>9.16</v>
      </c>
      <c r="T283" s="525"/>
      <c r="U283" s="525"/>
      <c r="V283" s="525"/>
      <c r="W283" s="525"/>
      <c r="Y283" s="519"/>
      <c r="Z283" s="519"/>
    </row>
    <row r="284" spans="1:26" ht="15.75" hidden="1" customHeight="1">
      <c r="A284" s="570">
        <v>44776</v>
      </c>
      <c r="B284" s="546"/>
      <c r="C284" s="523" t="s">
        <v>65</v>
      </c>
      <c r="D284" s="524"/>
      <c r="E284" s="525"/>
      <c r="F284" s="525"/>
      <c r="G284" s="525"/>
      <c r="H284" s="525"/>
      <c r="I284" s="525"/>
      <c r="J284" s="525"/>
      <c r="K284" s="525"/>
      <c r="L284" s="525"/>
      <c r="M284" s="525"/>
      <c r="N284" s="525"/>
      <c r="O284" s="525"/>
      <c r="P284" s="525"/>
      <c r="Q284" s="525"/>
      <c r="R284" s="525"/>
      <c r="S284" s="525"/>
      <c r="T284" s="525">
        <v>18</v>
      </c>
      <c r="U284" s="525"/>
      <c r="V284" s="525"/>
      <c r="W284" s="525"/>
      <c r="Y284" s="519"/>
      <c r="Z284" s="519"/>
    </row>
    <row r="285" spans="1:26" ht="15.75" hidden="1" customHeight="1">
      <c r="A285" s="570">
        <v>44777</v>
      </c>
      <c r="B285" s="546"/>
      <c r="C285" s="527" t="s">
        <v>261</v>
      </c>
      <c r="D285" s="524"/>
      <c r="E285" s="525"/>
      <c r="F285" s="525"/>
      <c r="G285" s="525"/>
      <c r="H285" s="525"/>
      <c r="I285" s="525"/>
      <c r="J285" s="525"/>
      <c r="K285" s="525"/>
      <c r="L285" s="525"/>
      <c r="M285" s="525"/>
      <c r="N285" s="525"/>
      <c r="O285" s="525"/>
      <c r="P285" s="525"/>
      <c r="Q285" s="525"/>
      <c r="R285" s="525"/>
      <c r="S285" s="525"/>
      <c r="T285" s="525">
        <v>33.08</v>
      </c>
      <c r="U285" s="525"/>
      <c r="V285" s="525"/>
      <c r="W285" s="525"/>
      <c r="Y285" s="519"/>
      <c r="Z285" s="519"/>
    </row>
    <row r="286" spans="1:26" ht="15.75" hidden="1" customHeight="1">
      <c r="A286" s="570">
        <v>44782</v>
      </c>
      <c r="B286" s="546"/>
      <c r="C286" s="527" t="s">
        <v>262</v>
      </c>
      <c r="D286" s="524"/>
      <c r="E286" s="525"/>
      <c r="F286" s="525"/>
      <c r="G286" s="525"/>
      <c r="H286" s="525"/>
      <c r="I286" s="525"/>
      <c r="J286" s="525"/>
      <c r="K286" s="525"/>
      <c r="L286" s="525"/>
      <c r="M286" s="528"/>
      <c r="N286" s="525">
        <v>950</v>
      </c>
      <c r="O286" s="525"/>
      <c r="P286" s="525"/>
      <c r="Q286" s="525"/>
      <c r="R286" s="525"/>
      <c r="S286" s="525"/>
      <c r="T286" s="525"/>
      <c r="U286" s="525"/>
      <c r="V286" s="525"/>
      <c r="W286" s="525"/>
      <c r="Y286" s="519"/>
      <c r="Z286" s="519"/>
    </row>
    <row r="287" spans="1:26" ht="15.75" hidden="1" customHeight="1">
      <c r="A287" s="570">
        <v>44786</v>
      </c>
      <c r="B287" s="529"/>
      <c r="C287" s="523" t="s">
        <v>263</v>
      </c>
      <c r="D287" s="524"/>
      <c r="E287" s="525"/>
      <c r="F287" s="525"/>
      <c r="G287" s="525"/>
      <c r="H287" s="525"/>
      <c r="I287" s="525"/>
      <c r="J287" s="528"/>
      <c r="K287" s="525">
        <v>35.58</v>
      </c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Y287" s="519"/>
      <c r="Z287" s="519"/>
    </row>
    <row r="288" spans="1:26" ht="15.75" hidden="1" customHeight="1">
      <c r="A288" s="570">
        <v>44788</v>
      </c>
      <c r="B288" s="526"/>
      <c r="C288" s="523" t="s">
        <v>168</v>
      </c>
      <c r="D288" s="524"/>
      <c r="E288" s="525"/>
      <c r="F288" s="525"/>
      <c r="G288" s="525"/>
      <c r="H288" s="525"/>
      <c r="I288" s="525"/>
      <c r="J288" s="525"/>
      <c r="K288" s="525"/>
      <c r="L288" s="525"/>
      <c r="M288" s="525"/>
      <c r="N288" s="525"/>
      <c r="O288" s="525"/>
      <c r="P288" s="525"/>
      <c r="Q288" s="525"/>
      <c r="R288" s="525"/>
      <c r="S288" s="525"/>
      <c r="T288" s="525">
        <v>1608.68</v>
      </c>
      <c r="U288" s="525"/>
      <c r="V288" s="525"/>
      <c r="W288" s="525"/>
      <c r="Y288" s="519"/>
      <c r="Z288" s="519"/>
    </row>
    <row r="289" spans="1:26" ht="15.75" hidden="1" customHeight="1">
      <c r="A289" s="570">
        <v>44789</v>
      </c>
      <c r="B289" s="526"/>
      <c r="C289" s="523" t="s">
        <v>260</v>
      </c>
      <c r="D289" s="524"/>
      <c r="E289" s="525">
        <v>201.18</v>
      </c>
      <c r="F289" s="525"/>
      <c r="G289" s="525"/>
      <c r="H289" s="525"/>
      <c r="I289" s="525"/>
      <c r="J289" s="525"/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Y289" s="519"/>
      <c r="Z289" s="519"/>
    </row>
    <row r="290" spans="1:26" ht="15.75" hidden="1" customHeight="1">
      <c r="A290" s="570">
        <v>44790</v>
      </c>
      <c r="B290" s="526"/>
      <c r="C290" s="523" t="s">
        <v>111</v>
      </c>
      <c r="D290" s="524"/>
      <c r="E290" s="525"/>
      <c r="F290" s="525"/>
      <c r="G290" s="525"/>
      <c r="H290" s="525"/>
      <c r="I290" s="525"/>
      <c r="J290" s="528"/>
      <c r="K290" s="525">
        <v>29.99</v>
      </c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Y290" s="519"/>
      <c r="Z290" s="519"/>
    </row>
    <row r="291" spans="1:26" ht="15.75" hidden="1" customHeight="1">
      <c r="A291" s="570">
        <v>44792</v>
      </c>
      <c r="B291" s="526"/>
      <c r="C291" s="523" t="s">
        <v>78</v>
      </c>
      <c r="D291" s="524"/>
      <c r="E291" s="525"/>
      <c r="F291" s="525"/>
      <c r="G291" s="525"/>
      <c r="H291" s="525"/>
      <c r="I291" s="525"/>
      <c r="J291" s="525">
        <v>35.99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Y291" s="519"/>
      <c r="Z291" s="519"/>
    </row>
    <row r="292" spans="1:26" ht="15.75" hidden="1" customHeight="1">
      <c r="A292" s="570">
        <v>44795</v>
      </c>
      <c r="B292" s="526"/>
      <c r="C292" s="523" t="s">
        <v>64</v>
      </c>
      <c r="D292" s="524"/>
      <c r="E292" s="525"/>
      <c r="F292" s="525"/>
      <c r="G292" s="525"/>
      <c r="H292" s="525"/>
      <c r="I292" s="525"/>
      <c r="J292" s="525"/>
      <c r="K292" s="525"/>
      <c r="L292" s="525"/>
      <c r="M292" s="525"/>
      <c r="N292" s="525"/>
      <c r="O292" s="525"/>
      <c r="P292" s="525"/>
      <c r="Q292" s="525"/>
      <c r="R292" s="525"/>
      <c r="S292" s="525"/>
      <c r="T292" s="525">
        <v>500</v>
      </c>
      <c r="U292" s="525"/>
      <c r="V292" s="525"/>
      <c r="W292" s="525"/>
      <c r="Y292" s="519"/>
      <c r="Z292" s="519"/>
    </row>
    <row r="293" spans="1:26" ht="15.75" hidden="1" customHeight="1">
      <c r="A293" s="570">
        <v>44804</v>
      </c>
      <c r="B293" s="526"/>
      <c r="C293" s="523" t="s">
        <v>260</v>
      </c>
      <c r="D293" s="524"/>
      <c r="E293" s="525">
        <v>580.05999999999995</v>
      </c>
      <c r="F293" s="525"/>
      <c r="G293" s="525"/>
      <c r="H293" s="525"/>
      <c r="I293" s="525"/>
      <c r="J293" s="525"/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Y293" s="519"/>
      <c r="Z293" s="519"/>
    </row>
    <row r="294" spans="1:26" ht="15.75" hidden="1" customHeight="1">
      <c r="A294" s="587"/>
      <c r="B294" s="587"/>
      <c r="C294" s="588"/>
      <c r="D294" s="589"/>
      <c r="E294" s="590"/>
      <c r="F294" s="590"/>
      <c r="G294" s="590"/>
      <c r="H294" s="590"/>
      <c r="I294" s="590"/>
      <c r="J294" s="590"/>
      <c r="K294" s="590"/>
      <c r="L294" s="590"/>
      <c r="M294" s="590"/>
      <c r="N294" s="590"/>
      <c r="O294" s="590"/>
      <c r="P294" s="590"/>
      <c r="Q294" s="590"/>
      <c r="R294" s="590"/>
      <c r="S294" s="590"/>
      <c r="T294" s="590"/>
      <c r="U294" s="590"/>
      <c r="V294" s="590"/>
      <c r="W294" s="590"/>
      <c r="Y294" s="519"/>
      <c r="Z294" s="519"/>
    </row>
    <row r="295" spans="1:26" ht="15.75" hidden="1" customHeight="1">
      <c r="A295" s="570">
        <v>44774</v>
      </c>
      <c r="B295" s="560"/>
      <c r="C295" s="552" t="s">
        <v>264</v>
      </c>
      <c r="D295" s="524"/>
      <c r="E295" s="525"/>
      <c r="F295" s="525"/>
      <c r="G295" s="525"/>
      <c r="H295" s="525"/>
      <c r="I295" s="525">
        <v>17.489999999999998</v>
      </c>
      <c r="J295" s="525"/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Y295" s="519"/>
      <c r="Z295" s="519"/>
    </row>
    <row r="296" spans="1:26" ht="15.75" hidden="1" customHeight="1">
      <c r="A296" s="570">
        <v>44778</v>
      </c>
      <c r="B296" s="560"/>
      <c r="C296" s="552" t="s">
        <v>174</v>
      </c>
      <c r="D296" s="524"/>
      <c r="E296" s="525"/>
      <c r="F296" s="525"/>
      <c r="G296" s="525"/>
      <c r="H296" s="525"/>
      <c r="I296" s="525"/>
      <c r="J296" s="525"/>
      <c r="K296" s="525">
        <v>11.97</v>
      </c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Y296" s="519"/>
      <c r="Z296" s="519"/>
    </row>
    <row r="297" spans="1:26" ht="15.75" hidden="1" customHeight="1">
      <c r="A297" s="570">
        <v>44781</v>
      </c>
      <c r="B297" s="560"/>
      <c r="C297" s="552" t="s">
        <v>265</v>
      </c>
      <c r="D297" s="524"/>
      <c r="E297" s="525"/>
      <c r="F297" s="525"/>
      <c r="G297" s="525"/>
      <c r="H297" s="525"/>
      <c r="I297" s="525"/>
      <c r="J297" s="525"/>
      <c r="K297" s="525"/>
      <c r="L297" s="525"/>
      <c r="M297" s="525"/>
      <c r="N297" s="525"/>
      <c r="O297" s="525">
        <v>468.08</v>
      </c>
      <c r="P297" s="525"/>
      <c r="Q297" s="525"/>
      <c r="R297" s="525"/>
      <c r="S297" s="525"/>
      <c r="T297" s="525"/>
      <c r="U297" s="525"/>
      <c r="V297" s="525"/>
      <c r="W297" s="525"/>
      <c r="Y297" s="519"/>
      <c r="Z297" s="519"/>
    </row>
    <row r="298" spans="1:26" ht="15.75" hidden="1" customHeight="1">
      <c r="A298" s="570">
        <v>44781</v>
      </c>
      <c r="B298" s="560"/>
      <c r="C298" s="552" t="s">
        <v>174</v>
      </c>
      <c r="D298" s="524"/>
      <c r="E298" s="525"/>
      <c r="F298" s="525"/>
      <c r="G298" s="525"/>
      <c r="H298" s="525"/>
      <c r="I298" s="525"/>
      <c r="J298" s="525"/>
      <c r="K298" s="525">
        <v>11.89</v>
      </c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Y298" s="519"/>
      <c r="Z298" s="519"/>
    </row>
    <row r="299" spans="1:26" ht="15.75" hidden="1" customHeight="1">
      <c r="A299" s="570">
        <v>44781</v>
      </c>
      <c r="B299" s="560"/>
      <c r="C299" s="552" t="s">
        <v>174</v>
      </c>
      <c r="D299" s="524"/>
      <c r="E299" s="525"/>
      <c r="F299" s="525"/>
      <c r="G299" s="525"/>
      <c r="H299" s="525"/>
      <c r="I299" s="525"/>
      <c r="J299" s="525"/>
      <c r="K299" s="525">
        <v>11.89</v>
      </c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Y299" s="519"/>
      <c r="Z299" s="519"/>
    </row>
    <row r="300" spans="1:26" ht="15.75" hidden="1" customHeight="1">
      <c r="A300" s="570">
        <v>44781</v>
      </c>
      <c r="B300" s="560"/>
      <c r="C300" s="552" t="s">
        <v>174</v>
      </c>
      <c r="D300" s="524"/>
      <c r="E300" s="525"/>
      <c r="F300" s="525"/>
      <c r="G300" s="525"/>
      <c r="H300" s="525"/>
      <c r="I300" s="525"/>
      <c r="J300" s="525"/>
      <c r="K300" s="525">
        <v>11.89</v>
      </c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Y300" s="519"/>
      <c r="Z300" s="519"/>
    </row>
    <row r="301" spans="1:26" ht="15.75" hidden="1" customHeight="1">
      <c r="A301" s="570">
        <v>44781</v>
      </c>
      <c r="B301" s="560"/>
      <c r="C301" s="552" t="s">
        <v>266</v>
      </c>
      <c r="D301" s="524"/>
      <c r="E301" s="525"/>
      <c r="F301" s="525"/>
      <c r="G301" s="525"/>
      <c r="H301" s="525"/>
      <c r="I301" s="525"/>
      <c r="J301" s="525"/>
      <c r="K301" s="525"/>
      <c r="L301" s="525"/>
      <c r="M301" s="525"/>
      <c r="N301" s="525"/>
      <c r="O301" s="525"/>
      <c r="P301" s="525"/>
      <c r="Q301" s="525"/>
      <c r="R301" s="525"/>
      <c r="S301" s="525"/>
      <c r="T301" s="525">
        <v>107.49</v>
      </c>
      <c r="U301" s="525"/>
      <c r="V301" s="525"/>
      <c r="W301" s="525"/>
      <c r="Y301" s="519"/>
      <c r="Z301" s="519"/>
    </row>
    <row r="302" spans="1:26" ht="15.75" hidden="1" customHeight="1">
      <c r="A302" s="570">
        <v>44781</v>
      </c>
      <c r="B302" s="560" t="s">
        <v>267</v>
      </c>
      <c r="C302" s="552" t="s">
        <v>268</v>
      </c>
      <c r="D302" s="524">
        <v>5241.5</v>
      </c>
      <c r="E302" s="525"/>
      <c r="F302" s="525"/>
      <c r="G302" s="525"/>
      <c r="H302" s="525"/>
      <c r="I302" s="525"/>
      <c r="J302" s="525"/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Y302" s="519"/>
      <c r="Z302" s="519"/>
    </row>
    <row r="303" spans="1:26" ht="15.75" hidden="1" customHeight="1">
      <c r="A303" s="570">
        <v>44784</v>
      </c>
      <c r="B303" s="560"/>
      <c r="C303" s="552" t="s">
        <v>174</v>
      </c>
      <c r="D303" s="524"/>
      <c r="E303" s="525"/>
      <c r="F303" s="525"/>
      <c r="G303" s="525"/>
      <c r="H303" s="525"/>
      <c r="I303" s="525"/>
      <c r="J303" s="525"/>
      <c r="K303" s="525">
        <v>11.85</v>
      </c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Y303" s="519"/>
      <c r="Z303" s="519"/>
    </row>
    <row r="304" spans="1:26" ht="15.75" hidden="1" customHeight="1">
      <c r="A304" s="570">
        <v>44784</v>
      </c>
      <c r="B304" s="560"/>
      <c r="C304" s="552" t="s">
        <v>174</v>
      </c>
      <c r="D304" s="524"/>
      <c r="E304" s="525"/>
      <c r="F304" s="525"/>
      <c r="G304" s="525"/>
      <c r="H304" s="525"/>
      <c r="I304" s="525"/>
      <c r="J304" s="525"/>
      <c r="K304" s="525">
        <v>11.85</v>
      </c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Y304" s="519"/>
      <c r="Z304" s="519"/>
    </row>
    <row r="305" spans="1:26" ht="15.75" hidden="1" customHeight="1">
      <c r="A305" s="570">
        <v>44784</v>
      </c>
      <c r="B305" s="560"/>
      <c r="C305" s="552" t="s">
        <v>174</v>
      </c>
      <c r="D305" s="524"/>
      <c r="E305" s="525"/>
      <c r="F305" s="525"/>
      <c r="G305" s="525"/>
      <c r="H305" s="525"/>
      <c r="I305" s="525"/>
      <c r="J305" s="525"/>
      <c r="K305" s="525">
        <v>11.85</v>
      </c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Y305" s="519"/>
      <c r="Z305" s="519"/>
    </row>
    <row r="306" spans="1:26" ht="15.75" hidden="1" customHeight="1">
      <c r="A306" s="570">
        <v>44788</v>
      </c>
      <c r="B306" s="560"/>
      <c r="C306" s="552" t="s">
        <v>174</v>
      </c>
      <c r="D306" s="524"/>
      <c r="E306" s="525"/>
      <c r="F306" s="525"/>
      <c r="G306" s="525"/>
      <c r="H306" s="525"/>
      <c r="I306" s="525"/>
      <c r="J306" s="525"/>
      <c r="K306" s="525">
        <v>11.84</v>
      </c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Y306" s="519"/>
      <c r="Z306" s="519"/>
    </row>
    <row r="307" spans="1:26" ht="15.75" hidden="1" customHeight="1">
      <c r="A307" s="570">
        <v>44788</v>
      </c>
      <c r="B307" s="560"/>
      <c r="C307" s="552" t="s">
        <v>174</v>
      </c>
      <c r="D307" s="524"/>
      <c r="E307" s="525"/>
      <c r="F307" s="525"/>
      <c r="G307" s="525"/>
      <c r="H307" s="525"/>
      <c r="I307" s="525"/>
      <c r="J307" s="525"/>
      <c r="K307" s="525">
        <v>11.84</v>
      </c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Y307" s="519"/>
      <c r="Z307" s="519"/>
    </row>
    <row r="308" spans="1:26" ht="15.75" hidden="1" customHeight="1">
      <c r="A308" s="570">
        <v>44788</v>
      </c>
      <c r="B308" s="591"/>
      <c r="C308" s="552" t="s">
        <v>269</v>
      </c>
      <c r="D308" s="524"/>
      <c r="E308" s="525"/>
      <c r="F308" s="525"/>
      <c r="G308" s="525"/>
      <c r="H308" s="525"/>
      <c r="I308" s="525"/>
      <c r="J308" s="525"/>
      <c r="K308" s="525"/>
      <c r="L308" s="525"/>
      <c r="M308" s="525"/>
      <c r="N308" s="525"/>
      <c r="O308" s="525">
        <v>140.83000000000001</v>
      </c>
      <c r="P308" s="525"/>
      <c r="Q308" s="525"/>
      <c r="R308" s="525"/>
      <c r="S308" s="525"/>
      <c r="T308" s="525"/>
      <c r="U308" s="525"/>
      <c r="V308" s="525"/>
      <c r="W308" s="525"/>
      <c r="Y308" s="519"/>
      <c r="Z308" s="519"/>
    </row>
    <row r="309" spans="1:26" ht="15.75" hidden="1" customHeight="1">
      <c r="A309" s="570">
        <v>44789</v>
      </c>
      <c r="B309" s="560"/>
      <c r="C309" s="552" t="s">
        <v>270</v>
      </c>
      <c r="D309" s="524"/>
      <c r="E309" s="525"/>
      <c r="F309" s="525"/>
      <c r="G309" s="525"/>
      <c r="H309" s="525"/>
      <c r="I309" s="525"/>
      <c r="J309" s="525"/>
      <c r="K309" s="525"/>
      <c r="L309" s="525"/>
      <c r="M309" s="525"/>
      <c r="N309" s="525"/>
      <c r="O309" s="525"/>
      <c r="P309" s="525"/>
      <c r="Q309" s="525"/>
      <c r="R309" s="525"/>
      <c r="S309" s="525"/>
      <c r="T309" s="525">
        <v>20.04</v>
      </c>
      <c r="U309" s="525"/>
      <c r="V309" s="525"/>
      <c r="W309" s="525"/>
      <c r="Y309" s="519"/>
      <c r="Z309" s="519"/>
    </row>
    <row r="310" spans="1:26" ht="15.75" hidden="1" customHeight="1">
      <c r="A310" s="570">
        <v>44790</v>
      </c>
      <c r="B310" s="560"/>
      <c r="C310" s="552" t="s">
        <v>174</v>
      </c>
      <c r="D310" s="524"/>
      <c r="E310" s="525"/>
      <c r="F310" s="525"/>
      <c r="G310" s="525"/>
      <c r="H310" s="525"/>
      <c r="I310" s="525"/>
      <c r="J310" s="525"/>
      <c r="K310" s="525">
        <v>11.9</v>
      </c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Y310" s="519"/>
      <c r="Z310" s="519"/>
    </row>
    <row r="311" spans="1:26" ht="15.75" hidden="1" customHeight="1">
      <c r="A311" s="570">
        <v>44792</v>
      </c>
      <c r="B311" s="528"/>
      <c r="C311" s="552" t="s">
        <v>271</v>
      </c>
      <c r="D311" s="535"/>
      <c r="E311" s="528"/>
      <c r="F311" s="525"/>
      <c r="G311" s="525"/>
      <c r="H311" s="525"/>
      <c r="I311" s="525"/>
      <c r="J311" s="525"/>
      <c r="K311" s="525"/>
      <c r="L311" s="525"/>
      <c r="M311" s="525"/>
      <c r="N311" s="525"/>
      <c r="O311" s="525"/>
      <c r="P311" s="525"/>
      <c r="Q311" s="592">
        <v>29.99</v>
      </c>
      <c r="R311" s="525"/>
      <c r="S311" s="525"/>
      <c r="T311" s="525"/>
      <c r="U311" s="525"/>
      <c r="V311" s="525"/>
      <c r="W311" s="525"/>
      <c r="Y311" s="519"/>
      <c r="Z311" s="519"/>
    </row>
    <row r="312" spans="1:26" ht="15.75" hidden="1" customHeight="1">
      <c r="A312" s="570">
        <v>44796</v>
      </c>
      <c r="B312" s="528"/>
      <c r="C312" s="552" t="s">
        <v>272</v>
      </c>
      <c r="D312" s="535"/>
      <c r="E312" s="528"/>
      <c r="F312" s="525"/>
      <c r="G312" s="525"/>
      <c r="H312" s="525"/>
      <c r="I312" s="525"/>
      <c r="J312" s="525"/>
      <c r="K312" s="525"/>
      <c r="L312" s="525"/>
      <c r="M312" s="525">
        <v>27.89</v>
      </c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Y312" s="519"/>
      <c r="Z312" s="519"/>
    </row>
    <row r="313" spans="1:26" ht="15.75" hidden="1" customHeight="1">
      <c r="A313" s="570">
        <v>44796</v>
      </c>
      <c r="B313" s="528"/>
      <c r="C313" s="552" t="s">
        <v>273</v>
      </c>
      <c r="D313" s="524"/>
      <c r="E313" s="525">
        <v>18</v>
      </c>
      <c r="F313" s="525"/>
      <c r="G313" s="525"/>
      <c r="H313" s="525"/>
      <c r="I313" s="525"/>
      <c r="J313" s="525"/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Y313" s="519"/>
      <c r="Z313" s="519"/>
    </row>
    <row r="314" spans="1:26" ht="15.75" hidden="1" customHeight="1">
      <c r="A314" s="570">
        <v>44798</v>
      </c>
      <c r="B314" s="528"/>
      <c r="C314" s="552" t="s">
        <v>274</v>
      </c>
      <c r="D314" s="535"/>
      <c r="E314" s="528"/>
      <c r="F314" s="525"/>
      <c r="G314" s="525"/>
      <c r="H314" s="525"/>
      <c r="I314" s="525"/>
      <c r="J314" s="525"/>
      <c r="K314" s="525"/>
      <c r="L314" s="525">
        <v>35.69</v>
      </c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Y314" s="519"/>
      <c r="Z314" s="519"/>
    </row>
    <row r="315" spans="1:26" ht="15.75" hidden="1" customHeight="1">
      <c r="A315" s="570">
        <v>44804</v>
      </c>
      <c r="B315" s="560"/>
      <c r="C315" s="552" t="s">
        <v>208</v>
      </c>
      <c r="D315" s="524"/>
      <c r="E315" s="525"/>
      <c r="F315" s="525"/>
      <c r="G315" s="525"/>
      <c r="H315" s="525"/>
      <c r="I315" s="525"/>
      <c r="J315" s="525"/>
      <c r="K315" s="525"/>
      <c r="L315" s="525"/>
      <c r="M315" s="525"/>
      <c r="N315" s="525"/>
      <c r="O315" s="525"/>
      <c r="P315" s="525"/>
      <c r="Q315" s="525"/>
      <c r="R315" s="525"/>
      <c r="S315" s="525">
        <v>20.29</v>
      </c>
      <c r="T315" s="525"/>
      <c r="U315" s="525"/>
      <c r="V315" s="525"/>
      <c r="W315" s="525"/>
      <c r="Y315" s="519"/>
      <c r="Z315" s="519"/>
    </row>
    <row r="316" spans="1:26" ht="15.75" hidden="1" customHeight="1">
      <c r="A316" s="570">
        <v>44804</v>
      </c>
      <c r="B316" s="528"/>
      <c r="C316" s="552" t="s">
        <v>272</v>
      </c>
      <c r="D316" s="535"/>
      <c r="E316" s="528"/>
      <c r="F316" s="525"/>
      <c r="G316" s="525"/>
      <c r="H316" s="525"/>
      <c r="I316" s="525"/>
      <c r="J316" s="525"/>
      <c r="K316" s="525"/>
      <c r="L316" s="525"/>
      <c r="M316" s="525">
        <v>72.510000000000005</v>
      </c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Y316" s="519"/>
      <c r="Z316" s="519"/>
    </row>
    <row r="317" spans="1:26" ht="15.75" hidden="1" customHeight="1" thickBot="1">
      <c r="A317" s="570"/>
      <c r="B317" s="560"/>
      <c r="C317" s="552"/>
      <c r="D317" s="524"/>
      <c r="E317" s="525"/>
      <c r="F317" s="525"/>
      <c r="G317" s="525"/>
      <c r="H317" s="525"/>
      <c r="I317" s="525"/>
      <c r="J317" s="525"/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Y317" s="519"/>
      <c r="Z317" s="519"/>
    </row>
    <row r="318" spans="1:26" ht="15.75" hidden="1" customHeight="1" thickTop="1">
      <c r="A318" s="543"/>
      <c r="B318" s="554">
        <v>44805</v>
      </c>
      <c r="C318" s="575"/>
      <c r="D318" s="576"/>
      <c r="E318" s="545"/>
      <c r="F318" s="545"/>
      <c r="G318" s="545"/>
      <c r="H318" s="545"/>
      <c r="I318" s="545"/>
      <c r="J318" s="545"/>
      <c r="K318" s="545"/>
      <c r="L318" s="545"/>
      <c r="M318" s="545"/>
      <c r="N318" s="545"/>
      <c r="O318" s="545"/>
      <c r="P318" s="545"/>
      <c r="Q318" s="545"/>
      <c r="R318" s="545"/>
      <c r="S318" s="545"/>
      <c r="T318" s="545"/>
      <c r="U318" s="545"/>
      <c r="V318" s="545"/>
      <c r="W318" s="545"/>
      <c r="Y318" s="519"/>
      <c r="Z318" s="519"/>
    </row>
    <row r="319" spans="1:26" ht="15.75" hidden="1" customHeight="1">
      <c r="A319" s="570">
        <v>44805</v>
      </c>
      <c r="B319" s="555"/>
      <c r="C319" s="556" t="s">
        <v>62</v>
      </c>
      <c r="D319" s="524"/>
      <c r="E319" s="525"/>
      <c r="F319" s="525"/>
      <c r="G319" s="525"/>
      <c r="H319" s="525"/>
      <c r="I319" s="525"/>
      <c r="J319" s="525"/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>
        <v>1036.55</v>
      </c>
      <c r="W319" s="525"/>
      <c r="Y319" s="519"/>
      <c r="Z319" s="519"/>
    </row>
    <row r="320" spans="1:26" ht="15.75" hidden="1" customHeight="1">
      <c r="A320" s="570">
        <v>44805</v>
      </c>
      <c r="B320" s="522" t="s">
        <v>275</v>
      </c>
      <c r="C320" s="523" t="s">
        <v>63</v>
      </c>
      <c r="D320" s="535"/>
      <c r="E320" s="528"/>
      <c r="F320" s="525"/>
      <c r="G320" s="525"/>
      <c r="H320" s="525"/>
      <c r="I320" s="525"/>
      <c r="J320" s="525"/>
      <c r="K320" s="528"/>
      <c r="L320" s="525"/>
      <c r="M320" s="525"/>
      <c r="N320" s="525"/>
      <c r="O320" s="525"/>
      <c r="P320" s="525"/>
      <c r="R320" s="525"/>
      <c r="S320" s="525"/>
      <c r="T320" s="525">
        <v>283.77</v>
      </c>
      <c r="U320" s="525"/>
      <c r="V320" s="525"/>
      <c r="W320" s="525"/>
      <c r="Y320" s="519"/>
      <c r="Z320" s="519"/>
    </row>
    <row r="321" spans="1:26" ht="15.75" hidden="1" customHeight="1">
      <c r="A321" s="570">
        <v>44805</v>
      </c>
      <c r="B321" s="522">
        <v>0.86934</v>
      </c>
      <c r="C321" s="523" t="s">
        <v>64</v>
      </c>
      <c r="D321" s="524"/>
      <c r="E321" s="525"/>
      <c r="F321" s="525"/>
      <c r="G321" s="525"/>
      <c r="H321" s="525"/>
      <c r="I321" s="525"/>
      <c r="J321" s="525"/>
      <c r="K321" s="525"/>
      <c r="L321" s="525"/>
      <c r="M321" s="525"/>
      <c r="N321" s="525"/>
      <c r="O321" s="525"/>
      <c r="P321" s="525"/>
      <c r="Q321" s="525"/>
      <c r="R321" s="525"/>
      <c r="S321" s="525"/>
      <c r="T321" s="525">
        <v>700</v>
      </c>
      <c r="U321" s="525"/>
      <c r="V321" s="525"/>
      <c r="W321" s="525"/>
      <c r="Y321" s="519"/>
      <c r="Z321" s="519"/>
    </row>
    <row r="322" spans="1:26" ht="15.75" hidden="1" customHeight="1">
      <c r="A322" s="570">
        <v>44806</v>
      </c>
      <c r="B322" s="546"/>
      <c r="C322" s="527" t="s">
        <v>167</v>
      </c>
      <c r="D322" s="524"/>
      <c r="E322" s="525"/>
      <c r="F322" s="525"/>
      <c r="G322" s="525"/>
      <c r="H322" s="525"/>
      <c r="I322" s="525"/>
      <c r="J322" s="525"/>
      <c r="K322" s="525"/>
      <c r="L322" s="525"/>
      <c r="M322" s="525"/>
      <c r="N322" s="525"/>
      <c r="O322" s="525"/>
      <c r="P322" s="525"/>
      <c r="Q322" s="525"/>
      <c r="R322" s="525"/>
      <c r="S322" s="525">
        <v>9.16</v>
      </c>
      <c r="T322" s="525"/>
      <c r="U322" s="525"/>
      <c r="V322" s="525"/>
      <c r="W322" s="525"/>
      <c r="Y322" s="519"/>
      <c r="Z322" s="519"/>
    </row>
    <row r="323" spans="1:26" ht="15.75" hidden="1" customHeight="1">
      <c r="A323" s="570">
        <v>44806</v>
      </c>
      <c r="B323" s="526"/>
      <c r="C323" s="523" t="s">
        <v>276</v>
      </c>
      <c r="D323" s="524"/>
      <c r="E323" s="525"/>
      <c r="F323" s="525"/>
      <c r="G323" s="525"/>
      <c r="H323" s="525"/>
      <c r="I323" s="525"/>
      <c r="J323" s="525"/>
      <c r="K323" s="525"/>
      <c r="L323" s="525"/>
      <c r="M323" s="525"/>
      <c r="N323" s="525"/>
      <c r="O323" s="525"/>
      <c r="P323" s="525"/>
      <c r="Q323" s="525"/>
      <c r="R323" s="525"/>
      <c r="S323" s="525"/>
      <c r="T323" s="525">
        <v>80</v>
      </c>
      <c r="U323" s="525"/>
      <c r="V323" s="525"/>
      <c r="W323" s="525"/>
      <c r="Y323" s="519"/>
      <c r="Z323" s="519"/>
    </row>
    <row r="324" spans="1:26" ht="15.75" hidden="1" customHeight="1">
      <c r="A324" s="570">
        <v>44809</v>
      </c>
      <c r="B324" s="546"/>
      <c r="C324" s="523" t="s">
        <v>65</v>
      </c>
      <c r="D324" s="524"/>
      <c r="E324" s="525"/>
      <c r="F324" s="525"/>
      <c r="G324" s="525"/>
      <c r="H324" s="525"/>
      <c r="I324" s="525"/>
      <c r="J324" s="525"/>
      <c r="K324" s="525"/>
      <c r="L324" s="525"/>
      <c r="M324" s="525"/>
      <c r="N324" s="525"/>
      <c r="O324" s="525"/>
      <c r="P324" s="525"/>
      <c r="Q324" s="525"/>
      <c r="R324" s="525"/>
      <c r="S324" s="525"/>
      <c r="T324" s="525">
        <v>18</v>
      </c>
      <c r="U324" s="525"/>
      <c r="V324" s="525"/>
      <c r="W324" s="525"/>
      <c r="Y324" s="519"/>
      <c r="Z324" s="519"/>
    </row>
    <row r="325" spans="1:26" ht="15.75" hidden="1" customHeight="1">
      <c r="A325" s="570">
        <v>44813</v>
      </c>
      <c r="B325" s="526"/>
      <c r="C325" s="523" t="s">
        <v>167</v>
      </c>
      <c r="D325" s="524"/>
      <c r="E325" s="525"/>
      <c r="F325" s="525"/>
      <c r="G325" s="525"/>
      <c r="H325" s="525"/>
      <c r="I325" s="525"/>
      <c r="J325" s="525"/>
      <c r="K325" s="525"/>
      <c r="L325" s="525"/>
      <c r="M325" s="525"/>
      <c r="N325" s="525"/>
      <c r="O325" s="525"/>
      <c r="P325" s="525"/>
      <c r="Q325" s="525"/>
      <c r="R325" s="525"/>
      <c r="S325" s="525">
        <v>9.3000000000000007</v>
      </c>
      <c r="T325" s="525"/>
      <c r="U325" s="525"/>
      <c r="V325" s="525"/>
      <c r="W325" s="525"/>
      <c r="Y325" s="519"/>
      <c r="Z325" s="519"/>
    </row>
    <row r="326" spans="1:26" ht="15.75" hidden="1" customHeight="1">
      <c r="A326" s="570">
        <v>44819</v>
      </c>
      <c r="B326" s="526"/>
      <c r="C326" s="523" t="s">
        <v>168</v>
      </c>
      <c r="D326" s="524"/>
      <c r="E326" s="525"/>
      <c r="F326" s="525"/>
      <c r="G326" s="525"/>
      <c r="H326" s="525"/>
      <c r="I326" s="525"/>
      <c r="J326" s="525"/>
      <c r="K326" s="525"/>
      <c r="L326" s="525"/>
      <c r="M326" s="525"/>
      <c r="N326" s="525"/>
      <c r="O326" s="525"/>
      <c r="P326" s="525"/>
      <c r="Q326" s="525"/>
      <c r="R326" s="525"/>
      <c r="S326" s="525"/>
      <c r="T326" s="525">
        <v>1608.68</v>
      </c>
      <c r="U326" s="525"/>
      <c r="V326" s="525"/>
      <c r="W326" s="525"/>
      <c r="Y326" s="519"/>
      <c r="Z326" s="519"/>
    </row>
    <row r="327" spans="1:26" ht="15.75" hidden="1" customHeight="1">
      <c r="A327" s="570">
        <v>44820</v>
      </c>
      <c r="B327" s="546"/>
      <c r="C327" s="527" t="s">
        <v>277</v>
      </c>
      <c r="D327" s="524"/>
      <c r="E327" s="525"/>
      <c r="F327" s="525"/>
      <c r="G327" s="525"/>
      <c r="H327" s="525"/>
      <c r="I327" s="525"/>
      <c r="J327" s="525"/>
      <c r="K327" s="525"/>
      <c r="L327" s="525"/>
      <c r="M327" s="528"/>
      <c r="N327" s="525">
        <v>920</v>
      </c>
      <c r="O327" s="525"/>
      <c r="P327" s="525"/>
      <c r="Q327" s="525"/>
      <c r="R327" s="525"/>
      <c r="S327" s="525"/>
      <c r="T327" s="525"/>
      <c r="U327" s="525"/>
      <c r="V327" s="525"/>
      <c r="W327" s="525"/>
      <c r="Y327" s="519"/>
      <c r="Z327" s="519"/>
    </row>
    <row r="328" spans="1:26" ht="15.75" hidden="1" customHeight="1">
      <c r="A328" s="570">
        <v>44820</v>
      </c>
      <c r="B328" s="529"/>
      <c r="C328" s="523" t="s">
        <v>278</v>
      </c>
      <c r="D328" s="524"/>
      <c r="E328" s="525"/>
      <c r="F328" s="525"/>
      <c r="G328" s="525"/>
      <c r="H328" s="525"/>
      <c r="I328" s="525"/>
      <c r="J328" s="528"/>
      <c r="K328" s="525">
        <v>115.72</v>
      </c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Y328" s="519"/>
      <c r="Z328" s="519"/>
    </row>
    <row r="329" spans="1:26" ht="15.75" hidden="1" customHeight="1">
      <c r="A329" s="570">
        <v>44823</v>
      </c>
      <c r="B329" s="526"/>
      <c r="C329" s="523" t="s">
        <v>111</v>
      </c>
      <c r="D329" s="524"/>
      <c r="E329" s="525"/>
      <c r="F329" s="525"/>
      <c r="G329" s="525"/>
      <c r="H329" s="525"/>
      <c r="I329" s="525"/>
      <c r="J329" s="528"/>
      <c r="K329" s="525">
        <v>29.99</v>
      </c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Y329" s="519"/>
      <c r="Z329" s="519"/>
    </row>
    <row r="330" spans="1:26" ht="15.75" hidden="1" customHeight="1">
      <c r="A330" s="570">
        <v>44825</v>
      </c>
      <c r="B330" s="526"/>
      <c r="C330" s="523" t="s">
        <v>78</v>
      </c>
      <c r="D330" s="524"/>
      <c r="E330" s="525"/>
      <c r="F330" s="525"/>
      <c r="G330" s="525"/>
      <c r="H330" s="525"/>
      <c r="I330" s="525"/>
      <c r="J330" s="525">
        <v>20.98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Y330" s="519"/>
      <c r="Z330" s="519"/>
    </row>
    <row r="331" spans="1:26" ht="15.75" hidden="1" customHeight="1">
      <c r="A331" s="570">
        <v>44826</v>
      </c>
      <c r="B331" s="526"/>
      <c r="C331" s="523" t="s">
        <v>64</v>
      </c>
      <c r="D331" s="524"/>
      <c r="E331" s="525"/>
      <c r="F331" s="525"/>
      <c r="G331" s="525"/>
      <c r="H331" s="525"/>
      <c r="I331" s="525"/>
      <c r="J331" s="525"/>
      <c r="K331" s="525"/>
      <c r="L331" s="525"/>
      <c r="M331" s="525"/>
      <c r="N331" s="525"/>
      <c r="O331" s="525"/>
      <c r="P331" s="525"/>
      <c r="Q331" s="525"/>
      <c r="R331" s="525"/>
      <c r="S331" s="525"/>
      <c r="T331" s="525">
        <v>500</v>
      </c>
      <c r="U331" s="525"/>
      <c r="V331" s="525"/>
      <c r="W331" s="525"/>
      <c r="Y331" s="519"/>
      <c r="Z331" s="519"/>
    </row>
    <row r="332" spans="1:26" ht="15.75" hidden="1" customHeight="1">
      <c r="A332" s="570">
        <v>44834</v>
      </c>
      <c r="B332" s="529"/>
      <c r="C332" s="523" t="s">
        <v>279</v>
      </c>
      <c r="D332" s="524"/>
      <c r="E332" s="525">
        <v>580.05999999999995</v>
      </c>
      <c r="F332" s="525"/>
      <c r="G332" s="525"/>
      <c r="H332" s="525"/>
      <c r="I332" s="525"/>
      <c r="J332" s="525"/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Y332" s="519"/>
      <c r="Z332" s="519"/>
    </row>
    <row r="333" spans="1:26" ht="15.75" hidden="1" customHeight="1">
      <c r="A333" s="578"/>
      <c r="B333" s="578"/>
      <c r="C333" s="558"/>
      <c r="D333" s="579"/>
      <c r="E333" s="550"/>
      <c r="F333" s="550"/>
      <c r="G333" s="550"/>
      <c r="H333" s="550"/>
      <c r="I333" s="550"/>
      <c r="J333" s="550"/>
      <c r="K333" s="550"/>
      <c r="L333" s="550"/>
      <c r="M333" s="550"/>
      <c r="N333" s="550"/>
      <c r="O333" s="550"/>
      <c r="P333" s="550"/>
      <c r="Q333" s="550"/>
      <c r="R333" s="550"/>
      <c r="S333" s="550"/>
      <c r="T333" s="550"/>
      <c r="U333" s="550"/>
      <c r="V333" s="550"/>
      <c r="W333" s="550"/>
      <c r="Y333" s="519"/>
      <c r="Z333" s="519"/>
    </row>
    <row r="334" spans="1:26" ht="15.75" hidden="1" customHeight="1">
      <c r="A334" s="570">
        <v>44806</v>
      </c>
      <c r="B334" s="560" t="s">
        <v>280</v>
      </c>
      <c r="C334" s="552" t="s">
        <v>268</v>
      </c>
      <c r="D334" s="524">
        <v>5200</v>
      </c>
      <c r="E334" s="525"/>
      <c r="F334" s="525"/>
      <c r="G334" s="525"/>
      <c r="H334" s="525"/>
      <c r="I334" s="525"/>
      <c r="J334" s="525"/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Y334" s="519"/>
      <c r="Z334" s="519"/>
    </row>
    <row r="335" spans="1:26" ht="15.75" hidden="1" customHeight="1">
      <c r="A335" s="570">
        <v>44809</v>
      </c>
      <c r="B335" s="560"/>
      <c r="C335" s="552" t="s">
        <v>174</v>
      </c>
      <c r="D335" s="524"/>
      <c r="E335" s="525"/>
      <c r="F335" s="525"/>
      <c r="G335" s="525"/>
      <c r="H335" s="525"/>
      <c r="I335" s="525"/>
      <c r="J335" s="525"/>
      <c r="K335" s="525">
        <v>11.61</v>
      </c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Y335" s="519"/>
      <c r="Z335" s="519"/>
    </row>
    <row r="336" spans="1:26" ht="15.75" hidden="1" customHeight="1">
      <c r="A336" s="570">
        <v>44810</v>
      </c>
      <c r="B336" s="560"/>
      <c r="C336" s="552" t="s">
        <v>174</v>
      </c>
      <c r="D336" s="524"/>
      <c r="E336" s="525"/>
      <c r="F336" s="525"/>
      <c r="G336" s="525"/>
      <c r="H336" s="525"/>
      <c r="I336" s="525"/>
      <c r="J336" s="525"/>
      <c r="K336" s="525">
        <v>11.61</v>
      </c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Y336" s="519"/>
      <c r="Z336" s="519"/>
    </row>
    <row r="337" spans="1:26" ht="15.75" hidden="1" customHeight="1">
      <c r="A337" s="570">
        <v>44810</v>
      </c>
      <c r="B337" s="560"/>
      <c r="C337" s="552" t="s">
        <v>174</v>
      </c>
      <c r="D337" s="524"/>
      <c r="E337" s="525"/>
      <c r="F337" s="525"/>
      <c r="G337" s="525"/>
      <c r="H337" s="525"/>
      <c r="I337" s="525"/>
      <c r="J337" s="525"/>
      <c r="K337" s="525">
        <v>11.61</v>
      </c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Y337" s="519"/>
      <c r="Z337" s="519"/>
    </row>
    <row r="338" spans="1:26" ht="15.75" hidden="1" customHeight="1">
      <c r="A338" s="570">
        <v>44810</v>
      </c>
      <c r="B338" s="560"/>
      <c r="C338" s="552" t="s">
        <v>174</v>
      </c>
      <c r="D338" s="524"/>
      <c r="E338" s="525"/>
      <c r="F338" s="525"/>
      <c r="G338" s="525"/>
      <c r="H338" s="525"/>
      <c r="I338" s="525"/>
      <c r="J338" s="525"/>
      <c r="K338" s="525">
        <v>11.61</v>
      </c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Y338" s="519"/>
      <c r="Z338" s="519"/>
    </row>
    <row r="339" spans="1:26" ht="15.75" hidden="1" customHeight="1">
      <c r="A339" s="570">
        <v>44812</v>
      </c>
      <c r="B339" s="560"/>
      <c r="C339" s="552" t="s">
        <v>273</v>
      </c>
      <c r="D339" s="524"/>
      <c r="E339" s="525"/>
      <c r="F339" s="525">
        <v>2300</v>
      </c>
      <c r="G339" s="525"/>
      <c r="H339" s="525"/>
      <c r="I339" s="525"/>
      <c r="J339" s="525"/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Y339" s="519"/>
      <c r="Z339" s="519"/>
    </row>
    <row r="340" spans="1:26" ht="15.75" hidden="1" customHeight="1">
      <c r="A340" s="570">
        <v>44812</v>
      </c>
      <c r="B340" s="560"/>
      <c r="C340" s="552" t="s">
        <v>281</v>
      </c>
      <c r="D340" s="524"/>
      <c r="E340" s="525"/>
      <c r="F340" s="525">
        <v>2940</v>
      </c>
      <c r="G340" s="525"/>
      <c r="H340" s="525"/>
      <c r="I340" s="525"/>
      <c r="J340" s="525"/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Y340" s="519"/>
      <c r="Z340" s="519"/>
    </row>
    <row r="341" spans="1:26" ht="15.75" hidden="1" customHeight="1">
      <c r="A341" s="570">
        <v>44816</v>
      </c>
      <c r="B341" s="560"/>
      <c r="C341" s="552" t="s">
        <v>174</v>
      </c>
      <c r="D341" s="524"/>
      <c r="E341" s="525"/>
      <c r="F341" s="525"/>
      <c r="G341" s="525"/>
      <c r="H341" s="525"/>
      <c r="I341" s="525"/>
      <c r="J341" s="525"/>
      <c r="K341" s="525">
        <v>11.55</v>
      </c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Y341" s="519"/>
      <c r="Z341" s="519"/>
    </row>
    <row r="342" spans="1:26" ht="15.75" hidden="1" customHeight="1">
      <c r="A342" s="570">
        <v>44816</v>
      </c>
      <c r="B342" s="560"/>
      <c r="C342" s="552" t="s">
        <v>174</v>
      </c>
      <c r="D342" s="524"/>
      <c r="E342" s="525"/>
      <c r="F342" s="525"/>
      <c r="G342" s="525"/>
      <c r="H342" s="525"/>
      <c r="I342" s="525"/>
      <c r="J342" s="525"/>
      <c r="K342" s="525">
        <v>11.55</v>
      </c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Y342" s="519"/>
      <c r="Z342" s="519"/>
    </row>
    <row r="343" spans="1:26" ht="15.75" hidden="1" customHeight="1">
      <c r="A343" s="570">
        <v>44816</v>
      </c>
      <c r="B343" s="560"/>
      <c r="C343" s="552" t="s">
        <v>174</v>
      </c>
      <c r="D343" s="524"/>
      <c r="E343" s="525"/>
      <c r="F343" s="525"/>
      <c r="G343" s="525"/>
      <c r="H343" s="525"/>
      <c r="I343" s="525"/>
      <c r="J343" s="525"/>
      <c r="K343" s="525">
        <v>11.55</v>
      </c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Y343" s="519"/>
      <c r="Z343" s="519"/>
    </row>
    <row r="344" spans="1:26" ht="15.75" hidden="1" customHeight="1">
      <c r="A344" s="570">
        <v>44818</v>
      </c>
      <c r="B344" s="560"/>
      <c r="C344" s="552" t="s">
        <v>174</v>
      </c>
      <c r="D344" s="524"/>
      <c r="E344" s="525"/>
      <c r="F344" s="525"/>
      <c r="G344" s="525"/>
      <c r="H344" s="525"/>
      <c r="I344" s="525"/>
      <c r="J344" s="525"/>
      <c r="K344" s="525">
        <v>11.57</v>
      </c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Y344" s="519"/>
      <c r="Z344" s="519"/>
    </row>
    <row r="345" spans="1:26" ht="15.75" hidden="1" customHeight="1">
      <c r="A345" s="570">
        <v>44818</v>
      </c>
      <c r="B345" s="560"/>
      <c r="C345" s="552" t="s">
        <v>174</v>
      </c>
      <c r="D345" s="524"/>
      <c r="E345" s="525"/>
      <c r="F345" s="525"/>
      <c r="G345" s="525"/>
      <c r="H345" s="525"/>
      <c r="I345" s="525"/>
      <c r="J345" s="525"/>
      <c r="K345" s="525">
        <v>11.57</v>
      </c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Y345" s="519"/>
      <c r="Z345" s="519"/>
    </row>
    <row r="346" spans="1:26" ht="15.75" hidden="1" customHeight="1">
      <c r="A346" s="570">
        <v>44818</v>
      </c>
      <c r="B346" s="560"/>
      <c r="C346" s="552" t="s">
        <v>272</v>
      </c>
      <c r="D346" s="535"/>
      <c r="E346" s="528"/>
      <c r="F346" s="525"/>
      <c r="G346" s="525"/>
      <c r="H346" s="525"/>
      <c r="I346" s="525"/>
      <c r="J346" s="525"/>
      <c r="K346" s="525"/>
      <c r="L346" s="525"/>
      <c r="M346" s="593">
        <v>24.26</v>
      </c>
      <c r="N346" s="525"/>
      <c r="O346" s="525"/>
      <c r="P346" s="525"/>
      <c r="Q346" s="525"/>
      <c r="R346" s="525">
        <v>1082.78</v>
      </c>
      <c r="S346" s="525"/>
      <c r="T346" s="525"/>
      <c r="U346" s="525"/>
      <c r="V346" s="525"/>
      <c r="W346" s="525"/>
      <c r="Y346" s="519"/>
      <c r="Z346" s="519"/>
    </row>
    <row r="347" spans="1:26" ht="15.75" hidden="1" customHeight="1">
      <c r="A347" s="570">
        <v>44818</v>
      </c>
      <c r="B347" s="560"/>
      <c r="C347" s="552" t="s">
        <v>282</v>
      </c>
      <c r="D347" s="535"/>
      <c r="E347" s="528"/>
      <c r="F347" s="525"/>
      <c r="G347" s="525"/>
      <c r="H347" s="525"/>
      <c r="I347" s="525"/>
      <c r="J347" s="525"/>
      <c r="K347" s="525"/>
      <c r="L347" s="525"/>
      <c r="M347" s="593">
        <v>185.3</v>
      </c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Y347" s="519"/>
      <c r="Z347" s="519"/>
    </row>
    <row r="348" spans="1:26" ht="15.75" hidden="1" customHeight="1">
      <c r="A348" s="570">
        <v>44818</v>
      </c>
      <c r="B348" s="560"/>
      <c r="C348" s="552" t="s">
        <v>283</v>
      </c>
      <c r="D348" s="524"/>
      <c r="E348" s="525"/>
      <c r="F348" s="525"/>
      <c r="G348" s="525"/>
      <c r="H348" s="525"/>
      <c r="I348" s="525"/>
      <c r="J348" s="525"/>
      <c r="K348" s="525"/>
      <c r="L348" s="525"/>
      <c r="M348" s="525"/>
      <c r="N348" s="525"/>
      <c r="O348" s="525"/>
      <c r="P348" s="525"/>
      <c r="Q348" s="525"/>
      <c r="R348" s="525"/>
      <c r="S348" s="525">
        <v>4.1399999999999997</v>
      </c>
      <c r="T348" s="525"/>
      <c r="U348" s="525"/>
      <c r="V348" s="525"/>
      <c r="W348" s="525"/>
      <c r="Y348" s="519"/>
      <c r="Z348" s="519"/>
    </row>
    <row r="349" spans="1:26" ht="15.75" hidden="1" customHeight="1">
      <c r="A349" s="570">
        <v>44821</v>
      </c>
      <c r="B349" s="560"/>
      <c r="C349" s="552" t="s">
        <v>284</v>
      </c>
      <c r="D349" s="524"/>
      <c r="E349" s="525"/>
      <c r="F349" s="525"/>
      <c r="G349" s="525"/>
      <c r="H349" s="525">
        <v>7674.6</v>
      </c>
      <c r="I349" s="525"/>
      <c r="J349" s="525"/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Y349" s="519"/>
      <c r="Z349" s="519"/>
    </row>
    <row r="350" spans="1:26" ht="15.75" hidden="1" customHeight="1">
      <c r="A350" s="570">
        <v>44823</v>
      </c>
      <c r="B350" s="560"/>
      <c r="C350" s="552" t="s">
        <v>174</v>
      </c>
      <c r="D350" s="524"/>
      <c r="E350" s="525"/>
      <c r="F350" s="525"/>
      <c r="G350" s="525"/>
      <c r="H350" s="525"/>
      <c r="I350" s="525"/>
      <c r="J350" s="525"/>
      <c r="K350" s="525">
        <v>11.49</v>
      </c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Y350" s="519"/>
      <c r="Z350" s="519"/>
    </row>
    <row r="351" spans="1:26" ht="15.75" hidden="1" customHeight="1">
      <c r="A351" s="570">
        <v>44826</v>
      </c>
      <c r="B351" s="560"/>
      <c r="C351" s="552" t="s">
        <v>285</v>
      </c>
      <c r="D351" s="524"/>
      <c r="E351" s="525"/>
      <c r="F351" s="525"/>
      <c r="G351" s="525"/>
      <c r="H351" s="525"/>
      <c r="I351" s="525"/>
      <c r="J351" s="525"/>
      <c r="K351" s="525"/>
      <c r="L351" s="525"/>
      <c r="M351" s="525"/>
      <c r="N351" s="525"/>
      <c r="O351" s="525"/>
      <c r="P351" s="525"/>
      <c r="Q351" s="525"/>
      <c r="R351" s="525">
        <v>1082.78</v>
      </c>
      <c r="S351" s="525"/>
      <c r="T351" s="525"/>
      <c r="U351" s="525"/>
      <c r="V351" s="525"/>
      <c r="W351" s="525"/>
      <c r="Y351" s="519"/>
      <c r="Z351" s="519"/>
    </row>
    <row r="352" spans="1:26" ht="15.75" hidden="1" customHeight="1">
      <c r="A352" s="570">
        <v>44826</v>
      </c>
      <c r="B352" s="560"/>
      <c r="C352" s="552" t="s">
        <v>273</v>
      </c>
      <c r="D352" s="524"/>
      <c r="E352" s="525"/>
      <c r="F352" s="525">
        <v>10000</v>
      </c>
      <c r="G352" s="525"/>
      <c r="H352" s="525"/>
      <c r="I352" s="525"/>
      <c r="J352" s="525"/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Y352" s="519"/>
      <c r="Z352" s="519"/>
    </row>
    <row r="353" spans="1:26" ht="15.75" hidden="1" customHeight="1">
      <c r="A353" s="570">
        <v>44826</v>
      </c>
      <c r="B353" s="560"/>
      <c r="C353" s="552" t="s">
        <v>286</v>
      </c>
      <c r="D353" s="524"/>
      <c r="E353" s="525"/>
      <c r="F353" s="525"/>
      <c r="G353" s="525"/>
      <c r="H353" s="525"/>
      <c r="I353" s="525"/>
      <c r="J353" s="525"/>
      <c r="K353" s="525"/>
      <c r="L353" s="525"/>
      <c r="M353" s="525"/>
      <c r="N353" s="525"/>
      <c r="O353" s="525"/>
      <c r="P353" s="525"/>
      <c r="Q353" s="525"/>
      <c r="R353" s="525"/>
      <c r="S353" s="525">
        <v>4</v>
      </c>
      <c r="T353" s="525"/>
      <c r="U353" s="525"/>
      <c r="V353" s="525"/>
      <c r="W353" s="525"/>
      <c r="Y353" s="519"/>
      <c r="Z353" s="519"/>
    </row>
    <row r="354" spans="1:26" ht="15.75" hidden="1" customHeight="1">
      <c r="A354" s="570">
        <v>44827</v>
      </c>
      <c r="B354" s="560"/>
      <c r="C354" s="552" t="s">
        <v>287</v>
      </c>
      <c r="D354" s="524"/>
      <c r="E354" s="525">
        <v>1082.78</v>
      </c>
      <c r="F354" s="525"/>
      <c r="G354" s="525"/>
      <c r="H354" s="525"/>
      <c r="I354" s="525"/>
      <c r="J354" s="525"/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Y354" s="519"/>
      <c r="Z354" s="519"/>
    </row>
    <row r="355" spans="1:26" ht="15.75" hidden="1" customHeight="1">
      <c r="A355" s="570">
        <v>44827</v>
      </c>
      <c r="B355" s="560"/>
      <c r="C355" s="552" t="s">
        <v>288</v>
      </c>
      <c r="D355" s="524"/>
      <c r="E355" s="525"/>
      <c r="F355" s="525"/>
      <c r="G355" s="525"/>
      <c r="H355" s="525"/>
      <c r="I355" s="525"/>
      <c r="J355" s="525"/>
      <c r="K355" s="525"/>
      <c r="L355" s="525"/>
      <c r="M355" s="525">
        <v>9.3000000000000007</v>
      </c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Y355" s="519"/>
      <c r="Z355" s="519"/>
    </row>
    <row r="356" spans="1:26" ht="15.75" hidden="1" customHeight="1">
      <c r="A356" s="570">
        <v>44827</v>
      </c>
      <c r="B356" s="560"/>
      <c r="C356" s="552" t="s">
        <v>289</v>
      </c>
      <c r="D356" s="524"/>
      <c r="E356" s="525">
        <v>6.78</v>
      </c>
      <c r="F356" s="525"/>
      <c r="G356" s="525"/>
      <c r="H356" s="525"/>
      <c r="I356" s="525"/>
      <c r="J356" s="525"/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Y356" s="519"/>
      <c r="Z356" s="519"/>
    </row>
    <row r="357" spans="1:26" ht="15.75" hidden="1" customHeight="1">
      <c r="A357" s="570">
        <v>44834</v>
      </c>
      <c r="B357" s="560"/>
      <c r="C357" s="552" t="s">
        <v>208</v>
      </c>
      <c r="D357" s="524"/>
      <c r="E357" s="525"/>
      <c r="F357" s="525"/>
      <c r="G357" s="525"/>
      <c r="H357" s="525"/>
      <c r="I357" s="525"/>
      <c r="J357" s="525"/>
      <c r="K357" s="525"/>
      <c r="L357" s="525"/>
      <c r="M357" s="525"/>
      <c r="N357" s="525"/>
      <c r="O357" s="525"/>
      <c r="P357" s="525"/>
      <c r="Q357" s="525"/>
      <c r="R357" s="525"/>
      <c r="S357" s="525">
        <v>4.1399999999999997</v>
      </c>
      <c r="T357" s="525"/>
      <c r="U357" s="525"/>
      <c r="V357" s="525"/>
      <c r="W357" s="525"/>
      <c r="Y357" s="519"/>
      <c r="Z357" s="519"/>
    </row>
    <row r="358" spans="1:26" ht="15.75" hidden="1" customHeight="1">
      <c r="A358" s="570">
        <v>44834</v>
      </c>
      <c r="B358" s="560"/>
      <c r="C358" s="552" t="s">
        <v>112</v>
      </c>
      <c r="D358" s="524"/>
      <c r="E358" s="525"/>
      <c r="F358" s="525"/>
      <c r="G358" s="525"/>
      <c r="H358" s="525"/>
      <c r="I358" s="525"/>
      <c r="J358" s="525"/>
      <c r="K358" s="525"/>
      <c r="L358" s="525"/>
      <c r="M358" s="525"/>
      <c r="N358" s="525"/>
      <c r="O358" s="525"/>
      <c r="P358" s="525"/>
      <c r="Q358" s="525"/>
      <c r="R358" s="525"/>
      <c r="S358" s="525">
        <v>20.7</v>
      </c>
      <c r="T358" s="525"/>
      <c r="U358" s="525"/>
      <c r="V358" s="525"/>
      <c r="W358" s="525"/>
      <c r="Y358" s="519"/>
      <c r="Z358" s="519"/>
    </row>
    <row r="359" spans="1:26" ht="15.75" hidden="1" customHeight="1" thickBot="1">
      <c r="A359" s="574"/>
      <c r="B359" s="564"/>
      <c r="C359" s="565"/>
      <c r="D359" s="541"/>
      <c r="E359" s="542"/>
      <c r="F359" s="542"/>
      <c r="G359" s="542"/>
      <c r="H359" s="542"/>
      <c r="I359" s="542"/>
      <c r="J359" s="542"/>
      <c r="K359" s="542"/>
      <c r="L359" s="542"/>
      <c r="M359" s="542"/>
      <c r="N359" s="542"/>
      <c r="O359" s="542"/>
      <c r="P359" s="542"/>
      <c r="Q359" s="542"/>
      <c r="R359" s="542"/>
      <c r="S359" s="542"/>
      <c r="T359" s="542"/>
      <c r="U359" s="542"/>
      <c r="V359" s="542"/>
      <c r="W359" s="542"/>
      <c r="X359" s="594"/>
      <c r="Y359" s="595"/>
      <c r="Z359" s="595"/>
    </row>
    <row r="360" spans="1:26" ht="20.25" hidden="1" customHeight="1" thickTop="1">
      <c r="A360" s="543"/>
      <c r="B360" s="554">
        <v>44835</v>
      </c>
      <c r="C360" s="575"/>
      <c r="D360" s="576"/>
      <c r="E360" s="545"/>
      <c r="F360" s="545"/>
      <c r="G360" s="545"/>
      <c r="H360" s="545"/>
      <c r="I360" s="545"/>
      <c r="J360" s="545"/>
      <c r="K360" s="545"/>
      <c r="L360" s="545"/>
      <c r="M360" s="545"/>
      <c r="N360" s="545"/>
      <c r="O360" s="545"/>
      <c r="P360" s="545"/>
      <c r="Q360" s="545"/>
      <c r="R360" s="545"/>
      <c r="S360" s="545"/>
      <c r="T360" s="545"/>
      <c r="U360" s="545"/>
      <c r="V360" s="545"/>
      <c r="W360" s="545"/>
      <c r="Y360" s="519"/>
      <c r="Z360" s="519"/>
    </row>
    <row r="361" spans="1:26" ht="15.75" hidden="1" customHeight="1">
      <c r="A361" s="570">
        <v>44836</v>
      </c>
      <c r="B361" s="522" t="s">
        <v>290</v>
      </c>
      <c r="C361" s="527" t="s">
        <v>167</v>
      </c>
      <c r="D361" s="524"/>
      <c r="E361" s="525"/>
      <c r="F361" s="525"/>
      <c r="G361" s="525"/>
      <c r="H361" s="525"/>
      <c r="I361" s="525"/>
      <c r="J361" s="525"/>
      <c r="K361" s="525"/>
      <c r="L361" s="525"/>
      <c r="M361" s="525"/>
      <c r="N361" s="525"/>
      <c r="O361" s="525"/>
      <c r="P361" s="525"/>
      <c r="Q361" s="525"/>
      <c r="R361" s="525"/>
      <c r="S361" s="525">
        <v>9.16</v>
      </c>
      <c r="T361" s="525"/>
      <c r="U361" s="525"/>
      <c r="V361" s="525"/>
      <c r="W361" s="525"/>
      <c r="Y361" s="519"/>
      <c r="Z361" s="519"/>
    </row>
    <row r="362" spans="1:26" ht="15.75" hidden="1" customHeight="1">
      <c r="A362" s="570">
        <v>44837</v>
      </c>
      <c r="B362" s="567"/>
      <c r="C362" s="523" t="s">
        <v>62</v>
      </c>
      <c r="D362" s="524"/>
      <c r="E362" s="525"/>
      <c r="F362" s="525"/>
      <c r="G362" s="525"/>
      <c r="H362" s="525"/>
      <c r="I362" s="525"/>
      <c r="J362" s="525"/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>
        <v>1036.55</v>
      </c>
      <c r="W362" s="525"/>
      <c r="Y362" s="519"/>
      <c r="Z362" s="519"/>
    </row>
    <row r="363" spans="1:26" ht="15.75" hidden="1" customHeight="1">
      <c r="A363" s="570">
        <v>44837</v>
      </c>
      <c r="B363" s="522">
        <v>0.86250000000000004</v>
      </c>
      <c r="C363" s="523" t="s">
        <v>276</v>
      </c>
      <c r="D363" s="524"/>
      <c r="E363" s="525"/>
      <c r="F363" s="525"/>
      <c r="G363" s="525"/>
      <c r="H363" s="525"/>
      <c r="I363" s="525"/>
      <c r="J363" s="525"/>
      <c r="K363" s="525"/>
      <c r="L363" s="525"/>
      <c r="M363" s="525"/>
      <c r="N363" s="525"/>
      <c r="O363" s="525"/>
      <c r="P363" s="525"/>
      <c r="Q363" s="525"/>
      <c r="R363" s="525"/>
      <c r="S363" s="525"/>
      <c r="T363" s="525">
        <v>120</v>
      </c>
      <c r="U363" s="525"/>
      <c r="V363" s="525"/>
      <c r="W363" s="525"/>
      <c r="Y363" s="519"/>
      <c r="Z363" s="519"/>
    </row>
    <row r="364" spans="1:26" ht="15.75" hidden="1" customHeight="1">
      <c r="A364" s="570">
        <v>44837</v>
      </c>
      <c r="B364" s="546"/>
      <c r="C364" s="523" t="s">
        <v>65</v>
      </c>
      <c r="D364" s="524"/>
      <c r="E364" s="525"/>
      <c r="F364" s="525"/>
      <c r="G364" s="525"/>
      <c r="H364" s="525"/>
      <c r="I364" s="525"/>
      <c r="J364" s="525"/>
      <c r="K364" s="525"/>
      <c r="L364" s="525"/>
      <c r="M364" s="525"/>
      <c r="N364" s="525"/>
      <c r="O364" s="525"/>
      <c r="P364" s="525"/>
      <c r="Q364" s="525"/>
      <c r="R364" s="525"/>
      <c r="S364" s="525"/>
      <c r="T364" s="525">
        <v>18</v>
      </c>
      <c r="U364" s="525"/>
      <c r="V364" s="525"/>
      <c r="W364" s="525"/>
      <c r="Y364" s="519"/>
      <c r="Z364" s="519"/>
    </row>
    <row r="365" spans="1:26" ht="15.75" hidden="1" customHeight="1">
      <c r="A365" s="570">
        <v>44838</v>
      </c>
      <c r="B365" s="546"/>
      <c r="C365" s="523" t="s">
        <v>63</v>
      </c>
      <c r="D365" s="524"/>
      <c r="E365" s="525"/>
      <c r="F365" s="525"/>
      <c r="G365" s="525"/>
      <c r="H365" s="525"/>
      <c r="I365" s="525"/>
      <c r="J365" s="525"/>
      <c r="K365" s="525"/>
      <c r="L365" s="525"/>
      <c r="M365" s="525"/>
      <c r="N365" s="525"/>
      <c r="O365" s="525"/>
      <c r="P365" s="525"/>
      <c r="Q365" s="525"/>
      <c r="R365" s="525"/>
      <c r="S365" s="525"/>
      <c r="T365" s="525">
        <v>283.77</v>
      </c>
      <c r="U365" s="525"/>
      <c r="V365" s="525"/>
      <c r="W365" s="525"/>
      <c r="Y365" s="519"/>
      <c r="Z365" s="519"/>
    </row>
    <row r="366" spans="1:26" ht="15.75" hidden="1" customHeight="1">
      <c r="A366" s="570">
        <v>44838</v>
      </c>
      <c r="B366" s="526"/>
      <c r="C366" s="523" t="s">
        <v>64</v>
      </c>
      <c r="D366" s="524"/>
      <c r="E366" s="525"/>
      <c r="F366" s="525"/>
      <c r="G366" s="525"/>
      <c r="H366" s="525"/>
      <c r="I366" s="525"/>
      <c r="J366" s="525"/>
      <c r="K366" s="525"/>
      <c r="L366" s="525"/>
      <c r="M366" s="525"/>
      <c r="N366" s="525"/>
      <c r="O366" s="525"/>
      <c r="P366" s="525"/>
      <c r="Q366" s="525"/>
      <c r="R366" s="525"/>
      <c r="S366" s="525"/>
      <c r="T366" s="525">
        <v>700</v>
      </c>
      <c r="U366" s="525"/>
      <c r="V366" s="525"/>
      <c r="W366" s="525"/>
      <c r="Y366" s="519"/>
      <c r="Z366" s="519"/>
    </row>
    <row r="367" spans="1:26" ht="15.75" hidden="1" customHeight="1">
      <c r="A367" s="570">
        <v>44839</v>
      </c>
      <c r="B367" s="546" t="s">
        <v>291</v>
      </c>
      <c r="C367" s="527" t="s">
        <v>292</v>
      </c>
      <c r="D367" s="524"/>
      <c r="E367" s="525"/>
      <c r="F367" s="525"/>
      <c r="G367" s="525"/>
      <c r="H367" s="525"/>
      <c r="I367" s="525"/>
      <c r="J367" s="525"/>
      <c r="K367" s="525"/>
      <c r="L367" s="525"/>
      <c r="M367" s="528"/>
      <c r="N367" s="525">
        <v>920</v>
      </c>
      <c r="O367" s="525"/>
      <c r="P367" s="525"/>
      <c r="Q367" s="525"/>
      <c r="R367" s="525"/>
      <c r="S367" s="525"/>
      <c r="T367" s="525"/>
      <c r="U367" s="525"/>
      <c r="V367" s="525"/>
      <c r="W367" s="525"/>
      <c r="Y367" s="519"/>
      <c r="Z367" s="519"/>
    </row>
    <row r="368" spans="1:26" ht="15.75" hidden="1" customHeight="1">
      <c r="A368" s="570">
        <v>44850</v>
      </c>
      <c r="B368" s="529"/>
      <c r="C368" s="523" t="s">
        <v>293</v>
      </c>
      <c r="D368" s="524"/>
      <c r="E368" s="525"/>
      <c r="F368" s="525"/>
      <c r="G368" s="525"/>
      <c r="H368" s="525"/>
      <c r="I368" s="525"/>
      <c r="J368" s="528"/>
      <c r="K368" s="525">
        <v>70.48</v>
      </c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Y368" s="519"/>
      <c r="Z368" s="519"/>
    </row>
    <row r="369" spans="1:26" ht="15.75" hidden="1" customHeight="1">
      <c r="A369" s="570">
        <v>44851</v>
      </c>
      <c r="B369" s="526"/>
      <c r="C369" s="523" t="s">
        <v>168</v>
      </c>
      <c r="D369" s="524"/>
      <c r="E369" s="525"/>
      <c r="F369" s="525"/>
      <c r="G369" s="525"/>
      <c r="H369" s="525"/>
      <c r="I369" s="525"/>
      <c r="J369" s="525"/>
      <c r="K369" s="525"/>
      <c r="L369" s="525"/>
      <c r="M369" s="525"/>
      <c r="N369" s="525"/>
      <c r="O369" s="525"/>
      <c r="P369" s="525"/>
      <c r="Q369" s="525"/>
      <c r="R369" s="525"/>
      <c r="S369" s="525"/>
      <c r="T369" s="525">
        <v>1608.68</v>
      </c>
      <c r="U369" s="525"/>
      <c r="V369" s="525"/>
      <c r="W369" s="525"/>
      <c r="Y369" s="519"/>
      <c r="Z369" s="519"/>
    </row>
    <row r="370" spans="1:26" ht="15.75" hidden="1" customHeight="1">
      <c r="A370" s="570">
        <v>44851</v>
      </c>
      <c r="B370" s="529"/>
      <c r="C370" s="523" t="s">
        <v>294</v>
      </c>
      <c r="D370" s="524"/>
      <c r="E370" s="525"/>
      <c r="F370" s="525"/>
      <c r="G370" s="525"/>
      <c r="H370" s="525">
        <v>899.78</v>
      </c>
      <c r="I370" s="525"/>
      <c r="J370" s="525"/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Y370" s="519"/>
      <c r="Z370" s="519"/>
    </row>
    <row r="371" spans="1:26" ht="15.75" hidden="1" customHeight="1">
      <c r="A371" s="570">
        <v>44852</v>
      </c>
      <c r="B371" s="526"/>
      <c r="C371" s="523" t="s">
        <v>111</v>
      </c>
      <c r="D371" s="524"/>
      <c r="E371" s="525"/>
      <c r="F371" s="525"/>
      <c r="G371" s="525"/>
      <c r="H371" s="525"/>
      <c r="I371" s="525"/>
      <c r="J371" s="528"/>
      <c r="K371" s="525">
        <v>29.99</v>
      </c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Y371" s="519"/>
      <c r="Z371" s="519"/>
    </row>
    <row r="372" spans="1:26" ht="15.75" hidden="1" customHeight="1">
      <c r="A372" s="570">
        <v>44854</v>
      </c>
      <c r="B372" s="526"/>
      <c r="C372" s="523" t="s">
        <v>78</v>
      </c>
      <c r="D372" s="524"/>
      <c r="E372" s="525"/>
      <c r="F372" s="525"/>
      <c r="G372" s="525"/>
      <c r="H372" s="525"/>
      <c r="I372" s="525"/>
      <c r="J372" s="525">
        <v>51.68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Y372" s="519"/>
      <c r="Z372" s="519"/>
    </row>
    <row r="373" spans="1:26" ht="15.75" hidden="1" customHeight="1">
      <c r="A373" s="570">
        <v>44865</v>
      </c>
      <c r="B373" s="526"/>
      <c r="C373" s="523" t="s">
        <v>260</v>
      </c>
      <c r="D373" s="524"/>
      <c r="E373" s="525">
        <v>580.05999999999995</v>
      </c>
      <c r="F373" s="525"/>
      <c r="G373" s="525"/>
      <c r="H373" s="525"/>
      <c r="I373" s="525"/>
      <c r="J373" s="525"/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Y373" s="519"/>
      <c r="Z373" s="519"/>
    </row>
    <row r="374" spans="1:26" ht="12" hidden="1" customHeight="1">
      <c r="A374" s="578"/>
      <c r="B374" s="578"/>
      <c r="C374" s="558"/>
      <c r="D374" s="579"/>
      <c r="E374" s="550"/>
      <c r="F374" s="550"/>
      <c r="G374" s="550"/>
      <c r="H374" s="550"/>
      <c r="I374" s="550"/>
      <c r="J374" s="550"/>
      <c r="K374" s="550"/>
      <c r="L374" s="550"/>
      <c r="M374" s="550"/>
      <c r="N374" s="550"/>
      <c r="O374" s="550"/>
      <c r="P374" s="550"/>
      <c r="Q374" s="550"/>
      <c r="R374" s="550"/>
      <c r="S374" s="550"/>
      <c r="T374" s="550"/>
      <c r="U374" s="550"/>
      <c r="V374" s="550"/>
      <c r="W374" s="550"/>
      <c r="Y374" s="519"/>
      <c r="Z374" s="519"/>
    </row>
    <row r="375" spans="1:26" ht="15.75" hidden="1" customHeight="1">
      <c r="A375" s="570">
        <v>44838</v>
      </c>
      <c r="B375" s="560" t="s">
        <v>295</v>
      </c>
      <c r="C375" s="552" t="s">
        <v>91</v>
      </c>
      <c r="D375" s="524">
        <v>5200</v>
      </c>
      <c r="E375" s="525"/>
      <c r="F375" s="525"/>
      <c r="G375" s="525"/>
      <c r="H375" s="525"/>
      <c r="I375" s="525"/>
      <c r="J375" s="525"/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Y375" s="519"/>
      <c r="Z375" s="519"/>
    </row>
    <row r="376" spans="1:26" ht="15.75" hidden="1" customHeight="1">
      <c r="A376" s="570">
        <v>44839</v>
      </c>
      <c r="B376" s="560"/>
      <c r="C376" s="552" t="s">
        <v>174</v>
      </c>
      <c r="D376" s="524"/>
      <c r="E376" s="525"/>
      <c r="F376" s="525"/>
      <c r="G376" s="525"/>
      <c r="H376" s="525"/>
      <c r="I376" s="525"/>
      <c r="J376" s="525"/>
      <c r="K376" s="525">
        <v>11.56</v>
      </c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Y376" s="519"/>
      <c r="Z376" s="519"/>
    </row>
    <row r="377" spans="1:26" ht="15.75" hidden="1" customHeight="1">
      <c r="A377" s="570">
        <v>44840</v>
      </c>
      <c r="B377" s="560"/>
      <c r="C377" s="552" t="s">
        <v>174</v>
      </c>
      <c r="D377" s="524"/>
      <c r="E377" s="525"/>
      <c r="F377" s="525"/>
      <c r="G377" s="525"/>
      <c r="H377" s="525"/>
      <c r="I377" s="525"/>
      <c r="J377" s="525"/>
      <c r="K377" s="525">
        <v>11.51</v>
      </c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Y377" s="519"/>
      <c r="Z377" s="519"/>
    </row>
    <row r="378" spans="1:26" ht="15.75" hidden="1" customHeight="1">
      <c r="A378" s="570">
        <v>44840</v>
      </c>
      <c r="B378" s="560"/>
      <c r="C378" s="552" t="s">
        <v>174</v>
      </c>
      <c r="D378" s="524"/>
      <c r="E378" s="525"/>
      <c r="F378" s="525"/>
      <c r="G378" s="525"/>
      <c r="H378" s="525"/>
      <c r="I378" s="525"/>
      <c r="J378" s="525"/>
      <c r="K378" s="525">
        <v>11.51</v>
      </c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Y378" s="519"/>
      <c r="Z378" s="519"/>
    </row>
    <row r="379" spans="1:26" ht="15.75" hidden="1" customHeight="1">
      <c r="A379" s="570">
        <v>44840</v>
      </c>
      <c r="B379" s="560"/>
      <c r="C379" s="552" t="s">
        <v>174</v>
      </c>
      <c r="D379" s="524"/>
      <c r="E379" s="525"/>
      <c r="F379" s="525"/>
      <c r="G379" s="525"/>
      <c r="H379" s="525"/>
      <c r="I379" s="525"/>
      <c r="J379" s="525"/>
      <c r="K379" s="525">
        <v>11.51</v>
      </c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Y379" s="519"/>
      <c r="Z379" s="519"/>
    </row>
    <row r="380" spans="1:26" ht="15.75" hidden="1" customHeight="1">
      <c r="A380" s="570">
        <v>44841</v>
      </c>
      <c r="B380" s="560"/>
      <c r="C380" s="552" t="s">
        <v>296</v>
      </c>
      <c r="D380" s="524"/>
      <c r="E380" s="525">
        <v>1082.78</v>
      </c>
      <c r="F380" s="525"/>
      <c r="G380" s="525"/>
      <c r="H380" s="525"/>
      <c r="I380" s="525"/>
      <c r="J380" s="525"/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Y380" s="519"/>
      <c r="Z380" s="519"/>
    </row>
    <row r="381" spans="1:26" ht="15.75" hidden="1" customHeight="1">
      <c r="A381" s="570">
        <v>44845</v>
      </c>
      <c r="B381" s="560"/>
      <c r="C381" s="552" t="s">
        <v>174</v>
      </c>
      <c r="D381" s="524"/>
      <c r="E381" s="525"/>
      <c r="F381" s="525"/>
      <c r="G381" s="525"/>
      <c r="H381" s="525"/>
      <c r="I381" s="525"/>
      <c r="J381" s="525"/>
      <c r="K381" s="525">
        <v>11.44</v>
      </c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Y381" s="519"/>
      <c r="Z381" s="519"/>
    </row>
    <row r="382" spans="1:26" ht="15.75" hidden="1" customHeight="1">
      <c r="A382" s="570">
        <v>44845</v>
      </c>
      <c r="B382" s="560"/>
      <c r="C382" s="552" t="s">
        <v>174</v>
      </c>
      <c r="D382" s="524"/>
      <c r="E382" s="525"/>
      <c r="F382" s="525"/>
      <c r="G382" s="525"/>
      <c r="H382" s="525"/>
      <c r="I382" s="525"/>
      <c r="J382" s="525"/>
      <c r="K382" s="525">
        <v>11.44</v>
      </c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Y382" s="519"/>
      <c r="Z382" s="519"/>
    </row>
    <row r="383" spans="1:26" ht="15.75" hidden="1" customHeight="1">
      <c r="A383" s="570">
        <v>44845</v>
      </c>
      <c r="B383" s="560"/>
      <c r="C383" s="552" t="s">
        <v>174</v>
      </c>
      <c r="D383" s="524"/>
      <c r="E383" s="525"/>
      <c r="F383" s="525"/>
      <c r="G383" s="525"/>
      <c r="H383" s="525"/>
      <c r="I383" s="525"/>
      <c r="J383" s="525"/>
      <c r="K383" s="525">
        <v>11.44</v>
      </c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Y383" s="519"/>
      <c r="Z383" s="519"/>
    </row>
    <row r="384" spans="1:26" ht="15.75" hidden="1" customHeight="1">
      <c r="A384" s="570">
        <v>44846</v>
      </c>
      <c r="B384" s="560"/>
      <c r="C384" s="552" t="s">
        <v>297</v>
      </c>
      <c r="D384" s="524"/>
      <c r="E384" s="525"/>
      <c r="F384" s="525"/>
      <c r="G384" s="525"/>
      <c r="H384" s="525"/>
      <c r="I384" s="525"/>
      <c r="J384" s="525"/>
      <c r="K384" s="525"/>
      <c r="L384" s="525">
        <v>67.61</v>
      </c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Y384" s="519"/>
      <c r="Z384" s="519"/>
    </row>
    <row r="385" spans="1:26" ht="15.75" hidden="1" customHeight="1">
      <c r="A385" s="570">
        <v>44846</v>
      </c>
      <c r="B385" s="560"/>
      <c r="C385" s="552" t="s">
        <v>298</v>
      </c>
      <c r="D385" s="524"/>
      <c r="E385" s="525"/>
      <c r="F385" s="525"/>
      <c r="G385" s="525"/>
      <c r="H385" s="525"/>
      <c r="I385" s="525"/>
      <c r="J385" s="525"/>
      <c r="K385" s="525"/>
      <c r="L385" s="525"/>
      <c r="M385" s="525"/>
      <c r="N385" s="525"/>
      <c r="O385" s="525"/>
      <c r="P385" s="525"/>
      <c r="Q385" s="525"/>
      <c r="R385" s="525"/>
      <c r="S385" s="525"/>
      <c r="T385" s="525">
        <v>-500</v>
      </c>
      <c r="U385" s="525"/>
      <c r="V385" s="525"/>
      <c r="W385" s="525"/>
      <c r="Y385" s="519"/>
      <c r="Z385" s="519"/>
    </row>
    <row r="386" spans="1:26" ht="15.75" hidden="1" customHeight="1">
      <c r="A386" s="570">
        <v>44847</v>
      </c>
      <c r="B386" s="560" t="s">
        <v>299</v>
      </c>
      <c r="C386" s="552" t="s">
        <v>214</v>
      </c>
      <c r="D386" s="524">
        <v>185.84</v>
      </c>
      <c r="E386" s="525"/>
      <c r="F386" s="525"/>
      <c r="G386" s="525"/>
      <c r="H386" s="525"/>
      <c r="I386" s="525"/>
      <c r="J386" s="525"/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Y386" s="519"/>
      <c r="Z386" s="519"/>
    </row>
    <row r="387" spans="1:26" ht="15.75" hidden="1" customHeight="1">
      <c r="A387" s="570">
        <v>44848</v>
      </c>
      <c r="B387" s="560"/>
      <c r="C387" s="552" t="s">
        <v>174</v>
      </c>
      <c r="D387" s="524"/>
      <c r="E387" s="525"/>
      <c r="F387" s="525"/>
      <c r="G387" s="525"/>
      <c r="H387" s="525"/>
      <c r="I387" s="525"/>
      <c r="J387" s="525"/>
      <c r="K387" s="525">
        <v>11.61</v>
      </c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Y387" s="519"/>
      <c r="Z387" s="519"/>
    </row>
    <row r="388" spans="1:26" ht="15.75" hidden="1" customHeight="1">
      <c r="A388" s="570">
        <v>44848</v>
      </c>
      <c r="B388" s="560"/>
      <c r="C388" s="552" t="s">
        <v>174</v>
      </c>
      <c r="D388" s="524"/>
      <c r="E388" s="525"/>
      <c r="F388" s="525"/>
      <c r="G388" s="525"/>
      <c r="H388" s="525"/>
      <c r="I388" s="525"/>
      <c r="J388" s="525"/>
      <c r="K388" s="525">
        <v>11.61</v>
      </c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Y388" s="519"/>
      <c r="Z388" s="519"/>
    </row>
    <row r="389" spans="1:26" ht="15.75" hidden="1" customHeight="1">
      <c r="A389" s="570">
        <v>44851</v>
      </c>
      <c r="B389" s="560"/>
      <c r="C389" s="552" t="s">
        <v>174</v>
      </c>
      <c r="D389" s="524"/>
      <c r="E389" s="525"/>
      <c r="F389" s="525"/>
      <c r="G389" s="525"/>
      <c r="H389" s="525"/>
      <c r="I389" s="525"/>
      <c r="J389" s="525"/>
      <c r="K389" s="525">
        <v>11.62</v>
      </c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Y389" s="519"/>
      <c r="Z389" s="519"/>
    </row>
    <row r="390" spans="1:26" ht="15.75" hidden="1" customHeight="1">
      <c r="A390" s="570">
        <v>44853</v>
      </c>
      <c r="B390" s="560"/>
      <c r="C390" s="552" t="s">
        <v>300</v>
      </c>
      <c r="D390" s="524"/>
      <c r="E390" s="525"/>
      <c r="F390" s="525"/>
      <c r="G390" s="525"/>
      <c r="H390" s="525"/>
      <c r="I390" s="525"/>
      <c r="J390" s="525"/>
      <c r="K390" s="525"/>
      <c r="L390" s="525"/>
      <c r="M390" s="525"/>
      <c r="N390" s="525"/>
      <c r="O390" s="525"/>
      <c r="P390" s="525"/>
      <c r="Q390" s="525">
        <v>20.059999999999999</v>
      </c>
      <c r="R390" s="525"/>
      <c r="S390" s="525"/>
      <c r="T390" s="525"/>
      <c r="U390" s="525"/>
      <c r="V390" s="525"/>
      <c r="W390" s="525"/>
      <c r="Y390" s="519"/>
      <c r="Z390" s="519"/>
    </row>
    <row r="391" spans="1:26" ht="15.75" hidden="1" customHeight="1">
      <c r="A391" s="570">
        <v>44853</v>
      </c>
      <c r="B391" s="560"/>
      <c r="C391" s="552" t="s">
        <v>301</v>
      </c>
      <c r="D391" s="524"/>
      <c r="E391" s="525"/>
      <c r="F391" s="525"/>
      <c r="G391" s="525"/>
      <c r="H391" s="525"/>
      <c r="I391" s="525"/>
      <c r="J391" s="525"/>
      <c r="K391" s="525"/>
      <c r="L391" s="525"/>
      <c r="M391" s="525">
        <v>110.75</v>
      </c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Y391" s="519"/>
      <c r="Z391" s="519"/>
    </row>
    <row r="392" spans="1:26" ht="15.75" hidden="1" customHeight="1">
      <c r="A392" s="570">
        <v>44854</v>
      </c>
      <c r="B392" s="560"/>
      <c r="C392" s="552" t="s">
        <v>302</v>
      </c>
      <c r="D392" s="524"/>
      <c r="E392" s="525"/>
      <c r="F392" s="525">
        <v>-988.98</v>
      </c>
      <c r="G392" s="525"/>
      <c r="H392" s="525"/>
      <c r="I392" s="525"/>
      <c r="J392" s="525"/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Y392" s="519"/>
      <c r="Z392" s="519"/>
    </row>
    <row r="393" spans="1:26" ht="15.75" hidden="1" customHeight="1">
      <c r="A393" s="570">
        <v>44855</v>
      </c>
      <c r="B393" s="560"/>
      <c r="C393" s="552" t="s">
        <v>303</v>
      </c>
      <c r="D393" s="524"/>
      <c r="E393" s="525"/>
      <c r="F393" s="525"/>
      <c r="G393" s="525"/>
      <c r="H393" s="525"/>
      <c r="I393" s="525"/>
      <c r="J393" s="525"/>
      <c r="K393" s="525"/>
      <c r="L393" s="525"/>
      <c r="M393" s="525"/>
      <c r="N393" s="525"/>
      <c r="O393" s="525"/>
      <c r="P393" s="525"/>
      <c r="Q393" s="525">
        <v>58.8</v>
      </c>
      <c r="R393" s="525"/>
      <c r="S393" s="525"/>
      <c r="T393" s="525"/>
      <c r="U393" s="525"/>
      <c r="V393" s="525"/>
      <c r="W393" s="525"/>
      <c r="Y393" s="519"/>
      <c r="Z393" s="519"/>
    </row>
    <row r="394" spans="1:26" ht="15.75" hidden="1" customHeight="1">
      <c r="A394" s="570">
        <v>44858</v>
      </c>
      <c r="B394" s="560"/>
      <c r="C394" s="552" t="s">
        <v>304</v>
      </c>
      <c r="D394" s="524"/>
      <c r="E394" s="525"/>
      <c r="F394" s="525"/>
      <c r="G394" s="525"/>
      <c r="H394" s="525"/>
      <c r="I394" s="525"/>
      <c r="J394" s="525"/>
      <c r="K394" s="525"/>
      <c r="L394" s="525">
        <v>35.799999999999997</v>
      </c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Y394" s="519"/>
      <c r="Z394" s="519"/>
    </row>
    <row r="395" spans="1:26" ht="15.75" hidden="1" customHeight="1">
      <c r="A395" s="570">
        <v>44861</v>
      </c>
      <c r="B395" s="560"/>
      <c r="C395" s="552" t="s">
        <v>305</v>
      </c>
      <c r="D395" s="524"/>
      <c r="E395" s="525"/>
      <c r="F395" s="525"/>
      <c r="G395" s="525"/>
      <c r="H395" s="525"/>
      <c r="I395" s="525"/>
      <c r="J395" s="525"/>
      <c r="K395" s="525"/>
      <c r="L395" s="525"/>
      <c r="M395" s="525"/>
      <c r="N395" s="525"/>
      <c r="O395" s="525"/>
      <c r="P395" s="525"/>
      <c r="Q395" s="525"/>
      <c r="R395" s="525"/>
      <c r="S395" s="525"/>
      <c r="T395" s="525">
        <v>-385.36</v>
      </c>
      <c r="U395" s="525"/>
      <c r="V395" s="525"/>
      <c r="W395" s="525"/>
      <c r="Y395" s="519"/>
      <c r="Z395" s="519"/>
    </row>
    <row r="396" spans="1:26" ht="15.75" hidden="1" customHeight="1">
      <c r="A396" s="570">
        <v>44862</v>
      </c>
      <c r="B396" s="560"/>
      <c r="C396" s="552" t="s">
        <v>300</v>
      </c>
      <c r="D396" s="524"/>
      <c r="E396" s="525"/>
      <c r="F396" s="525"/>
      <c r="G396" s="525"/>
      <c r="H396" s="525"/>
      <c r="I396" s="525"/>
      <c r="J396" s="525"/>
      <c r="K396" s="525"/>
      <c r="L396" s="525"/>
      <c r="M396" s="525"/>
      <c r="N396" s="525"/>
      <c r="O396" s="525"/>
      <c r="P396" s="525"/>
      <c r="Q396" s="525">
        <v>20.059999999999999</v>
      </c>
      <c r="R396" s="525"/>
      <c r="S396" s="525"/>
      <c r="T396" s="525"/>
      <c r="U396" s="525"/>
      <c r="V396" s="525"/>
      <c r="W396" s="525"/>
      <c r="Y396" s="519"/>
      <c r="Z396" s="519"/>
    </row>
    <row r="397" spans="1:26" ht="15.75" hidden="1" customHeight="1">
      <c r="A397" s="570">
        <v>44864</v>
      </c>
      <c r="B397" s="560"/>
      <c r="C397" s="552" t="s">
        <v>208</v>
      </c>
      <c r="D397" s="524"/>
      <c r="E397" s="525"/>
      <c r="F397" s="525"/>
      <c r="G397" s="525"/>
      <c r="H397" s="525"/>
      <c r="I397" s="525"/>
      <c r="J397" s="525"/>
      <c r="K397" s="525"/>
      <c r="L397" s="525"/>
      <c r="M397" s="525"/>
      <c r="N397" s="525"/>
      <c r="O397" s="525"/>
      <c r="P397" s="525"/>
      <c r="Q397" s="525"/>
      <c r="R397" s="525"/>
      <c r="S397" s="525">
        <v>8.42</v>
      </c>
      <c r="T397" s="525"/>
      <c r="U397" s="525"/>
      <c r="V397" s="525"/>
      <c r="W397" s="525"/>
      <c r="Y397" s="519"/>
      <c r="Z397" s="519"/>
    </row>
    <row r="398" spans="1:26" ht="15.75" hidden="1" customHeight="1" thickBot="1">
      <c r="A398" s="574"/>
      <c r="B398" s="564"/>
      <c r="C398" s="565"/>
      <c r="D398" s="541"/>
      <c r="E398" s="542"/>
      <c r="F398" s="542"/>
      <c r="G398" s="542"/>
      <c r="H398" s="542"/>
      <c r="I398" s="542"/>
      <c r="J398" s="542"/>
      <c r="K398" s="542"/>
      <c r="L398" s="542"/>
      <c r="M398" s="542"/>
      <c r="N398" s="542"/>
      <c r="O398" s="542"/>
      <c r="P398" s="542"/>
      <c r="Q398" s="542"/>
      <c r="R398" s="542"/>
      <c r="S398" s="542"/>
      <c r="T398" s="542"/>
      <c r="U398" s="542"/>
      <c r="V398" s="542"/>
      <c r="W398" s="542"/>
      <c r="X398" s="594"/>
      <c r="Y398" s="595"/>
      <c r="Z398" s="595"/>
    </row>
    <row r="399" spans="1:26" ht="15.75" hidden="1" customHeight="1" thickTop="1">
      <c r="A399" s="543"/>
      <c r="B399" s="554">
        <v>44866</v>
      </c>
      <c r="C399" s="575"/>
      <c r="D399" s="576"/>
      <c r="E399" s="545"/>
      <c r="F399" s="545"/>
      <c r="G399" s="545"/>
      <c r="H399" s="545"/>
      <c r="I399" s="545"/>
      <c r="J399" s="545"/>
      <c r="K399" s="545"/>
      <c r="L399" s="545"/>
      <c r="M399" s="545"/>
      <c r="N399" s="545"/>
      <c r="O399" s="545"/>
      <c r="P399" s="545"/>
      <c r="Q399" s="545"/>
      <c r="R399" s="545"/>
      <c r="S399" s="545"/>
      <c r="T399" s="545"/>
      <c r="U399" s="545"/>
      <c r="V399" s="545"/>
      <c r="W399" s="545"/>
      <c r="Y399" s="519"/>
      <c r="Z399" s="519"/>
    </row>
    <row r="400" spans="1:26" ht="15.75" hidden="1" customHeight="1">
      <c r="A400" s="570">
        <v>44866</v>
      </c>
      <c r="B400" s="555"/>
      <c r="C400" s="556" t="s">
        <v>62</v>
      </c>
      <c r="D400" s="524"/>
      <c r="E400" s="525"/>
      <c r="F400" s="525"/>
      <c r="G400" s="525"/>
      <c r="H400" s="525"/>
      <c r="I400" s="525"/>
      <c r="J400" s="525"/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>
        <v>1036.55</v>
      </c>
      <c r="W400" s="525"/>
      <c r="Y400" s="519"/>
      <c r="Z400" s="519"/>
    </row>
    <row r="401" spans="1:26" ht="15.75" hidden="1" customHeight="1">
      <c r="A401" s="570">
        <v>44866</v>
      </c>
      <c r="B401" s="526"/>
      <c r="C401" s="523" t="s">
        <v>64</v>
      </c>
      <c r="D401" s="524"/>
      <c r="E401" s="525"/>
      <c r="F401" s="525"/>
      <c r="G401" s="525"/>
      <c r="H401" s="525"/>
      <c r="I401" s="525"/>
      <c r="J401" s="525"/>
      <c r="K401" s="525"/>
      <c r="L401" s="525"/>
      <c r="M401" s="525"/>
      <c r="N401" s="525"/>
      <c r="O401" s="525"/>
      <c r="P401" s="525"/>
      <c r="Q401" s="525"/>
      <c r="R401" s="525"/>
      <c r="S401" s="525"/>
      <c r="T401" s="525">
        <v>700</v>
      </c>
      <c r="U401" s="525"/>
      <c r="V401" s="525"/>
      <c r="W401" s="525"/>
      <c r="Y401" s="519"/>
      <c r="Z401" s="519"/>
    </row>
    <row r="402" spans="1:26" ht="15.75" hidden="1" customHeight="1">
      <c r="A402" s="570">
        <v>44867</v>
      </c>
      <c r="B402" s="522">
        <v>0.87063000000000001</v>
      </c>
      <c r="C402" s="523" t="s">
        <v>276</v>
      </c>
      <c r="D402" s="524"/>
      <c r="E402" s="525"/>
      <c r="F402" s="525"/>
      <c r="G402" s="525"/>
      <c r="H402" s="525"/>
      <c r="I402" s="525"/>
      <c r="J402" s="525"/>
      <c r="K402" s="525"/>
      <c r="L402" s="525"/>
      <c r="M402" s="525"/>
      <c r="N402" s="525"/>
      <c r="O402" s="525"/>
      <c r="P402" s="525"/>
      <c r="Q402" s="525"/>
      <c r="R402" s="525"/>
      <c r="S402" s="525"/>
      <c r="T402" s="525">
        <v>120</v>
      </c>
      <c r="U402" s="525"/>
      <c r="V402" s="525"/>
      <c r="W402" s="525"/>
      <c r="Y402" s="519"/>
      <c r="Z402" s="519"/>
    </row>
    <row r="403" spans="1:26" ht="15.75" hidden="1" customHeight="1">
      <c r="A403" s="570">
        <v>44867</v>
      </c>
      <c r="B403" s="546"/>
      <c r="C403" s="523" t="s">
        <v>63</v>
      </c>
      <c r="D403" s="524"/>
      <c r="E403" s="525"/>
      <c r="F403" s="525"/>
      <c r="G403" s="525"/>
      <c r="H403" s="525"/>
      <c r="I403" s="525"/>
      <c r="J403" s="525"/>
      <c r="K403" s="525"/>
      <c r="L403" s="525"/>
      <c r="M403" s="525"/>
      <c r="N403" s="525"/>
      <c r="O403" s="525"/>
      <c r="P403" s="525"/>
      <c r="Q403" s="525"/>
      <c r="R403" s="525"/>
      <c r="S403" s="525"/>
      <c r="T403" s="525">
        <v>283.77</v>
      </c>
      <c r="U403" s="525"/>
      <c r="V403" s="525"/>
      <c r="W403" s="525"/>
      <c r="Y403" s="519"/>
      <c r="Z403" s="519"/>
    </row>
    <row r="404" spans="1:26" ht="15.75" hidden="1" customHeight="1">
      <c r="A404" s="570">
        <v>44868</v>
      </c>
      <c r="B404" s="522" t="s">
        <v>306</v>
      </c>
      <c r="C404" s="527" t="s">
        <v>167</v>
      </c>
      <c r="D404" s="524"/>
      <c r="E404" s="525"/>
      <c r="F404" s="525"/>
      <c r="G404" s="525"/>
      <c r="H404" s="525"/>
      <c r="I404" s="525"/>
      <c r="J404" s="525"/>
      <c r="K404" s="525"/>
      <c r="L404" s="525"/>
      <c r="M404" s="525"/>
      <c r="N404" s="525"/>
      <c r="O404" s="525"/>
      <c r="P404" s="525"/>
      <c r="Q404" s="525"/>
      <c r="R404" s="525"/>
      <c r="S404" s="525">
        <v>9.16</v>
      </c>
      <c r="T404" s="525"/>
      <c r="U404" s="525"/>
      <c r="V404" s="525"/>
      <c r="W404" s="525"/>
      <c r="Y404" s="519"/>
      <c r="Z404" s="519"/>
    </row>
    <row r="405" spans="1:26" ht="15.75" hidden="1" customHeight="1">
      <c r="A405" s="570">
        <v>44868</v>
      </c>
      <c r="B405" s="546"/>
      <c r="C405" s="523" t="s">
        <v>65</v>
      </c>
      <c r="D405" s="524"/>
      <c r="E405" s="525"/>
      <c r="F405" s="525"/>
      <c r="G405" s="525"/>
      <c r="H405" s="525"/>
      <c r="I405" s="525"/>
      <c r="J405" s="525"/>
      <c r="K405" s="525"/>
      <c r="L405" s="525"/>
      <c r="M405" s="525"/>
      <c r="N405" s="525"/>
      <c r="O405" s="525"/>
      <c r="P405" s="525"/>
      <c r="Q405" s="525"/>
      <c r="R405" s="525"/>
      <c r="S405" s="525"/>
      <c r="T405" s="525">
        <v>18</v>
      </c>
      <c r="U405" s="525"/>
      <c r="V405" s="525"/>
      <c r="W405" s="525"/>
      <c r="Y405" s="519"/>
      <c r="Z405" s="519"/>
    </row>
    <row r="406" spans="1:26" ht="15.75" hidden="1" customHeight="1">
      <c r="A406" s="570">
        <v>44872</v>
      </c>
      <c r="B406" s="546" t="s">
        <v>291</v>
      </c>
      <c r="C406" s="527" t="s">
        <v>292</v>
      </c>
      <c r="D406" s="524"/>
      <c r="E406" s="525"/>
      <c r="F406" s="525"/>
      <c r="G406" s="525"/>
      <c r="H406" s="525"/>
      <c r="I406" s="525"/>
      <c r="J406" s="525"/>
      <c r="K406" s="525"/>
      <c r="L406" s="525"/>
      <c r="M406" s="528"/>
      <c r="N406" s="525">
        <v>920</v>
      </c>
      <c r="O406" s="525"/>
      <c r="P406" s="525"/>
      <c r="Q406" s="525"/>
      <c r="R406" s="525"/>
      <c r="S406" s="525"/>
      <c r="T406" s="525"/>
      <c r="U406" s="525"/>
      <c r="V406" s="525"/>
      <c r="W406" s="525"/>
      <c r="Y406" s="519"/>
      <c r="Z406" s="519"/>
    </row>
    <row r="407" spans="1:26" ht="15.75" hidden="1" customHeight="1">
      <c r="A407" s="570">
        <v>44880</v>
      </c>
      <c r="B407" s="526"/>
      <c r="C407" s="523" t="s">
        <v>168</v>
      </c>
      <c r="D407" s="524"/>
      <c r="E407" s="525"/>
      <c r="F407" s="525"/>
      <c r="G407" s="525"/>
      <c r="H407" s="525"/>
      <c r="I407" s="525"/>
      <c r="J407" s="525"/>
      <c r="K407" s="525"/>
      <c r="L407" s="525"/>
      <c r="M407" s="525"/>
      <c r="N407" s="525"/>
      <c r="O407" s="525"/>
      <c r="P407" s="525"/>
      <c r="Q407" s="525"/>
      <c r="R407" s="525"/>
      <c r="S407" s="525"/>
      <c r="T407" s="525">
        <v>1608.68</v>
      </c>
      <c r="U407" s="525"/>
      <c r="V407" s="525"/>
      <c r="W407" s="525"/>
      <c r="Y407" s="519"/>
      <c r="Z407" s="519"/>
    </row>
    <row r="408" spans="1:26" ht="15.75" hidden="1" customHeight="1">
      <c r="A408" s="570">
        <v>44880</v>
      </c>
      <c r="B408" s="529"/>
      <c r="C408" s="523" t="s">
        <v>294</v>
      </c>
      <c r="D408" s="524"/>
      <c r="E408" s="525"/>
      <c r="F408" s="525"/>
      <c r="G408" s="525"/>
      <c r="H408" s="525">
        <v>514.08000000000004</v>
      </c>
      <c r="I408" s="525"/>
      <c r="J408" s="525"/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Y408" s="519"/>
      <c r="Z408" s="519"/>
    </row>
    <row r="409" spans="1:26" ht="15.75" hidden="1" customHeight="1">
      <c r="A409" s="570">
        <v>44882</v>
      </c>
      <c r="B409" s="526"/>
      <c r="C409" s="523" t="s">
        <v>111</v>
      </c>
      <c r="D409" s="524"/>
      <c r="E409" s="525"/>
      <c r="F409" s="525"/>
      <c r="G409" s="525"/>
      <c r="H409" s="525"/>
      <c r="I409" s="525"/>
      <c r="J409" s="528"/>
      <c r="K409" s="525">
        <v>29.99</v>
      </c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Y409" s="519"/>
      <c r="Z409" s="519"/>
    </row>
    <row r="410" spans="1:26" ht="15.75" hidden="1" customHeight="1">
      <c r="A410" s="570">
        <v>44883</v>
      </c>
      <c r="B410" s="526"/>
      <c r="C410" s="523" t="s">
        <v>78</v>
      </c>
      <c r="D410" s="524"/>
      <c r="E410" s="525"/>
      <c r="F410" s="525"/>
      <c r="G410" s="525"/>
      <c r="H410" s="525"/>
      <c r="I410" s="525"/>
      <c r="J410" s="525">
        <v>19.98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Y410" s="519"/>
      <c r="Z410" s="519"/>
    </row>
    <row r="411" spans="1:26" ht="15.75" hidden="1" customHeight="1">
      <c r="A411" s="570">
        <v>44895</v>
      </c>
      <c r="B411" s="546"/>
      <c r="C411" s="527" t="s">
        <v>260</v>
      </c>
      <c r="D411" s="524"/>
      <c r="E411" s="525">
        <v>580.05999999999995</v>
      </c>
      <c r="F411" s="525"/>
      <c r="G411" s="525"/>
      <c r="H411" s="525"/>
      <c r="I411" s="525"/>
      <c r="J411" s="525"/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Y411" s="519"/>
      <c r="Z411" s="519"/>
    </row>
    <row r="412" spans="1:26" ht="15.75" hidden="1" customHeight="1">
      <c r="A412" s="570">
        <v>44895</v>
      </c>
      <c r="B412" s="529"/>
      <c r="C412" s="523" t="s">
        <v>307</v>
      </c>
      <c r="D412" s="524"/>
      <c r="E412" s="525"/>
      <c r="F412" s="525"/>
      <c r="G412" s="525"/>
      <c r="H412" s="525"/>
      <c r="I412" s="525"/>
      <c r="J412" s="528"/>
      <c r="K412" s="525">
        <v>117.15</v>
      </c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Y412" s="519"/>
      <c r="Z412" s="519"/>
    </row>
    <row r="413" spans="1:26" ht="15.75" hidden="1" customHeight="1">
      <c r="A413" s="578"/>
      <c r="B413" s="578"/>
      <c r="C413" s="558"/>
      <c r="D413" s="579"/>
      <c r="E413" s="550"/>
      <c r="F413" s="550"/>
      <c r="G413" s="550"/>
      <c r="H413" s="550"/>
      <c r="I413" s="550"/>
      <c r="J413" s="550"/>
      <c r="K413" s="550"/>
      <c r="L413" s="550"/>
      <c r="M413" s="550"/>
      <c r="N413" s="550"/>
      <c r="O413" s="550"/>
      <c r="P413" s="550"/>
      <c r="Q413" s="550"/>
      <c r="R413" s="550"/>
      <c r="S413" s="550"/>
      <c r="T413" s="525"/>
      <c r="U413" s="525"/>
      <c r="V413" s="525"/>
      <c r="W413" s="525"/>
      <c r="Y413" s="519"/>
      <c r="Z413" s="519"/>
    </row>
    <row r="414" spans="1:26" ht="15.75" hidden="1" customHeight="1">
      <c r="A414" s="570">
        <v>44163</v>
      </c>
      <c r="B414" s="560"/>
      <c r="C414" s="552" t="s">
        <v>180</v>
      </c>
      <c r="D414" s="524"/>
      <c r="E414" s="525"/>
      <c r="F414" s="525"/>
      <c r="G414" s="525"/>
      <c r="H414" s="525"/>
      <c r="I414" s="525"/>
      <c r="J414" s="525"/>
      <c r="K414" s="525"/>
      <c r="L414" s="525"/>
      <c r="M414" s="525"/>
      <c r="N414" s="525"/>
      <c r="O414" s="525">
        <v>29.52</v>
      </c>
      <c r="P414" s="525"/>
      <c r="Q414" s="525"/>
      <c r="R414" s="525"/>
      <c r="S414" s="525"/>
      <c r="T414" s="525"/>
      <c r="U414" s="525"/>
      <c r="V414" s="525"/>
      <c r="W414" s="525"/>
      <c r="Y414" s="519"/>
      <c r="Z414" s="519"/>
    </row>
    <row r="415" spans="1:26" ht="15.75" hidden="1" customHeight="1">
      <c r="A415" s="570">
        <v>44869</v>
      </c>
      <c r="B415" s="560"/>
      <c r="C415" s="552" t="s">
        <v>308</v>
      </c>
      <c r="D415" s="524"/>
      <c r="E415" s="525"/>
      <c r="F415" s="525">
        <v>2000</v>
      </c>
      <c r="G415" s="525"/>
      <c r="H415" s="525"/>
      <c r="I415" s="525"/>
      <c r="J415" s="525"/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Y415" s="519"/>
      <c r="Z415" s="519"/>
    </row>
    <row r="416" spans="1:26" ht="15.75" hidden="1" customHeight="1">
      <c r="A416" s="570">
        <v>44869</v>
      </c>
      <c r="B416" s="560" t="s">
        <v>309</v>
      </c>
      <c r="C416" s="552" t="s">
        <v>214</v>
      </c>
      <c r="D416" s="524">
        <v>5200</v>
      </c>
      <c r="E416" s="525"/>
      <c r="F416" s="525"/>
      <c r="G416" s="525"/>
      <c r="H416" s="525"/>
      <c r="I416" s="525"/>
      <c r="J416" s="525"/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Y416" s="519"/>
      <c r="Z416" s="519"/>
    </row>
    <row r="417" spans="1:26" ht="15.75" hidden="1" customHeight="1">
      <c r="A417" s="570">
        <v>44872</v>
      </c>
      <c r="B417" s="560"/>
      <c r="C417" s="552" t="s">
        <v>174</v>
      </c>
      <c r="D417" s="524"/>
      <c r="E417" s="525"/>
      <c r="F417" s="525"/>
      <c r="G417" s="525"/>
      <c r="H417" s="525"/>
      <c r="I417" s="525"/>
      <c r="J417" s="525"/>
      <c r="K417" s="525">
        <v>11.5</v>
      </c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Y417" s="519"/>
      <c r="Z417" s="519"/>
    </row>
    <row r="418" spans="1:26" ht="15.75" hidden="1" customHeight="1">
      <c r="A418" s="570">
        <v>44872</v>
      </c>
      <c r="B418" s="560"/>
      <c r="C418" s="552" t="s">
        <v>174</v>
      </c>
      <c r="D418" s="524"/>
      <c r="E418" s="525"/>
      <c r="F418" s="525"/>
      <c r="G418" s="525"/>
      <c r="H418" s="525"/>
      <c r="I418" s="525"/>
      <c r="J418" s="525"/>
      <c r="K418" s="525">
        <v>11.5</v>
      </c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Y418" s="519"/>
      <c r="Z418" s="519"/>
    </row>
    <row r="419" spans="1:26" ht="15.75" hidden="1" customHeight="1">
      <c r="A419" s="570">
        <v>44872</v>
      </c>
      <c r="B419" s="560"/>
      <c r="C419" s="552" t="s">
        <v>174</v>
      </c>
      <c r="D419" s="524"/>
      <c r="E419" s="525"/>
      <c r="F419" s="525"/>
      <c r="G419" s="525"/>
      <c r="H419" s="525"/>
      <c r="I419" s="525"/>
      <c r="J419" s="525"/>
      <c r="K419" s="525">
        <v>11.5</v>
      </c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Y419" s="519"/>
      <c r="Z419" s="519"/>
    </row>
    <row r="420" spans="1:26" ht="15.75" hidden="1" customHeight="1">
      <c r="A420" s="570">
        <v>44872</v>
      </c>
      <c r="B420" s="560"/>
      <c r="C420" s="552" t="s">
        <v>174</v>
      </c>
      <c r="D420" s="524"/>
      <c r="E420" s="525"/>
      <c r="F420" s="525"/>
      <c r="G420" s="525"/>
      <c r="H420" s="525"/>
      <c r="I420" s="525"/>
      <c r="J420" s="525"/>
      <c r="K420" s="525">
        <v>11.5</v>
      </c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Y420" s="519"/>
      <c r="Z420" s="519"/>
    </row>
    <row r="421" spans="1:26" ht="15.75" hidden="1" customHeight="1">
      <c r="A421" s="570">
        <v>44872</v>
      </c>
      <c r="B421" s="560"/>
      <c r="C421" s="552" t="s">
        <v>300</v>
      </c>
      <c r="D421" s="524"/>
      <c r="E421" s="525"/>
      <c r="F421" s="525"/>
      <c r="G421" s="525"/>
      <c r="H421" s="525"/>
      <c r="I421" s="525"/>
      <c r="J421" s="525"/>
      <c r="K421" s="525"/>
      <c r="L421" s="525"/>
      <c r="M421" s="525"/>
      <c r="N421" s="525"/>
      <c r="O421" s="525"/>
      <c r="P421" s="525"/>
      <c r="Q421" s="525">
        <v>20.5</v>
      </c>
      <c r="R421" s="525"/>
      <c r="S421" s="525"/>
      <c r="T421" s="525"/>
      <c r="U421" s="525"/>
      <c r="V421" s="525"/>
      <c r="W421" s="525"/>
      <c r="Y421" s="519"/>
      <c r="Z421" s="519"/>
    </row>
    <row r="422" spans="1:26" ht="15.75" hidden="1" customHeight="1">
      <c r="A422" s="570">
        <v>44873</v>
      </c>
      <c r="B422" s="560" t="s">
        <v>310</v>
      </c>
      <c r="C422" s="552" t="s">
        <v>311</v>
      </c>
      <c r="D422" s="524"/>
      <c r="E422" s="525"/>
      <c r="F422" s="525"/>
      <c r="G422" s="524">
        <v>250</v>
      </c>
      <c r="H422" s="525"/>
      <c r="I422" s="525"/>
      <c r="J422" s="525"/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Y422" s="519"/>
      <c r="Z422" s="519"/>
    </row>
    <row r="423" spans="1:26" ht="15.75" hidden="1" customHeight="1">
      <c r="A423" s="570">
        <v>44876</v>
      </c>
      <c r="B423" s="560"/>
      <c r="C423" s="552" t="s">
        <v>174</v>
      </c>
      <c r="D423" s="524"/>
      <c r="E423" s="525"/>
      <c r="F423" s="525"/>
      <c r="G423" s="525"/>
      <c r="H423" s="525"/>
      <c r="I423" s="525"/>
      <c r="J423" s="525"/>
      <c r="K423" s="525">
        <v>11.49</v>
      </c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Y423" s="519"/>
      <c r="Z423" s="519"/>
    </row>
    <row r="424" spans="1:26" ht="15.75" hidden="1" customHeight="1">
      <c r="A424" s="570">
        <v>44876</v>
      </c>
      <c r="B424" s="560"/>
      <c r="C424" s="552" t="s">
        <v>174</v>
      </c>
      <c r="D424" s="524"/>
      <c r="E424" s="525"/>
      <c r="F424" s="525"/>
      <c r="G424" s="525"/>
      <c r="H424" s="525"/>
      <c r="I424" s="525"/>
      <c r="J424" s="525"/>
      <c r="K424" s="525">
        <v>11.49</v>
      </c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Y424" s="519"/>
      <c r="Z424" s="519"/>
    </row>
    <row r="425" spans="1:26" ht="15.75" hidden="1" customHeight="1">
      <c r="A425" s="570">
        <v>44876</v>
      </c>
      <c r="B425" s="560"/>
      <c r="C425" s="552" t="s">
        <v>174</v>
      </c>
      <c r="D425" s="524"/>
      <c r="E425" s="525"/>
      <c r="F425" s="525"/>
      <c r="G425" s="525"/>
      <c r="H425" s="525"/>
      <c r="I425" s="525"/>
      <c r="J425" s="525"/>
      <c r="K425" s="525">
        <v>11.49</v>
      </c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Y425" s="519"/>
      <c r="Z425" s="519"/>
    </row>
    <row r="426" spans="1:26" ht="15.75" hidden="1" customHeight="1">
      <c r="A426" s="570">
        <v>44879</v>
      </c>
      <c r="B426" s="560"/>
      <c r="C426" s="552" t="s">
        <v>174</v>
      </c>
      <c r="D426" s="524"/>
      <c r="E426" s="525"/>
      <c r="F426" s="525"/>
      <c r="G426" s="525"/>
      <c r="H426" s="525"/>
      <c r="I426" s="525"/>
      <c r="J426" s="525"/>
      <c r="K426" s="525">
        <v>11.5</v>
      </c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Y426" s="519"/>
      <c r="Z426" s="519"/>
    </row>
    <row r="427" spans="1:26" ht="15.75" hidden="1" customHeight="1">
      <c r="A427" s="570">
        <v>44879</v>
      </c>
      <c r="B427" s="560"/>
      <c r="C427" s="552" t="s">
        <v>174</v>
      </c>
      <c r="D427" s="524"/>
      <c r="E427" s="525"/>
      <c r="F427" s="525"/>
      <c r="G427" s="525"/>
      <c r="H427" s="525"/>
      <c r="I427" s="525"/>
      <c r="J427" s="525"/>
      <c r="K427" s="525">
        <v>11.5</v>
      </c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Y427" s="519"/>
      <c r="Z427" s="519"/>
    </row>
    <row r="428" spans="1:26" ht="15.75" hidden="1" customHeight="1">
      <c r="A428" s="570">
        <v>44880</v>
      </c>
      <c r="B428" s="560"/>
      <c r="C428" s="552" t="s">
        <v>312</v>
      </c>
      <c r="D428" s="524"/>
      <c r="E428" s="525"/>
      <c r="F428" s="525"/>
      <c r="G428" s="525"/>
      <c r="H428" s="525"/>
      <c r="I428" s="525"/>
      <c r="J428" s="525"/>
      <c r="K428" s="525"/>
      <c r="L428" s="525"/>
      <c r="M428" s="525"/>
      <c r="N428" s="525"/>
      <c r="O428" s="525"/>
      <c r="P428" s="525"/>
      <c r="Q428" s="525"/>
      <c r="R428" s="525"/>
      <c r="S428" s="525"/>
      <c r="T428" s="525">
        <v>20.53</v>
      </c>
      <c r="U428" s="525"/>
      <c r="V428" s="525"/>
      <c r="W428" s="525"/>
      <c r="Y428" s="519"/>
      <c r="Z428" s="519"/>
    </row>
    <row r="429" spans="1:26" ht="15.75" hidden="1" customHeight="1">
      <c r="A429" s="570">
        <v>44882</v>
      </c>
      <c r="B429" s="560"/>
      <c r="C429" s="552" t="s">
        <v>174</v>
      </c>
      <c r="D429" s="524"/>
      <c r="E429" s="525"/>
      <c r="F429" s="525"/>
      <c r="G429" s="525"/>
      <c r="H429" s="525"/>
      <c r="I429" s="525"/>
      <c r="J429" s="525"/>
      <c r="K429" s="525">
        <v>11.48</v>
      </c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Y429" s="519"/>
      <c r="Z429" s="519"/>
    </row>
    <row r="430" spans="1:26" ht="15.75" hidden="1" customHeight="1">
      <c r="A430" s="570">
        <v>44886</v>
      </c>
      <c r="B430" s="560"/>
      <c r="C430" s="552" t="s">
        <v>313</v>
      </c>
      <c r="D430" s="524"/>
      <c r="E430" s="525"/>
      <c r="F430" s="525">
        <v>-2077</v>
      </c>
      <c r="G430" s="525"/>
      <c r="H430" s="525"/>
      <c r="I430" s="525"/>
      <c r="J430" s="525"/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Y430" s="519"/>
      <c r="Z430" s="519"/>
    </row>
    <row r="431" spans="1:26" ht="15.75" hidden="1" customHeight="1">
      <c r="A431" s="570">
        <v>44889</v>
      </c>
      <c r="B431" s="560"/>
      <c r="C431" s="552" t="s">
        <v>314</v>
      </c>
      <c r="D431" s="524"/>
      <c r="E431" s="525"/>
      <c r="F431" s="525"/>
      <c r="G431" s="525"/>
      <c r="H431" s="525"/>
      <c r="I431" s="525"/>
      <c r="J431" s="525"/>
      <c r="K431" s="525"/>
      <c r="L431" s="525"/>
      <c r="M431" s="525"/>
      <c r="N431" s="525"/>
      <c r="O431" s="525"/>
      <c r="P431" s="525"/>
      <c r="Q431" s="525">
        <v>9.82</v>
      </c>
      <c r="R431" s="525"/>
      <c r="S431" s="525"/>
      <c r="T431" s="525"/>
      <c r="U431" s="525"/>
      <c r="V431" s="525"/>
      <c r="W431" s="525"/>
      <c r="Y431" s="519"/>
      <c r="Z431" s="519"/>
    </row>
    <row r="432" spans="1:26" ht="15.75" hidden="1" customHeight="1">
      <c r="A432" s="570">
        <v>44889</v>
      </c>
      <c r="B432" s="560"/>
      <c r="C432" s="552" t="s">
        <v>315</v>
      </c>
      <c r="D432" s="524"/>
      <c r="E432" s="525"/>
      <c r="F432" s="525"/>
      <c r="G432" s="525"/>
      <c r="H432" s="525"/>
      <c r="I432" s="525"/>
      <c r="J432" s="525"/>
      <c r="K432" s="525"/>
      <c r="L432" s="525"/>
      <c r="M432" s="525"/>
      <c r="N432" s="525"/>
      <c r="O432" s="525"/>
      <c r="P432" s="525"/>
      <c r="Q432" s="525">
        <v>58.8</v>
      </c>
      <c r="R432" s="525"/>
      <c r="S432" s="525"/>
      <c r="T432" s="525"/>
      <c r="U432" s="525"/>
      <c r="V432" s="525"/>
      <c r="W432" s="525"/>
      <c r="Y432" s="519"/>
      <c r="Z432" s="519"/>
    </row>
    <row r="433" spans="1:26" ht="15.75" hidden="1" customHeight="1">
      <c r="A433" s="570">
        <v>44890</v>
      </c>
      <c r="B433" s="560"/>
      <c r="C433" s="552" t="s">
        <v>191</v>
      </c>
      <c r="D433" s="524"/>
      <c r="E433" s="525"/>
      <c r="F433" s="525"/>
      <c r="G433" s="525"/>
      <c r="H433" s="525"/>
      <c r="I433" s="525"/>
      <c r="J433" s="525"/>
      <c r="K433" s="525"/>
      <c r="L433" s="525">
        <v>35.799999999999997</v>
      </c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Y433" s="519"/>
      <c r="Z433" s="519"/>
    </row>
    <row r="434" spans="1:26" ht="15.75" hidden="1" customHeight="1">
      <c r="A434" s="570">
        <v>44893</v>
      </c>
      <c r="B434" s="560"/>
      <c r="C434" s="552" t="s">
        <v>208</v>
      </c>
      <c r="D434" s="524"/>
      <c r="E434" s="525"/>
      <c r="F434" s="525"/>
      <c r="G434" s="525"/>
      <c r="H434" s="525"/>
      <c r="I434" s="525"/>
      <c r="J434" s="525"/>
      <c r="K434" s="525"/>
      <c r="L434" s="525"/>
      <c r="M434" s="525"/>
      <c r="N434" s="525"/>
      <c r="O434" s="525"/>
      <c r="P434" s="525"/>
      <c r="Q434" s="525"/>
      <c r="R434" s="525"/>
      <c r="S434" s="525">
        <v>3.01</v>
      </c>
      <c r="T434" s="525"/>
      <c r="U434" s="525"/>
      <c r="V434" s="525"/>
      <c r="W434" s="525"/>
      <c r="Y434" s="519"/>
      <c r="Z434" s="519"/>
    </row>
    <row r="435" spans="1:26" ht="15.75" hidden="1" customHeight="1">
      <c r="A435" s="570">
        <v>44893</v>
      </c>
      <c r="B435" s="560"/>
      <c r="C435" s="552" t="s">
        <v>300</v>
      </c>
      <c r="D435" s="524"/>
      <c r="E435" s="525"/>
      <c r="F435" s="525"/>
      <c r="G435" s="525"/>
      <c r="H435" s="525"/>
      <c r="I435" s="525"/>
      <c r="J435" s="525"/>
      <c r="K435" s="525"/>
      <c r="L435" s="525"/>
      <c r="M435" s="525"/>
      <c r="N435" s="525"/>
      <c r="O435" s="525"/>
      <c r="P435" s="525"/>
      <c r="Q435" s="525">
        <v>9.82</v>
      </c>
      <c r="R435" s="525"/>
      <c r="S435" s="525"/>
      <c r="T435" s="525"/>
      <c r="U435" s="525"/>
      <c r="V435" s="525"/>
      <c r="W435" s="525"/>
      <c r="Y435" s="519"/>
      <c r="Z435" s="519"/>
    </row>
    <row r="436" spans="1:26" ht="15.75" hidden="1" customHeight="1">
      <c r="A436" s="570">
        <v>44893</v>
      </c>
      <c r="B436" s="560"/>
      <c r="C436" s="552" t="s">
        <v>316</v>
      </c>
      <c r="D436" s="524"/>
      <c r="E436" s="525"/>
      <c r="F436" s="525"/>
      <c r="G436" s="525"/>
      <c r="H436" s="525"/>
      <c r="I436" s="525"/>
      <c r="J436" s="525"/>
      <c r="K436" s="525"/>
      <c r="L436" s="525"/>
      <c r="M436" s="525">
        <v>62.9</v>
      </c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Y436" s="519"/>
      <c r="Z436" s="519"/>
    </row>
    <row r="437" spans="1:26" ht="15.75" hidden="1" customHeight="1">
      <c r="A437" s="570">
        <v>44895</v>
      </c>
      <c r="B437" s="560"/>
      <c r="C437" s="552" t="s">
        <v>317</v>
      </c>
      <c r="D437" s="524"/>
      <c r="E437" s="525"/>
      <c r="F437" s="525"/>
      <c r="G437" s="525"/>
      <c r="H437" s="525"/>
      <c r="I437" s="525"/>
      <c r="J437" s="525"/>
      <c r="K437" s="525"/>
      <c r="L437" s="525"/>
      <c r="M437" s="525">
        <v>46.36</v>
      </c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Y437" s="519"/>
      <c r="Z437" s="519"/>
    </row>
    <row r="438" spans="1:26" ht="15.75" hidden="1" customHeight="1" thickBot="1">
      <c r="A438" s="574"/>
      <c r="B438" s="564"/>
      <c r="C438" s="565"/>
      <c r="D438" s="541"/>
      <c r="E438" s="542"/>
      <c r="F438" s="542"/>
      <c r="G438" s="542"/>
      <c r="H438" s="542"/>
      <c r="I438" s="542"/>
      <c r="J438" s="542"/>
      <c r="K438" s="542"/>
      <c r="L438" s="542"/>
      <c r="M438" s="542"/>
      <c r="N438" s="542"/>
      <c r="O438" s="542"/>
      <c r="P438" s="542"/>
      <c r="Q438" s="542"/>
      <c r="R438" s="542"/>
      <c r="S438" s="542"/>
      <c r="T438" s="542"/>
      <c r="U438" s="542"/>
      <c r="V438" s="542"/>
      <c r="W438" s="542"/>
      <c r="X438" s="594"/>
      <c r="Y438" s="595"/>
      <c r="Z438" s="595"/>
    </row>
    <row r="439" spans="1:26" ht="15.75" hidden="1" customHeight="1" thickTop="1">
      <c r="A439" s="543"/>
      <c r="B439" s="554">
        <v>44896</v>
      </c>
      <c r="C439" s="575"/>
      <c r="D439" s="576"/>
      <c r="E439" s="545"/>
      <c r="F439" s="545"/>
      <c r="G439" s="545"/>
      <c r="H439" s="545"/>
      <c r="I439" s="545"/>
      <c r="J439" s="545"/>
      <c r="K439" s="545"/>
      <c r="L439" s="545"/>
      <c r="M439" s="545"/>
      <c r="N439" s="545"/>
      <c r="O439" s="545"/>
      <c r="P439" s="545"/>
      <c r="Q439" s="545"/>
      <c r="R439" s="545"/>
      <c r="S439" s="545"/>
      <c r="T439" s="545"/>
      <c r="U439" s="545"/>
      <c r="V439" s="545"/>
      <c r="W439" s="545"/>
      <c r="Y439" s="519"/>
      <c r="Z439" s="519"/>
    </row>
    <row r="440" spans="1:26" ht="15.75" hidden="1" customHeight="1">
      <c r="A440" s="570">
        <v>44896</v>
      </c>
      <c r="B440" s="555"/>
      <c r="C440" s="556" t="s">
        <v>62</v>
      </c>
      <c r="D440" s="524"/>
      <c r="E440" s="525"/>
      <c r="F440" s="525"/>
      <c r="G440" s="525"/>
      <c r="H440" s="525"/>
      <c r="I440" s="525"/>
      <c r="J440" s="525"/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>
        <v>1036.55</v>
      </c>
      <c r="W440" s="525"/>
      <c r="Y440" s="519"/>
      <c r="Z440" s="519"/>
    </row>
    <row r="441" spans="1:26" ht="15.75" hidden="1" customHeight="1">
      <c r="A441" s="570">
        <v>44896</v>
      </c>
      <c r="B441" s="546"/>
      <c r="C441" s="523" t="s">
        <v>63</v>
      </c>
      <c r="D441" s="524"/>
      <c r="E441" s="525"/>
      <c r="F441" s="525"/>
      <c r="G441" s="525"/>
      <c r="H441" s="525"/>
      <c r="I441" s="525"/>
      <c r="J441" s="525"/>
      <c r="K441" s="525"/>
      <c r="L441" s="525"/>
      <c r="M441" s="525"/>
      <c r="N441" s="525"/>
      <c r="O441" s="525"/>
      <c r="P441" s="525"/>
      <c r="Q441" s="525"/>
      <c r="R441" s="525"/>
      <c r="S441" s="525"/>
      <c r="T441" s="525">
        <v>283.77</v>
      </c>
      <c r="U441" s="525"/>
      <c r="V441" s="525"/>
      <c r="W441" s="525"/>
      <c r="Y441" s="519"/>
      <c r="Z441" s="519"/>
    </row>
    <row r="442" spans="1:26" ht="15.75" hidden="1" customHeight="1">
      <c r="A442" s="570">
        <v>44896</v>
      </c>
      <c r="B442" s="526"/>
      <c r="C442" s="523" t="s">
        <v>64</v>
      </c>
      <c r="D442" s="524"/>
      <c r="E442" s="525"/>
      <c r="F442" s="525"/>
      <c r="G442" s="525"/>
      <c r="H442" s="525"/>
      <c r="I442" s="525"/>
      <c r="J442" s="525"/>
      <c r="K442" s="525"/>
      <c r="L442" s="525"/>
      <c r="M442" s="525"/>
      <c r="N442" s="525"/>
      <c r="O442" s="525"/>
      <c r="P442" s="525"/>
      <c r="Q442" s="525"/>
      <c r="R442" s="525"/>
      <c r="S442" s="525"/>
      <c r="T442" s="525">
        <v>700</v>
      </c>
      <c r="U442" s="525"/>
      <c r="V442" s="525"/>
      <c r="W442" s="525"/>
      <c r="Y442" s="519"/>
      <c r="Z442" s="519"/>
    </row>
    <row r="443" spans="1:26" ht="15.75" hidden="1" customHeight="1">
      <c r="A443" s="570">
        <v>44897</v>
      </c>
      <c r="B443" s="522">
        <v>1.1499999999999999</v>
      </c>
      <c r="C443" s="523" t="s">
        <v>276</v>
      </c>
      <c r="D443" s="524"/>
      <c r="E443" s="525"/>
      <c r="F443" s="525"/>
      <c r="G443" s="525"/>
      <c r="H443" s="525"/>
      <c r="I443" s="525"/>
      <c r="J443" s="525"/>
      <c r="K443" s="525"/>
      <c r="L443" s="525"/>
      <c r="M443" s="525"/>
      <c r="N443" s="525"/>
      <c r="O443" s="525"/>
      <c r="P443" s="525"/>
      <c r="Q443" s="525"/>
      <c r="R443" s="525"/>
      <c r="S443" s="525"/>
      <c r="T443" s="525">
        <v>80</v>
      </c>
      <c r="U443" s="525"/>
      <c r="V443" s="525"/>
      <c r="W443" s="525"/>
      <c r="Y443" s="519"/>
      <c r="Z443" s="519"/>
    </row>
    <row r="444" spans="1:26" ht="15.75" hidden="1" customHeight="1">
      <c r="A444" s="570">
        <v>44897</v>
      </c>
      <c r="B444" s="522" t="s">
        <v>318</v>
      </c>
      <c r="C444" s="527" t="s">
        <v>167</v>
      </c>
      <c r="D444" s="524"/>
      <c r="E444" s="525"/>
      <c r="F444" s="525"/>
      <c r="G444" s="525"/>
      <c r="H444" s="525"/>
      <c r="I444" s="525"/>
      <c r="J444" s="525"/>
      <c r="K444" s="525"/>
      <c r="L444" s="525"/>
      <c r="M444" s="525"/>
      <c r="N444" s="525"/>
      <c r="O444" s="525"/>
      <c r="P444" s="525"/>
      <c r="Q444" s="525"/>
      <c r="R444" s="525"/>
      <c r="S444" s="525">
        <v>9.16</v>
      </c>
      <c r="T444" s="525"/>
      <c r="U444" s="525"/>
      <c r="V444" s="525"/>
      <c r="W444" s="525"/>
      <c r="Y444" s="519"/>
      <c r="Z444" s="519"/>
    </row>
    <row r="445" spans="1:26" ht="15.75" hidden="1" customHeight="1">
      <c r="A445" s="570">
        <v>44900</v>
      </c>
      <c r="B445" s="546"/>
      <c r="C445" s="523" t="s">
        <v>65</v>
      </c>
      <c r="D445" s="524"/>
      <c r="E445" s="525"/>
      <c r="F445" s="525"/>
      <c r="G445" s="525"/>
      <c r="H445" s="525"/>
      <c r="I445" s="525"/>
      <c r="J445" s="525"/>
      <c r="K445" s="525"/>
      <c r="L445" s="525"/>
      <c r="M445" s="525"/>
      <c r="N445" s="525"/>
      <c r="O445" s="525"/>
      <c r="P445" s="525"/>
      <c r="Q445" s="525"/>
      <c r="R445" s="525"/>
      <c r="S445" s="525"/>
      <c r="T445" s="525">
        <v>18</v>
      </c>
      <c r="U445" s="525"/>
      <c r="V445" s="525"/>
      <c r="W445" s="525"/>
      <c r="Y445" s="519"/>
      <c r="Z445" s="519"/>
    </row>
    <row r="446" spans="1:26" ht="15.75" hidden="1" customHeight="1">
      <c r="A446" s="570">
        <v>44901</v>
      </c>
      <c r="B446" s="546" t="s">
        <v>310</v>
      </c>
      <c r="C446" s="527" t="s">
        <v>319</v>
      </c>
      <c r="D446" s="524"/>
      <c r="E446" s="525"/>
      <c r="F446" s="525"/>
      <c r="G446" s="525"/>
      <c r="H446" s="525"/>
      <c r="I446" s="525"/>
      <c r="J446" s="525"/>
      <c r="K446" s="525"/>
      <c r="L446" s="525"/>
      <c r="M446" s="528"/>
      <c r="N446" s="525">
        <v>920</v>
      </c>
      <c r="O446" s="525"/>
      <c r="P446" s="525"/>
      <c r="Q446" s="525"/>
      <c r="R446" s="525"/>
      <c r="S446" s="525"/>
      <c r="T446" s="525"/>
      <c r="U446" s="525"/>
      <c r="V446" s="525"/>
      <c r="W446" s="525"/>
      <c r="Y446" s="519"/>
      <c r="Z446" s="519"/>
    </row>
    <row r="447" spans="1:26" ht="15.75" hidden="1" customHeight="1">
      <c r="A447" s="570">
        <v>44902</v>
      </c>
      <c r="B447" s="546"/>
      <c r="C447" s="527" t="s">
        <v>260</v>
      </c>
      <c r="D447" s="524"/>
      <c r="E447" s="525"/>
      <c r="F447" s="525"/>
      <c r="G447" s="525"/>
      <c r="H447" s="525"/>
      <c r="I447" s="525"/>
      <c r="J447" s="525"/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Y447" s="519"/>
      <c r="Z447" s="519"/>
    </row>
    <row r="448" spans="1:26" ht="15.75" hidden="1" customHeight="1">
      <c r="A448" s="570">
        <v>44910</v>
      </c>
      <c r="B448" s="526"/>
      <c r="C448" s="523" t="s">
        <v>168</v>
      </c>
      <c r="D448" s="524"/>
      <c r="E448" s="525"/>
      <c r="F448" s="525"/>
      <c r="G448" s="525"/>
      <c r="H448" s="525"/>
      <c r="I448" s="525"/>
      <c r="J448" s="525"/>
      <c r="K448" s="525"/>
      <c r="L448" s="525"/>
      <c r="M448" s="525"/>
      <c r="N448" s="525"/>
      <c r="O448" s="525"/>
      <c r="P448" s="525"/>
      <c r="Q448" s="525"/>
      <c r="R448" s="525"/>
      <c r="S448" s="525"/>
      <c r="T448" s="525">
        <v>1608.68</v>
      </c>
      <c r="U448" s="525"/>
      <c r="V448" s="525"/>
      <c r="W448" s="525"/>
      <c r="Y448" s="519"/>
      <c r="Z448" s="519"/>
    </row>
    <row r="449" spans="1:26" ht="15.75" hidden="1" customHeight="1">
      <c r="A449" s="570">
        <v>44910</v>
      </c>
      <c r="B449" s="529"/>
      <c r="C449" s="523" t="s">
        <v>320</v>
      </c>
      <c r="D449" s="524"/>
      <c r="E449" s="525"/>
      <c r="F449" s="525"/>
      <c r="G449" s="525"/>
      <c r="H449" s="525"/>
      <c r="I449" s="525"/>
      <c r="J449" s="525"/>
      <c r="K449" s="525">
        <v>9.51</v>
      </c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Y449" s="519"/>
      <c r="Z449" s="519"/>
    </row>
    <row r="450" spans="1:26" ht="15.75" hidden="1" customHeight="1">
      <c r="A450" s="570">
        <v>44910</v>
      </c>
      <c r="B450" s="529"/>
      <c r="C450" s="523" t="s">
        <v>294</v>
      </c>
      <c r="D450" s="524"/>
      <c r="E450" s="525"/>
      <c r="F450" s="525"/>
      <c r="G450" s="525"/>
      <c r="H450" s="525">
        <v>823.78</v>
      </c>
      <c r="I450" s="525"/>
      <c r="J450" s="525"/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Y450" s="519"/>
      <c r="Z450" s="519"/>
    </row>
    <row r="451" spans="1:26" ht="15.75" hidden="1" customHeight="1">
      <c r="A451" s="570">
        <v>44911</v>
      </c>
      <c r="B451" s="529"/>
      <c r="C451" s="523" t="s">
        <v>321</v>
      </c>
      <c r="D451" s="524"/>
      <c r="E451" s="525"/>
      <c r="F451" s="525"/>
      <c r="G451" s="525"/>
      <c r="H451" s="525"/>
      <c r="I451" s="525"/>
      <c r="J451" s="528"/>
      <c r="K451" s="525">
        <v>118.83</v>
      </c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Y451" s="519"/>
      <c r="Z451" s="519"/>
    </row>
    <row r="452" spans="1:26" ht="15.75" hidden="1" customHeight="1">
      <c r="A452" s="570">
        <v>44914</v>
      </c>
      <c r="B452" s="526"/>
      <c r="C452" s="523" t="s">
        <v>111</v>
      </c>
      <c r="D452" s="524"/>
      <c r="E452" s="525"/>
      <c r="F452" s="525"/>
      <c r="G452" s="525"/>
      <c r="H452" s="525"/>
      <c r="I452" s="525"/>
      <c r="J452" s="528"/>
      <c r="K452" s="525">
        <v>29.99</v>
      </c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Y452" s="519"/>
      <c r="Z452" s="519"/>
    </row>
    <row r="453" spans="1:26" ht="15.75" hidden="1" customHeight="1">
      <c r="A453" s="570">
        <v>44915</v>
      </c>
      <c r="B453" s="526"/>
      <c r="C453" s="523" t="s">
        <v>78</v>
      </c>
      <c r="D453" s="524"/>
      <c r="E453" s="525"/>
      <c r="F453" s="525"/>
      <c r="G453" s="525"/>
      <c r="H453" s="525"/>
      <c r="I453" s="525"/>
      <c r="J453" s="525">
        <v>29.48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Y453" s="519"/>
      <c r="Z453" s="519"/>
    </row>
    <row r="454" spans="1:26" ht="15.75" hidden="1" customHeight="1">
      <c r="A454" s="570">
        <v>44917</v>
      </c>
      <c r="B454" s="526"/>
      <c r="C454" s="523" t="s">
        <v>64</v>
      </c>
      <c r="D454" s="524"/>
      <c r="E454" s="525"/>
      <c r="F454" s="525"/>
      <c r="G454" s="525"/>
      <c r="H454" s="525"/>
      <c r="I454" s="525"/>
      <c r="J454" s="525"/>
      <c r="K454" s="525"/>
      <c r="L454" s="525"/>
      <c r="M454" s="525"/>
      <c r="N454" s="525"/>
      <c r="O454" s="525"/>
      <c r="P454" s="525"/>
      <c r="Q454" s="525"/>
      <c r="R454" s="525"/>
      <c r="S454" s="525"/>
      <c r="T454" s="525">
        <v>500</v>
      </c>
      <c r="U454" s="525"/>
      <c r="V454" s="525"/>
      <c r="W454" s="525"/>
      <c r="Y454" s="519"/>
      <c r="Z454" s="519"/>
    </row>
    <row r="455" spans="1:26" ht="15.75" hidden="1" customHeight="1">
      <c r="A455" s="570">
        <v>44917</v>
      </c>
      <c r="B455" s="529"/>
      <c r="C455" s="523" t="s">
        <v>320</v>
      </c>
      <c r="D455" s="524"/>
      <c r="E455" s="525"/>
      <c r="F455" s="525"/>
      <c r="G455" s="525"/>
      <c r="H455" s="525"/>
      <c r="I455" s="525"/>
      <c r="J455" s="525"/>
      <c r="K455" s="525">
        <v>9.4600000000000009</v>
      </c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Y455" s="519"/>
      <c r="Z455" s="519"/>
    </row>
    <row r="456" spans="1:26" ht="15.75" hidden="1" customHeight="1">
      <c r="A456" s="570">
        <v>44923</v>
      </c>
      <c r="B456" s="529"/>
      <c r="C456" s="523" t="s">
        <v>320</v>
      </c>
      <c r="D456" s="524"/>
      <c r="E456" s="525"/>
      <c r="F456" s="525"/>
      <c r="G456" s="525"/>
      <c r="H456" s="525"/>
      <c r="I456" s="525"/>
      <c r="J456" s="525"/>
      <c r="K456" s="525">
        <v>9.5399999999999991</v>
      </c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Y456" s="519"/>
      <c r="Z456" s="519"/>
    </row>
    <row r="457" spans="1:26" ht="15.75" hidden="1" customHeight="1">
      <c r="A457" s="570">
        <v>44923</v>
      </c>
      <c r="B457" s="529"/>
      <c r="C457" s="523" t="s">
        <v>322</v>
      </c>
      <c r="D457" s="524"/>
      <c r="E457" s="525"/>
      <c r="F457" s="525"/>
      <c r="G457" s="525"/>
      <c r="H457" s="525"/>
      <c r="I457" s="525"/>
      <c r="J457" s="525"/>
      <c r="K457" s="525"/>
      <c r="L457" s="525"/>
      <c r="M457" s="525"/>
      <c r="N457" s="525"/>
      <c r="O457" s="525"/>
      <c r="P457" s="525"/>
      <c r="Q457" s="525"/>
      <c r="R457" s="525"/>
      <c r="S457" s="525">
        <v>4.84</v>
      </c>
      <c r="T457" s="525"/>
      <c r="U457" s="525"/>
      <c r="V457" s="525"/>
      <c r="W457" s="525"/>
      <c r="Y457" s="519"/>
      <c r="Z457" s="519"/>
    </row>
    <row r="458" spans="1:26" ht="15.75" hidden="1" customHeight="1">
      <c r="A458" s="570">
        <v>44925</v>
      </c>
      <c r="B458" s="529"/>
      <c r="C458" s="527" t="s">
        <v>260</v>
      </c>
      <c r="D458" s="524"/>
      <c r="E458" s="525">
        <v>580.05999999999995</v>
      </c>
      <c r="F458" s="525"/>
      <c r="G458" s="525"/>
      <c r="H458" s="525"/>
      <c r="I458" s="525"/>
      <c r="J458" s="528"/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Y458" s="519"/>
      <c r="Z458" s="519"/>
    </row>
    <row r="459" spans="1:26" ht="15.75" hidden="1" customHeight="1">
      <c r="A459" s="578"/>
      <c r="B459" s="578"/>
      <c r="C459" s="558"/>
      <c r="D459" s="579"/>
      <c r="E459" s="550"/>
      <c r="F459" s="550"/>
      <c r="G459" s="550"/>
      <c r="H459" s="550"/>
      <c r="I459" s="550"/>
      <c r="J459" s="550"/>
      <c r="K459" s="550"/>
      <c r="L459" s="550"/>
      <c r="M459" s="550"/>
      <c r="N459" s="550"/>
      <c r="O459" s="550"/>
      <c r="P459" s="550"/>
      <c r="Q459" s="550"/>
      <c r="R459" s="550"/>
      <c r="S459" s="550"/>
      <c r="T459" s="525"/>
      <c r="U459" s="525"/>
      <c r="V459" s="525"/>
      <c r="W459" s="525"/>
      <c r="Y459" s="519"/>
      <c r="Z459" s="519"/>
    </row>
    <row r="460" spans="1:26" ht="15.75" hidden="1" customHeight="1">
      <c r="A460" s="570">
        <v>44896</v>
      </c>
      <c r="B460" s="560" t="s">
        <v>323</v>
      </c>
      <c r="C460" s="552" t="s">
        <v>324</v>
      </c>
      <c r="D460" s="524"/>
      <c r="E460" s="525">
        <v>545.35</v>
      </c>
      <c r="F460" s="525"/>
      <c r="G460" s="525"/>
      <c r="H460" s="525"/>
      <c r="I460" s="525"/>
      <c r="J460" s="525"/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Y460" s="519"/>
      <c r="Z460" s="519"/>
    </row>
    <row r="461" spans="1:26" ht="15.75" hidden="1" customHeight="1">
      <c r="A461" s="570">
        <v>44896</v>
      </c>
      <c r="B461" s="560" t="s">
        <v>325</v>
      </c>
      <c r="C461" s="552" t="s">
        <v>326</v>
      </c>
      <c r="D461" s="524"/>
      <c r="E461" s="525"/>
      <c r="F461" s="525">
        <v>-852</v>
      </c>
      <c r="G461" s="525"/>
      <c r="H461" s="525"/>
      <c r="I461" s="525"/>
      <c r="J461" s="525"/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Y461" s="519"/>
      <c r="Z461" s="519"/>
    </row>
    <row r="462" spans="1:26" ht="15.75" hidden="1" customHeight="1">
      <c r="A462" s="570">
        <v>44896</v>
      </c>
      <c r="B462" s="560"/>
      <c r="C462" s="552" t="s">
        <v>327</v>
      </c>
      <c r="D462" s="524"/>
      <c r="E462" s="525"/>
      <c r="F462" s="525"/>
      <c r="G462" s="525"/>
      <c r="H462" s="525"/>
      <c r="I462" s="525"/>
      <c r="J462" s="525"/>
      <c r="K462" s="525"/>
      <c r="L462" s="525"/>
      <c r="M462" s="525"/>
      <c r="N462" s="525"/>
      <c r="O462" s="525"/>
      <c r="P462" s="525"/>
      <c r="Q462" s="525"/>
      <c r="R462" s="525"/>
      <c r="S462" s="525"/>
      <c r="T462" s="525">
        <v>104</v>
      </c>
      <c r="U462" s="525"/>
      <c r="V462" s="525"/>
      <c r="W462" s="525"/>
      <c r="Y462" s="519"/>
      <c r="Z462" s="519"/>
    </row>
    <row r="463" spans="1:26" ht="15.75" hidden="1" customHeight="1">
      <c r="A463" s="570">
        <v>44897</v>
      </c>
      <c r="B463" s="560" t="s">
        <v>328</v>
      </c>
      <c r="C463" s="552" t="s">
        <v>326</v>
      </c>
      <c r="D463" s="524"/>
      <c r="E463" s="525"/>
      <c r="F463" s="525">
        <v>2000</v>
      </c>
      <c r="G463" s="525"/>
      <c r="H463" s="525"/>
      <c r="I463" s="525"/>
      <c r="J463" s="525"/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Y463" s="519"/>
      <c r="Z463" s="519"/>
    </row>
    <row r="464" spans="1:26" ht="15.75" hidden="1" customHeight="1">
      <c r="A464" s="570">
        <v>44897</v>
      </c>
      <c r="B464" s="596" t="s">
        <v>329</v>
      </c>
      <c r="C464" s="552" t="s">
        <v>214</v>
      </c>
      <c r="D464" s="524">
        <v>5362.53</v>
      </c>
      <c r="E464" s="525"/>
      <c r="F464" s="525"/>
      <c r="G464" s="525"/>
      <c r="H464" s="525"/>
      <c r="I464" s="525"/>
      <c r="J464" s="525"/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Y464" s="519"/>
      <c r="Z464" s="519"/>
    </row>
    <row r="465" spans="1:26" ht="15.75" hidden="1" customHeight="1">
      <c r="A465" s="570">
        <v>44897</v>
      </c>
      <c r="B465" s="596" t="s">
        <v>330</v>
      </c>
      <c r="C465" s="552" t="s">
        <v>228</v>
      </c>
      <c r="D465" s="524">
        <v>1850</v>
      </c>
      <c r="E465" s="525"/>
      <c r="F465" s="525"/>
      <c r="G465" s="525"/>
      <c r="H465" s="525"/>
      <c r="I465" s="525"/>
      <c r="J465" s="525"/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Y465" s="519"/>
      <c r="Z465" s="519"/>
    </row>
    <row r="466" spans="1:26" ht="15.75" hidden="1" customHeight="1">
      <c r="A466" s="570">
        <v>44900</v>
      </c>
      <c r="B466" s="560"/>
      <c r="C466" s="552" t="s">
        <v>174</v>
      </c>
      <c r="D466" s="552"/>
      <c r="E466" s="524"/>
      <c r="F466" s="525"/>
      <c r="G466" s="525"/>
      <c r="H466" s="525"/>
      <c r="I466" s="525"/>
      <c r="J466" s="525"/>
      <c r="K466" s="525">
        <v>11.69</v>
      </c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77"/>
      <c r="Y466" s="519"/>
      <c r="Z466" s="519"/>
    </row>
    <row r="467" spans="1:26" ht="15.75" hidden="1" customHeight="1">
      <c r="A467" s="570">
        <v>44900</v>
      </c>
      <c r="B467" s="560"/>
      <c r="C467" s="552" t="s">
        <v>314</v>
      </c>
      <c r="D467" s="524"/>
      <c r="E467" s="525"/>
      <c r="F467" s="525"/>
      <c r="G467" s="525"/>
      <c r="H467" s="525"/>
      <c r="I467" s="525"/>
      <c r="J467" s="525"/>
      <c r="K467" s="525">
        <v>9.75</v>
      </c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Y467" s="519"/>
      <c r="Z467" s="519"/>
    </row>
    <row r="468" spans="1:26" ht="15.75" hidden="1" customHeight="1">
      <c r="A468" s="570">
        <v>44900</v>
      </c>
      <c r="B468" s="560"/>
      <c r="C468" s="552" t="s">
        <v>207</v>
      </c>
      <c r="D468" s="524"/>
      <c r="E468" s="525"/>
      <c r="F468" s="525"/>
      <c r="G468" s="525"/>
      <c r="H468" s="525"/>
      <c r="I468" s="525"/>
      <c r="J468" s="525"/>
      <c r="K468" s="525"/>
      <c r="L468" s="525"/>
      <c r="M468" s="525">
        <v>24.47</v>
      </c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Y468" s="519"/>
      <c r="Z468" s="519"/>
    </row>
    <row r="469" spans="1:26" ht="15.75" hidden="1" customHeight="1">
      <c r="A469" s="570">
        <v>44900</v>
      </c>
      <c r="B469" s="560" t="s">
        <v>328</v>
      </c>
      <c r="C469" s="552" t="s">
        <v>326</v>
      </c>
      <c r="D469" s="524"/>
      <c r="E469" s="525"/>
      <c r="F469" s="525">
        <v>1349.9</v>
      </c>
      <c r="G469" s="525"/>
      <c r="H469" s="525"/>
      <c r="I469" s="525"/>
      <c r="J469" s="525"/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Y469" s="519"/>
      <c r="Z469" s="519"/>
    </row>
    <row r="470" spans="1:26" ht="15.75" hidden="1" customHeight="1">
      <c r="A470" s="570">
        <v>44901</v>
      </c>
      <c r="B470" s="560"/>
      <c r="C470" s="552" t="s">
        <v>174</v>
      </c>
      <c r="D470" s="524"/>
      <c r="E470" s="525"/>
      <c r="F470" s="525"/>
      <c r="G470" s="525"/>
      <c r="H470" s="525"/>
      <c r="I470" s="525"/>
      <c r="J470" s="525"/>
      <c r="K470" s="525">
        <v>11.68</v>
      </c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Y470" s="519"/>
      <c r="Z470" s="519"/>
    </row>
    <row r="471" spans="1:26" ht="15.75" hidden="1" customHeight="1">
      <c r="A471" s="570">
        <v>44901</v>
      </c>
      <c r="B471" s="560"/>
      <c r="C471" s="552" t="s">
        <v>174</v>
      </c>
      <c r="D471" s="524"/>
      <c r="E471" s="525"/>
      <c r="F471" s="525"/>
      <c r="G471" s="525"/>
      <c r="H471" s="525"/>
      <c r="I471" s="525"/>
      <c r="J471" s="525"/>
      <c r="K471" s="525">
        <v>11.68</v>
      </c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Y471" s="519"/>
      <c r="Z471" s="519"/>
    </row>
    <row r="472" spans="1:26" ht="15.75" hidden="1" customHeight="1">
      <c r="A472" s="570">
        <v>44901</v>
      </c>
      <c r="B472" s="560"/>
      <c r="C472" s="552" t="s">
        <v>174</v>
      </c>
      <c r="D472" s="524"/>
      <c r="E472" s="525"/>
      <c r="F472" s="525"/>
      <c r="G472" s="525"/>
      <c r="H472" s="525"/>
      <c r="I472" s="525"/>
      <c r="J472" s="525"/>
      <c r="K472" s="525">
        <v>11.68</v>
      </c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Y472" s="519"/>
      <c r="Z472" s="519"/>
    </row>
    <row r="473" spans="1:26" ht="15.75" hidden="1" customHeight="1">
      <c r="A473" s="570">
        <v>44902</v>
      </c>
      <c r="B473" s="560"/>
      <c r="C473" s="552" t="s">
        <v>207</v>
      </c>
      <c r="D473" s="524"/>
      <c r="E473" s="525"/>
      <c r="F473" s="525"/>
      <c r="G473" s="525"/>
      <c r="H473" s="525"/>
      <c r="I473" s="525"/>
      <c r="J473" s="525"/>
      <c r="K473" s="525"/>
      <c r="L473" s="525"/>
      <c r="M473" s="525">
        <v>45.86</v>
      </c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Y473" s="519"/>
      <c r="Z473" s="519"/>
    </row>
    <row r="474" spans="1:26" ht="15.75" hidden="1" customHeight="1">
      <c r="A474" s="570">
        <v>44902</v>
      </c>
      <c r="B474" s="560"/>
      <c r="C474" s="534" t="s">
        <v>331</v>
      </c>
      <c r="D474" s="524"/>
      <c r="E474" s="525">
        <v>300</v>
      </c>
      <c r="F474" s="525"/>
      <c r="G474" s="525"/>
      <c r="H474" s="525"/>
      <c r="I474" s="525"/>
      <c r="J474" s="525"/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Y474" s="519"/>
      <c r="Z474" s="519"/>
    </row>
    <row r="475" spans="1:26" ht="15.75" hidden="1" customHeight="1">
      <c r="A475" s="570">
        <v>44903</v>
      </c>
      <c r="B475" s="560"/>
      <c r="C475" s="552" t="s">
        <v>332</v>
      </c>
      <c r="D475" s="524"/>
      <c r="E475" s="525"/>
      <c r="F475" s="525"/>
      <c r="G475" s="525"/>
      <c r="H475" s="525"/>
      <c r="I475" s="525"/>
      <c r="J475" s="525"/>
      <c r="K475" s="525"/>
      <c r="L475" s="525"/>
      <c r="M475" s="525">
        <f>12*B427</f>
        <v>0</v>
      </c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Y475" s="519"/>
      <c r="Z475" s="519"/>
    </row>
    <row r="476" spans="1:26" ht="15.75" hidden="1" customHeight="1">
      <c r="A476" s="570">
        <v>44903</v>
      </c>
      <c r="B476" s="560"/>
      <c r="C476" s="552" t="s">
        <v>333</v>
      </c>
      <c r="D476" s="524"/>
      <c r="E476" s="525"/>
      <c r="F476" s="525"/>
      <c r="G476" s="525"/>
      <c r="H476" s="525"/>
      <c r="I476" s="525"/>
      <c r="J476" s="525"/>
      <c r="K476" s="525"/>
      <c r="L476" s="525"/>
      <c r="M476" s="525"/>
      <c r="N476" s="525"/>
      <c r="O476" s="525">
        <f>127.8*B427</f>
        <v>0</v>
      </c>
      <c r="P476" s="525"/>
      <c r="Q476" s="525"/>
      <c r="R476" s="525"/>
      <c r="S476" s="525"/>
      <c r="T476" s="525"/>
      <c r="U476" s="525"/>
      <c r="V476" s="525"/>
      <c r="W476" s="525"/>
      <c r="Y476" s="519"/>
      <c r="Z476" s="519"/>
    </row>
    <row r="477" spans="1:26" ht="15.75" hidden="1" customHeight="1">
      <c r="A477" s="570">
        <v>44907</v>
      </c>
      <c r="B477" s="560"/>
      <c r="C477" s="552" t="s">
        <v>174</v>
      </c>
      <c r="D477" s="524"/>
      <c r="E477" s="525"/>
      <c r="F477" s="525"/>
      <c r="G477" s="525"/>
      <c r="H477" s="525"/>
      <c r="I477" s="525"/>
      <c r="J477" s="525"/>
      <c r="K477" s="525">
        <v>11.68</v>
      </c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Y477" s="519"/>
      <c r="Z477" s="519"/>
    </row>
    <row r="478" spans="1:26" ht="15.75" hidden="1" customHeight="1">
      <c r="A478" s="570">
        <v>44907</v>
      </c>
      <c r="B478" s="560"/>
      <c r="C478" s="552" t="s">
        <v>174</v>
      </c>
      <c r="D478" s="524"/>
      <c r="E478" s="525"/>
      <c r="F478" s="525"/>
      <c r="G478" s="525"/>
      <c r="H478" s="525"/>
      <c r="I478" s="525"/>
      <c r="J478" s="525"/>
      <c r="K478" s="525">
        <v>11.68</v>
      </c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Y478" s="519"/>
      <c r="Z478" s="519"/>
    </row>
    <row r="479" spans="1:26" ht="15.75" hidden="1" customHeight="1">
      <c r="A479" s="570">
        <v>44907</v>
      </c>
      <c r="B479" s="560"/>
      <c r="C479" s="552" t="s">
        <v>174</v>
      </c>
      <c r="D479" s="524"/>
      <c r="E479" s="525"/>
      <c r="F479" s="525"/>
      <c r="G479" s="525"/>
      <c r="H479" s="525"/>
      <c r="I479" s="525"/>
      <c r="J479" s="525"/>
      <c r="K479" s="525">
        <v>11.68</v>
      </c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Y479" s="519"/>
      <c r="Z479" s="519"/>
    </row>
    <row r="480" spans="1:26" ht="15.75" hidden="1" customHeight="1">
      <c r="A480" s="570">
        <v>44907</v>
      </c>
      <c r="B480" s="560" t="s">
        <v>328</v>
      </c>
      <c r="C480" s="552" t="s">
        <v>326</v>
      </c>
      <c r="D480" s="524"/>
      <c r="E480" s="525"/>
      <c r="F480" s="525">
        <v>852</v>
      </c>
      <c r="G480" s="525"/>
      <c r="H480" s="525"/>
      <c r="I480" s="525"/>
      <c r="J480" s="525"/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Y480" s="519"/>
      <c r="Z480" s="519"/>
    </row>
    <row r="481" spans="1:26" ht="15.75" hidden="1" customHeight="1">
      <c r="A481" s="570">
        <v>44907</v>
      </c>
      <c r="B481" s="560"/>
      <c r="C481" s="552" t="s">
        <v>334</v>
      </c>
      <c r="D481" s="524"/>
      <c r="E481" s="525"/>
      <c r="F481" s="525"/>
      <c r="G481" s="525"/>
      <c r="H481" s="525"/>
      <c r="I481" s="525"/>
      <c r="J481" s="525"/>
      <c r="K481" s="525"/>
      <c r="L481" s="525"/>
      <c r="M481" s="525">
        <f>2.4*B431</f>
        <v>0</v>
      </c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Y481" s="519"/>
      <c r="Z481" s="519"/>
    </row>
    <row r="482" spans="1:26" ht="15.75" hidden="1" customHeight="1">
      <c r="A482" s="570">
        <v>44909</v>
      </c>
      <c r="B482" s="560"/>
      <c r="C482" s="552" t="s">
        <v>174</v>
      </c>
      <c r="D482" s="524"/>
      <c r="E482" s="525"/>
      <c r="F482" s="525"/>
      <c r="G482" s="525"/>
      <c r="H482" s="525"/>
      <c r="I482" s="525"/>
      <c r="J482" s="525"/>
      <c r="K482" s="525">
        <v>11.68</v>
      </c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Y482" s="519"/>
      <c r="Z482" s="519"/>
    </row>
    <row r="483" spans="1:26" ht="15.75" hidden="1" customHeight="1">
      <c r="A483" s="570">
        <v>44909</v>
      </c>
      <c r="B483" s="560"/>
      <c r="C483" s="552" t="s">
        <v>174</v>
      </c>
      <c r="D483" s="524"/>
      <c r="E483" s="525"/>
      <c r="F483" s="525"/>
      <c r="G483" s="525"/>
      <c r="H483" s="525"/>
      <c r="I483" s="525"/>
      <c r="J483" s="525"/>
      <c r="K483" s="525">
        <v>11.68</v>
      </c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Y483" s="519"/>
      <c r="Z483" s="519"/>
    </row>
    <row r="484" spans="1:26" ht="15.75" hidden="1" customHeight="1">
      <c r="A484" s="570">
        <v>44909</v>
      </c>
      <c r="B484" s="560"/>
      <c r="C484" s="552" t="s">
        <v>174</v>
      </c>
      <c r="D484" s="524"/>
      <c r="E484" s="525"/>
      <c r="F484" s="525"/>
      <c r="G484" s="525"/>
      <c r="H484" s="525"/>
      <c r="I484" s="525"/>
      <c r="J484" s="525"/>
      <c r="K484" s="525">
        <v>11.5</v>
      </c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Y484" s="519"/>
      <c r="Z484" s="519"/>
    </row>
    <row r="485" spans="1:26" ht="15.75" hidden="1" customHeight="1">
      <c r="A485" s="570">
        <v>44909</v>
      </c>
      <c r="B485" s="560"/>
      <c r="C485" s="552" t="s">
        <v>207</v>
      </c>
      <c r="D485" s="524"/>
      <c r="E485" s="525"/>
      <c r="F485" s="525"/>
      <c r="G485" s="525"/>
      <c r="H485" s="525"/>
      <c r="I485" s="525"/>
      <c r="J485" s="525"/>
      <c r="K485" s="525"/>
      <c r="L485" s="525"/>
      <c r="M485" s="525">
        <v>27.19</v>
      </c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Y485" s="519"/>
      <c r="Z485" s="519"/>
    </row>
    <row r="486" spans="1:26" ht="15.75" hidden="1" customHeight="1">
      <c r="A486" s="570">
        <v>44911</v>
      </c>
      <c r="B486" s="560"/>
      <c r="C486" s="552" t="s">
        <v>314</v>
      </c>
      <c r="D486" s="524"/>
      <c r="E486" s="525"/>
      <c r="F486" s="525"/>
      <c r="G486" s="525"/>
      <c r="H486" s="525"/>
      <c r="I486" s="525"/>
      <c r="J486" s="525"/>
      <c r="K486" s="525">
        <v>9.4600000000000009</v>
      </c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Y486" s="519"/>
      <c r="Z486" s="519"/>
    </row>
    <row r="487" spans="1:26" ht="15.75" hidden="1" customHeight="1">
      <c r="A487" s="570">
        <v>44911</v>
      </c>
      <c r="B487" s="560"/>
      <c r="C487" s="552" t="s">
        <v>335</v>
      </c>
      <c r="D487" s="524"/>
      <c r="E487" s="525"/>
      <c r="F487" s="525"/>
      <c r="G487" s="525"/>
      <c r="H487" s="525"/>
      <c r="I487" s="525"/>
      <c r="J487" s="525"/>
      <c r="K487" s="525"/>
      <c r="L487" s="525"/>
      <c r="M487" s="525">
        <v>81.3</v>
      </c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Y487" s="519"/>
      <c r="Z487" s="519"/>
    </row>
    <row r="488" spans="1:26" ht="15.75" hidden="1" customHeight="1">
      <c r="A488" s="570">
        <v>44914</v>
      </c>
      <c r="B488" s="560"/>
      <c r="C488" s="552" t="s">
        <v>174</v>
      </c>
      <c r="D488" s="524"/>
      <c r="E488" s="525"/>
      <c r="F488" s="525"/>
      <c r="G488" s="525"/>
      <c r="H488" s="525"/>
      <c r="I488" s="525"/>
      <c r="J488" s="525"/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Y488" s="519"/>
      <c r="Z488" s="519"/>
    </row>
    <row r="489" spans="1:26" ht="15.75" hidden="1" customHeight="1">
      <c r="A489" s="570">
        <v>44917</v>
      </c>
      <c r="B489" s="560"/>
      <c r="C489" s="552" t="s">
        <v>204</v>
      </c>
      <c r="D489" s="524">
        <v>650</v>
      </c>
      <c r="E489" s="525"/>
      <c r="F489" s="525"/>
      <c r="G489" s="525"/>
      <c r="H489" s="525"/>
      <c r="I489" s="525"/>
      <c r="J489" s="525"/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Y489" s="519"/>
      <c r="Z489" s="519"/>
    </row>
    <row r="490" spans="1:26" ht="15.75" hidden="1" customHeight="1">
      <c r="A490" s="570">
        <v>44923</v>
      </c>
      <c r="B490" s="560"/>
      <c r="C490" s="552" t="s">
        <v>302</v>
      </c>
      <c r="D490" s="524"/>
      <c r="E490" s="525"/>
      <c r="F490" s="525">
        <v>-209</v>
      </c>
      <c r="G490" s="525"/>
      <c r="H490" s="525"/>
      <c r="I490" s="525"/>
      <c r="J490" s="525"/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Y490" s="519"/>
      <c r="Z490" s="519"/>
    </row>
    <row r="491" spans="1:26" ht="15.75" hidden="1" customHeight="1">
      <c r="A491" s="570">
        <v>44924</v>
      </c>
      <c r="B491" s="560"/>
      <c r="C491" s="552" t="s">
        <v>314</v>
      </c>
      <c r="D491" s="524"/>
      <c r="E491" s="525"/>
      <c r="F491" s="525"/>
      <c r="G491" s="525"/>
      <c r="H491" s="525"/>
      <c r="I491" s="525"/>
      <c r="J491" s="525"/>
      <c r="K491" s="525">
        <v>9.5399999999999991</v>
      </c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Y491" s="519"/>
      <c r="Z491" s="519"/>
    </row>
    <row r="492" spans="1:26" ht="15.75" hidden="1" customHeight="1">
      <c r="A492" s="570">
        <v>44925</v>
      </c>
      <c r="B492" s="560"/>
      <c r="C492" s="552" t="s">
        <v>208</v>
      </c>
      <c r="D492" s="524"/>
      <c r="E492" s="525"/>
      <c r="F492" s="525"/>
      <c r="G492" s="525"/>
      <c r="H492" s="525"/>
      <c r="I492" s="525"/>
      <c r="J492" s="525"/>
      <c r="K492" s="525"/>
      <c r="L492" s="525"/>
      <c r="M492" s="525"/>
      <c r="N492" s="525"/>
      <c r="O492" s="525"/>
      <c r="P492" s="525"/>
      <c r="Q492" s="525"/>
      <c r="R492" s="525"/>
      <c r="S492" s="525">
        <v>5.03</v>
      </c>
      <c r="T492" s="525"/>
      <c r="U492" s="525"/>
      <c r="V492" s="525"/>
      <c r="W492" s="525"/>
      <c r="Y492" s="519"/>
      <c r="Z492" s="519"/>
    </row>
    <row r="493" spans="1:26" ht="15.75" hidden="1" customHeight="1">
      <c r="A493" s="570"/>
      <c r="B493" s="560"/>
      <c r="C493" s="552"/>
      <c r="D493" s="524"/>
      <c r="E493" s="525"/>
      <c r="F493" s="525"/>
      <c r="G493" s="525"/>
      <c r="H493" s="525"/>
      <c r="I493" s="525"/>
      <c r="J493" s="525"/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Y493" s="519"/>
      <c r="Z493" s="519"/>
    </row>
    <row r="494" spans="1:26" ht="15.75" hidden="1" customHeight="1">
      <c r="A494" s="570"/>
      <c r="B494" s="560"/>
      <c r="C494" s="597" t="s">
        <v>336</v>
      </c>
      <c r="D494" s="524">
        <v>7242</v>
      </c>
      <c r="E494" s="525"/>
      <c r="F494" s="525"/>
      <c r="G494" s="525"/>
      <c r="H494" s="525"/>
      <c r="I494" s="525"/>
      <c r="J494" s="525"/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Y494" s="519"/>
      <c r="Z494" s="519"/>
    </row>
    <row r="495" spans="1:26" ht="15.75" hidden="1" customHeight="1">
      <c r="A495" s="570"/>
      <c r="B495" s="560"/>
      <c r="C495" s="597" t="s">
        <v>337</v>
      </c>
      <c r="D495" s="524">
        <v>21948</v>
      </c>
      <c r="E495" s="525"/>
      <c r="F495" s="525"/>
      <c r="G495" s="525"/>
      <c r="H495" s="525"/>
      <c r="I495" s="525"/>
      <c r="J495" s="525"/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Y495" s="519"/>
      <c r="Z495" s="519"/>
    </row>
    <row r="496" spans="1:26" ht="15.75" hidden="1" customHeight="1">
      <c r="A496" s="570"/>
      <c r="B496" s="560"/>
      <c r="C496" s="597" t="s">
        <v>338</v>
      </c>
      <c r="D496" s="524">
        <v>26718</v>
      </c>
      <c r="E496" s="525"/>
      <c r="F496" s="525"/>
      <c r="G496" s="525"/>
      <c r="H496" s="525"/>
      <c r="I496" s="525"/>
      <c r="J496" s="525"/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Y496" s="519"/>
      <c r="Z496" s="519"/>
    </row>
    <row r="497" spans="1:40" ht="15.75" hidden="1" customHeight="1" thickBot="1">
      <c r="A497" s="570"/>
      <c r="B497" s="560"/>
      <c r="C497" s="552"/>
      <c r="D497" s="524"/>
      <c r="E497" s="525"/>
      <c r="F497" s="525"/>
      <c r="G497" s="525"/>
      <c r="H497" s="525"/>
      <c r="I497" s="525"/>
      <c r="J497" s="525"/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Y497" s="519"/>
      <c r="Z497" s="519"/>
    </row>
    <row r="498" spans="1:40" ht="28.5" hidden="1" customHeight="1" thickTop="1">
      <c r="A498" s="598"/>
      <c r="B498" s="599">
        <v>2023</v>
      </c>
      <c r="C498" s="600" t="s">
        <v>339</v>
      </c>
      <c r="D498" s="601"/>
      <c r="E498" s="602"/>
      <c r="F498" s="602"/>
      <c r="G498" s="602"/>
      <c r="H498" s="603"/>
      <c r="I498" s="603"/>
      <c r="J498" s="603">
        <f>Zusammenfassung!J11</f>
        <v>0.6</v>
      </c>
      <c r="K498" s="603">
        <f>Zusammenfassung!K11</f>
        <v>0.6</v>
      </c>
      <c r="L498" s="603">
        <f>Zusammenfassung!L11</f>
        <v>0.6</v>
      </c>
      <c r="M498" s="603">
        <f>Zusammenfassung!M11</f>
        <v>1</v>
      </c>
      <c r="N498" s="603">
        <f>Zusammenfassung!N11</f>
        <v>1</v>
      </c>
      <c r="O498" s="603">
        <f>Zusammenfassung!O11</f>
        <v>0</v>
      </c>
      <c r="P498" s="603">
        <f>Zusammenfassung!P11</f>
        <v>1</v>
      </c>
      <c r="Q498" s="603">
        <f>Zusammenfassung!Q11</f>
        <v>0.6</v>
      </c>
      <c r="R498" s="603">
        <f>Zusammenfassung!R11</f>
        <v>1</v>
      </c>
      <c r="S498" s="603">
        <f>Zusammenfassung!S11</f>
        <v>0.6</v>
      </c>
      <c r="T498" s="602"/>
      <c r="U498" s="602"/>
      <c r="V498" s="602"/>
      <c r="W498" s="602"/>
      <c r="X498" s="602"/>
      <c r="Y498" s="602"/>
      <c r="Z498" s="602"/>
      <c r="AA498" s="604"/>
      <c r="AB498" s="604"/>
      <c r="AC498" s="604"/>
      <c r="AD498" s="604"/>
      <c r="AE498" s="604"/>
      <c r="AF498" s="604"/>
      <c r="AG498" s="604"/>
      <c r="AH498" s="604"/>
      <c r="AI498" s="604"/>
      <c r="AJ498" s="604"/>
      <c r="AK498" s="604"/>
      <c r="AL498" s="604"/>
      <c r="AM498" s="604"/>
      <c r="AN498" s="604"/>
    </row>
    <row r="499" spans="1:40" ht="15.75" hidden="1" customHeight="1">
      <c r="A499" s="605">
        <v>44928</v>
      </c>
      <c r="B499" s="606"/>
      <c r="C499" s="607" t="s">
        <v>62</v>
      </c>
      <c r="D499" s="608"/>
      <c r="E499" s="518"/>
      <c r="F499" s="518"/>
      <c r="G499" s="518"/>
      <c r="H499" s="518"/>
      <c r="I499" s="518"/>
      <c r="J499" s="518"/>
      <c r="K499" s="518"/>
      <c r="L499" s="518"/>
      <c r="M499" s="518"/>
      <c r="N499" s="518"/>
      <c r="O499" s="518"/>
      <c r="P499" s="518"/>
      <c r="Q499" s="518"/>
      <c r="R499" s="518"/>
      <c r="S499" s="518"/>
      <c r="T499" s="518"/>
      <c r="U499" s="518"/>
      <c r="V499" s="518">
        <v>1036.55</v>
      </c>
      <c r="W499" s="518"/>
      <c r="X499" s="518"/>
      <c r="Y499" s="518"/>
      <c r="Z499" s="518"/>
      <c r="AA499" s="604"/>
      <c r="AB499" s="604"/>
      <c r="AC499" s="604"/>
      <c r="AD499" s="604"/>
      <c r="AE499" s="604"/>
      <c r="AF499" s="604"/>
      <c r="AG499" s="604"/>
      <c r="AH499" s="604"/>
      <c r="AI499" s="604"/>
      <c r="AJ499" s="604"/>
      <c r="AK499" s="604"/>
      <c r="AL499" s="604"/>
      <c r="AM499" s="604"/>
      <c r="AN499" s="604"/>
    </row>
    <row r="500" spans="1:40" ht="15.75" hidden="1" customHeight="1">
      <c r="A500" s="605">
        <v>44928</v>
      </c>
      <c r="B500" s="610">
        <f>'Conversion rates'!B16</f>
        <v>1.134625</v>
      </c>
      <c r="C500" s="611" t="s">
        <v>276</v>
      </c>
      <c r="D500" s="608"/>
      <c r="E500" s="518"/>
      <c r="F500" s="518"/>
      <c r="G500" s="608">
        <v>1</v>
      </c>
      <c r="H500" s="518"/>
      <c r="I500" s="518"/>
      <c r="J500" s="518"/>
      <c r="K500" s="518"/>
      <c r="L500" s="518"/>
      <c r="M500" s="518"/>
      <c r="N500" s="518"/>
      <c r="O500" s="518"/>
      <c r="P500" s="518"/>
      <c r="Q500" s="518"/>
      <c r="R500" s="518"/>
      <c r="S500" s="518"/>
      <c r="T500" s="518">
        <v>80</v>
      </c>
      <c r="U500" s="518"/>
      <c r="V500" s="518"/>
      <c r="W500" s="518"/>
      <c r="X500" s="518"/>
      <c r="Y500" s="518"/>
      <c r="Z500" s="518"/>
      <c r="AA500" s="604"/>
      <c r="AB500" s="604"/>
      <c r="AC500" s="604"/>
      <c r="AD500" s="604"/>
      <c r="AE500" s="604"/>
      <c r="AF500" s="604"/>
      <c r="AG500" s="604"/>
      <c r="AH500" s="604"/>
      <c r="AI500" s="604"/>
      <c r="AJ500" s="604"/>
      <c r="AK500" s="604"/>
      <c r="AL500" s="604"/>
      <c r="AM500" s="604"/>
      <c r="AN500" s="604"/>
    </row>
    <row r="501" spans="1:40" ht="17.25" hidden="1" customHeight="1">
      <c r="A501" s="605">
        <v>44928</v>
      </c>
      <c r="B501" s="612"/>
      <c r="C501" s="611" t="s">
        <v>63</v>
      </c>
      <c r="D501" s="608"/>
      <c r="E501" s="518"/>
      <c r="F501" s="518"/>
      <c r="G501" s="608"/>
      <c r="H501" s="518"/>
      <c r="I501" s="518"/>
      <c r="J501" s="518"/>
      <c r="K501" s="518"/>
      <c r="L501" s="518"/>
      <c r="M501" s="518"/>
      <c r="N501" s="518"/>
      <c r="O501" s="518"/>
      <c r="P501" s="518"/>
      <c r="Q501" s="518"/>
      <c r="R501" s="518"/>
      <c r="S501" s="518"/>
      <c r="T501" s="518">
        <v>283.77</v>
      </c>
      <c r="U501" s="518"/>
      <c r="V501" s="518"/>
      <c r="W501" s="518"/>
      <c r="X501" s="518"/>
      <c r="Y501" s="518"/>
      <c r="Z501" s="518"/>
      <c r="AA501" s="604"/>
      <c r="AB501" s="604"/>
      <c r="AC501" s="604"/>
      <c r="AD501" s="604"/>
      <c r="AE501" s="604"/>
      <c r="AF501" s="604"/>
      <c r="AG501" s="604"/>
      <c r="AH501" s="604"/>
      <c r="AI501" s="604"/>
      <c r="AJ501" s="604"/>
      <c r="AK501" s="604"/>
      <c r="AL501" s="604"/>
      <c r="AM501" s="604"/>
      <c r="AN501" s="604"/>
    </row>
    <row r="502" spans="1:40" ht="17.25" hidden="1" customHeight="1">
      <c r="A502" s="605">
        <v>44928</v>
      </c>
      <c r="B502" s="613"/>
      <c r="C502" s="611" t="s">
        <v>64</v>
      </c>
      <c r="D502" s="608"/>
      <c r="E502" s="518"/>
      <c r="F502" s="518"/>
      <c r="G502" s="608"/>
      <c r="H502" s="518"/>
      <c r="I502" s="518"/>
      <c r="J502" s="518"/>
      <c r="K502" s="518"/>
      <c r="L502" s="518"/>
      <c r="M502" s="518"/>
      <c r="N502" s="518"/>
      <c r="O502" s="518"/>
      <c r="P502" s="518"/>
      <c r="Q502" s="518"/>
      <c r="R502" s="518"/>
      <c r="S502" s="518"/>
      <c r="T502" s="518">
        <v>700</v>
      </c>
      <c r="U502" s="518"/>
      <c r="V502" s="518"/>
      <c r="W502" s="518"/>
      <c r="X502" s="518"/>
      <c r="Y502" s="518"/>
      <c r="Z502" s="518"/>
      <c r="AA502" s="604"/>
      <c r="AB502" s="604"/>
      <c r="AC502" s="604"/>
      <c r="AD502" s="604"/>
      <c r="AE502" s="604"/>
      <c r="AF502" s="604"/>
      <c r="AG502" s="604"/>
      <c r="AH502" s="604"/>
      <c r="AI502" s="604"/>
      <c r="AJ502" s="604"/>
      <c r="AK502" s="604"/>
      <c r="AL502" s="604"/>
      <c r="AM502" s="604"/>
      <c r="AN502" s="604"/>
    </row>
    <row r="503" spans="1:40" ht="17.25" hidden="1" customHeight="1">
      <c r="A503" s="605">
        <v>44929</v>
      </c>
      <c r="B503" s="613"/>
      <c r="C503" s="611" t="s">
        <v>65</v>
      </c>
      <c r="D503" s="608"/>
      <c r="E503" s="518"/>
      <c r="F503" s="518"/>
      <c r="G503" s="608"/>
      <c r="H503" s="518"/>
      <c r="I503" s="518"/>
      <c r="J503" s="518"/>
      <c r="K503" s="518"/>
      <c r="L503" s="518"/>
      <c r="M503" s="518"/>
      <c r="N503" s="518"/>
      <c r="O503" s="518"/>
      <c r="P503" s="518"/>
      <c r="Q503" s="518"/>
      <c r="R503" s="518"/>
      <c r="S503" s="518"/>
      <c r="T503" s="518">
        <v>18</v>
      </c>
      <c r="U503" s="518"/>
      <c r="V503" s="518"/>
      <c r="W503" s="518"/>
      <c r="X503" s="518"/>
      <c r="Y503" s="518"/>
      <c r="Z503" s="518"/>
      <c r="AA503" s="604"/>
      <c r="AB503" s="604"/>
      <c r="AC503" s="604"/>
      <c r="AD503" s="604"/>
      <c r="AE503" s="604"/>
      <c r="AF503" s="604"/>
      <c r="AG503" s="604"/>
      <c r="AH503" s="604"/>
      <c r="AI503" s="604"/>
      <c r="AJ503" s="604"/>
      <c r="AK503" s="604"/>
      <c r="AL503" s="604"/>
      <c r="AM503" s="604"/>
      <c r="AN503" s="604"/>
    </row>
    <row r="504" spans="1:40" ht="15.75" hidden="1" customHeight="1">
      <c r="A504" s="605">
        <v>44929</v>
      </c>
      <c r="B504" s="613"/>
      <c r="C504" s="614" t="s">
        <v>167</v>
      </c>
      <c r="D504" s="608"/>
      <c r="E504" s="518"/>
      <c r="F504" s="518"/>
      <c r="G504" s="608"/>
      <c r="H504" s="518"/>
      <c r="I504" s="518"/>
      <c r="J504" s="518"/>
      <c r="K504" s="518"/>
      <c r="L504" s="518"/>
      <c r="M504" s="518"/>
      <c r="N504" s="518"/>
      <c r="O504" s="518"/>
      <c r="P504" s="518"/>
      <c r="Q504" s="518"/>
      <c r="R504" s="518"/>
      <c r="S504" s="518">
        <v>9.16</v>
      </c>
      <c r="T504" s="518"/>
      <c r="U504" s="518"/>
      <c r="V504" s="518"/>
      <c r="W504" s="518"/>
      <c r="X504" s="518"/>
      <c r="Y504" s="518"/>
      <c r="Z504" s="518"/>
      <c r="AA504" s="604"/>
      <c r="AB504" s="604"/>
      <c r="AC504" s="604"/>
      <c r="AD504" s="604"/>
      <c r="AE504" s="604"/>
      <c r="AF504" s="604"/>
      <c r="AG504" s="604"/>
      <c r="AH504" s="604"/>
      <c r="AI504" s="604"/>
      <c r="AJ504" s="604"/>
      <c r="AK504" s="604"/>
      <c r="AL504" s="604"/>
      <c r="AM504" s="604"/>
      <c r="AN504" s="604"/>
    </row>
    <row r="505" spans="1:40" ht="15.75" hidden="1" customHeight="1">
      <c r="A505" s="605">
        <v>44930</v>
      </c>
      <c r="B505" s="615"/>
      <c r="C505" s="611" t="s">
        <v>320</v>
      </c>
      <c r="D505" s="608"/>
      <c r="E505" s="518"/>
      <c r="F505" s="518"/>
      <c r="G505" s="608"/>
      <c r="H505" s="518"/>
      <c r="I505" s="518"/>
      <c r="J505" s="518"/>
      <c r="K505" s="518">
        <v>9.56</v>
      </c>
      <c r="L505" s="518"/>
      <c r="M505" s="518"/>
      <c r="N505" s="518"/>
      <c r="O505" s="518"/>
      <c r="P505" s="518"/>
      <c r="Q505" s="518"/>
      <c r="R505" s="518"/>
      <c r="S505" s="518"/>
      <c r="T505" s="518"/>
      <c r="U505" s="518"/>
      <c r="V505" s="518"/>
      <c r="W505" s="518"/>
      <c r="X505" s="518"/>
      <c r="Y505" s="518"/>
      <c r="Z505" s="518"/>
      <c r="AA505" s="604"/>
      <c r="AB505" s="604"/>
      <c r="AC505" s="604"/>
      <c r="AD505" s="604"/>
      <c r="AE505" s="604"/>
      <c r="AF505" s="604"/>
      <c r="AG505" s="604"/>
      <c r="AH505" s="604"/>
      <c r="AI505" s="604"/>
      <c r="AJ505" s="604"/>
      <c r="AK505" s="604"/>
      <c r="AL505" s="604"/>
      <c r="AM505" s="604"/>
      <c r="AN505" s="604"/>
    </row>
    <row r="506" spans="1:40" ht="15.75" hidden="1" customHeight="1">
      <c r="A506" s="605">
        <v>44935</v>
      </c>
      <c r="B506" s="612" t="s">
        <v>310</v>
      </c>
      <c r="C506" s="614" t="s">
        <v>340</v>
      </c>
      <c r="D506" s="608"/>
      <c r="E506" s="518"/>
      <c r="F506" s="518"/>
      <c r="G506" s="608"/>
      <c r="H506" s="518"/>
      <c r="I506" s="518"/>
      <c r="J506" s="518"/>
      <c r="K506" s="518"/>
      <c r="L506" s="518"/>
      <c r="M506" s="616"/>
      <c r="N506" s="518">
        <f>800*B500</f>
        <v>907.7</v>
      </c>
      <c r="O506" s="518"/>
      <c r="P506" s="518"/>
      <c r="Q506" s="518"/>
      <c r="R506" s="518"/>
      <c r="S506" s="518"/>
      <c r="T506" s="518"/>
      <c r="U506" s="518"/>
      <c r="V506" s="518"/>
      <c r="W506" s="518"/>
      <c r="X506" s="518"/>
      <c r="Y506" s="518"/>
      <c r="Z506" s="518"/>
      <c r="AA506" s="604"/>
      <c r="AB506" s="604"/>
      <c r="AC506" s="604"/>
      <c r="AD506" s="604"/>
      <c r="AE506" s="604"/>
      <c r="AF506" s="604"/>
      <c r="AG506" s="604"/>
      <c r="AH506" s="604"/>
      <c r="AI506" s="604"/>
      <c r="AJ506" s="604"/>
      <c r="AK506" s="604"/>
      <c r="AL506" s="604"/>
      <c r="AM506" s="604"/>
      <c r="AN506" s="604"/>
    </row>
    <row r="507" spans="1:40" ht="15.75" hidden="1" customHeight="1">
      <c r="A507" s="605">
        <v>44942</v>
      </c>
      <c r="B507" s="613"/>
      <c r="C507" s="611" t="s">
        <v>168</v>
      </c>
      <c r="D507" s="608"/>
      <c r="E507" s="518"/>
      <c r="F507" s="518"/>
      <c r="G507" s="608"/>
      <c r="H507" s="518"/>
      <c r="I507" s="518"/>
      <c r="J507" s="518"/>
      <c r="K507" s="518"/>
      <c r="L507" s="518"/>
      <c r="M507" s="518"/>
      <c r="N507" s="518"/>
      <c r="O507" s="518"/>
      <c r="P507" s="518"/>
      <c r="Q507" s="518"/>
      <c r="R507" s="518"/>
      <c r="S507" s="518"/>
      <c r="T507" s="518">
        <v>1608.68</v>
      </c>
      <c r="U507" s="518"/>
      <c r="V507" s="518"/>
      <c r="W507" s="518"/>
      <c r="X507" s="518"/>
      <c r="Y507" s="518"/>
      <c r="Z507" s="518"/>
      <c r="AA507" s="604"/>
      <c r="AB507" s="604"/>
      <c r="AC507" s="604"/>
      <c r="AD507" s="604"/>
      <c r="AE507" s="604"/>
      <c r="AF507" s="604"/>
      <c r="AG507" s="604"/>
      <c r="AH507" s="604"/>
      <c r="AI507" s="604"/>
      <c r="AJ507" s="604"/>
      <c r="AK507" s="604"/>
      <c r="AL507" s="604"/>
      <c r="AM507" s="604"/>
      <c r="AN507" s="604"/>
    </row>
    <row r="508" spans="1:40" ht="15.75" hidden="1" customHeight="1">
      <c r="A508" s="605">
        <v>44942</v>
      </c>
      <c r="B508" s="615"/>
      <c r="C508" s="611" t="s">
        <v>341</v>
      </c>
      <c r="D508" s="608"/>
      <c r="E508" s="518"/>
      <c r="F508" s="518"/>
      <c r="G508" s="608"/>
      <c r="H508" s="518">
        <v>823.78</v>
      </c>
      <c r="I508" s="518"/>
      <c r="J508" s="518"/>
      <c r="K508" s="518"/>
      <c r="L508" s="518"/>
      <c r="M508" s="518"/>
      <c r="N508" s="518"/>
      <c r="O508" s="518"/>
      <c r="P508" s="518"/>
      <c r="Q508" s="518"/>
      <c r="R508" s="518"/>
      <c r="S508" s="518"/>
      <c r="T508" s="518"/>
      <c r="U508" s="518"/>
      <c r="V508" s="518"/>
      <c r="W508" s="518"/>
      <c r="X508" s="518"/>
      <c r="Y508" s="518"/>
      <c r="Z508" s="518"/>
      <c r="AA508" s="604"/>
      <c r="AB508" s="604"/>
      <c r="AC508" s="604"/>
      <c r="AD508" s="604"/>
      <c r="AE508" s="604"/>
      <c r="AF508" s="604"/>
      <c r="AG508" s="604"/>
      <c r="AH508" s="604"/>
      <c r="AI508" s="604"/>
      <c r="AJ508" s="604"/>
      <c r="AK508" s="604"/>
      <c r="AL508" s="604"/>
      <c r="AM508" s="604"/>
      <c r="AN508" s="604"/>
    </row>
    <row r="509" spans="1:40" ht="15.75" hidden="1" customHeight="1">
      <c r="A509" s="605">
        <v>44943</v>
      </c>
      <c r="B509" s="613"/>
      <c r="C509" s="611" t="s">
        <v>111</v>
      </c>
      <c r="D509" s="608"/>
      <c r="E509" s="518"/>
      <c r="F509" s="518"/>
      <c r="G509" s="608"/>
      <c r="H509" s="518"/>
      <c r="I509" s="518"/>
      <c r="J509" s="616"/>
      <c r="K509" s="518">
        <v>29.99</v>
      </c>
      <c r="L509" s="518"/>
      <c r="M509" s="518"/>
      <c r="N509" s="518"/>
      <c r="O509" s="518"/>
      <c r="P509" s="518"/>
      <c r="Q509" s="518"/>
      <c r="R509" s="518"/>
      <c r="S509" s="518"/>
      <c r="T509" s="518"/>
      <c r="U509" s="518"/>
      <c r="V509" s="518"/>
      <c r="W509" s="518"/>
      <c r="X509" s="518"/>
      <c r="Y509" s="518"/>
      <c r="Z509" s="518"/>
      <c r="AA509" s="604"/>
      <c r="AB509" s="604"/>
      <c r="AC509" s="604"/>
      <c r="AD509" s="604"/>
      <c r="AE509" s="604"/>
      <c r="AF509" s="604"/>
      <c r="AG509" s="604"/>
      <c r="AH509" s="604"/>
      <c r="AI509" s="604"/>
      <c r="AJ509" s="604"/>
      <c r="AK509" s="604"/>
      <c r="AL509" s="604"/>
      <c r="AM509" s="604"/>
      <c r="AN509" s="604"/>
    </row>
    <row r="510" spans="1:40" ht="15.75" hidden="1" customHeight="1">
      <c r="A510" s="605">
        <v>44944</v>
      </c>
      <c r="B510" s="612"/>
      <c r="C510" s="611" t="s">
        <v>320</v>
      </c>
      <c r="D510" s="608"/>
      <c r="E510" s="518"/>
      <c r="F510" s="518"/>
      <c r="G510" s="608"/>
      <c r="H510" s="518"/>
      <c r="I510" s="518"/>
      <c r="J510" s="518"/>
      <c r="K510" s="518">
        <v>24.98</v>
      </c>
      <c r="L510" s="518"/>
      <c r="M510" s="518"/>
      <c r="N510" s="518"/>
      <c r="O510" s="518"/>
      <c r="P510" s="518"/>
      <c r="Q510" s="518"/>
      <c r="R510" s="518"/>
      <c r="S510" s="518"/>
      <c r="T510" s="518"/>
      <c r="U510" s="518"/>
      <c r="V510" s="518"/>
      <c r="W510" s="518"/>
      <c r="X510" s="518"/>
      <c r="Y510" s="518"/>
      <c r="Z510" s="518"/>
      <c r="AA510" s="604"/>
      <c r="AB510" s="604"/>
      <c r="AC510" s="604"/>
      <c r="AD510" s="604"/>
      <c r="AE510" s="604"/>
      <c r="AF510" s="604"/>
      <c r="AG510" s="604"/>
      <c r="AH510" s="604"/>
      <c r="AI510" s="604"/>
      <c r="AJ510" s="604"/>
      <c r="AK510" s="604"/>
      <c r="AL510" s="604"/>
      <c r="AM510" s="604"/>
      <c r="AN510" s="604"/>
    </row>
    <row r="511" spans="1:40" ht="15.75" hidden="1" customHeight="1">
      <c r="A511" s="605">
        <v>44948</v>
      </c>
      <c r="B511" s="615"/>
      <c r="C511" s="611" t="s">
        <v>320</v>
      </c>
      <c r="D511" s="608"/>
      <c r="E511" s="518"/>
      <c r="F511" s="518"/>
      <c r="G511" s="608"/>
      <c r="H511" s="518"/>
      <c r="I511" s="518"/>
      <c r="J511" s="518"/>
      <c r="K511" s="518">
        <v>9.39</v>
      </c>
      <c r="L511" s="518"/>
      <c r="M511" s="518"/>
      <c r="N511" s="518"/>
      <c r="O511" s="518"/>
      <c r="P511" s="518"/>
      <c r="Q511" s="518"/>
      <c r="R511" s="518"/>
      <c r="S511" s="518"/>
      <c r="T511" s="518"/>
      <c r="U511" s="518"/>
      <c r="V511" s="518"/>
      <c r="W511" s="518"/>
      <c r="X511" s="518"/>
      <c r="Y511" s="518"/>
      <c r="Z511" s="518"/>
      <c r="AA511" s="604"/>
      <c r="AB511" s="604"/>
      <c r="AC511" s="604"/>
      <c r="AD511" s="604"/>
      <c r="AE511" s="604"/>
      <c r="AF511" s="604"/>
      <c r="AG511" s="604"/>
      <c r="AH511" s="604"/>
      <c r="AI511" s="604"/>
      <c r="AJ511" s="604"/>
      <c r="AK511" s="604"/>
      <c r="AL511" s="604"/>
      <c r="AM511" s="604"/>
      <c r="AN511" s="604"/>
    </row>
    <row r="512" spans="1:40" ht="15.75" hidden="1" customHeight="1">
      <c r="A512" s="605">
        <v>44949</v>
      </c>
      <c r="B512" s="613"/>
      <c r="C512" s="611" t="s">
        <v>78</v>
      </c>
      <c r="D512" s="608"/>
      <c r="E512" s="518"/>
      <c r="F512" s="518"/>
      <c r="G512" s="608"/>
      <c r="H512" s="518"/>
      <c r="I512" s="518"/>
      <c r="J512" s="518">
        <v>20.21</v>
      </c>
      <c r="K512" s="518"/>
      <c r="L512" s="518"/>
      <c r="M512" s="518"/>
      <c r="N512" s="518"/>
      <c r="O512" s="518"/>
      <c r="P512" s="518"/>
      <c r="Q512" s="518"/>
      <c r="R512" s="518"/>
      <c r="S512" s="518"/>
      <c r="T512" s="518"/>
      <c r="U512" s="518"/>
      <c r="V512" s="518"/>
      <c r="W512" s="518"/>
      <c r="X512" s="518"/>
      <c r="Y512" s="518"/>
      <c r="Z512" s="518"/>
      <c r="AA512" s="604"/>
      <c r="AB512" s="604"/>
      <c r="AC512" s="604"/>
      <c r="AD512" s="604"/>
      <c r="AE512" s="604"/>
      <c r="AF512" s="604"/>
      <c r="AG512" s="604"/>
      <c r="AH512" s="604"/>
      <c r="AI512" s="604"/>
      <c r="AJ512" s="604"/>
      <c r="AK512" s="604"/>
      <c r="AL512" s="604"/>
      <c r="AM512" s="604"/>
      <c r="AN512" s="604"/>
    </row>
    <row r="513" spans="1:40" ht="15.75" hidden="1" customHeight="1">
      <c r="A513" s="605">
        <v>44949</v>
      </c>
      <c r="B513" s="612"/>
      <c r="C513" s="611" t="s">
        <v>64</v>
      </c>
      <c r="D513" s="608"/>
      <c r="E513" s="518"/>
      <c r="F513" s="518"/>
      <c r="G513" s="608"/>
      <c r="H513" s="518"/>
      <c r="I513" s="518"/>
      <c r="J513" s="518"/>
      <c r="K513" s="518"/>
      <c r="L513" s="518"/>
      <c r="M513" s="616"/>
      <c r="N513" s="518"/>
      <c r="O513" s="518"/>
      <c r="P513" s="518"/>
      <c r="Q513" s="518"/>
      <c r="R513" s="518"/>
      <c r="S513" s="518"/>
      <c r="T513" s="518">
        <v>500</v>
      </c>
      <c r="U513" s="518"/>
      <c r="V513" s="518"/>
      <c r="W513" s="518"/>
      <c r="X513" s="518"/>
      <c r="Y513" s="518"/>
      <c r="Z513" s="518"/>
      <c r="AA513" s="604"/>
      <c r="AB513" s="604"/>
      <c r="AC513" s="604"/>
      <c r="AD513" s="604"/>
      <c r="AE513" s="604"/>
      <c r="AF513" s="604"/>
      <c r="AG513" s="604"/>
      <c r="AH513" s="604"/>
      <c r="AI513" s="604"/>
      <c r="AJ513" s="604"/>
      <c r="AK513" s="604"/>
      <c r="AL513" s="604"/>
      <c r="AM513" s="604"/>
      <c r="AN513" s="604"/>
    </row>
    <row r="514" spans="1:40" ht="15.75" hidden="1" customHeight="1">
      <c r="A514" s="605">
        <v>44949</v>
      </c>
      <c r="B514" s="612"/>
      <c r="C514" s="611" t="s">
        <v>320</v>
      </c>
      <c r="D514" s="608"/>
      <c r="E514" s="518"/>
      <c r="F514" s="518"/>
      <c r="G514" s="608"/>
      <c r="H514" s="518"/>
      <c r="I514" s="518"/>
      <c r="J514" s="518"/>
      <c r="K514" s="518">
        <v>9.39</v>
      </c>
      <c r="L514" s="518"/>
      <c r="M514" s="518"/>
      <c r="N514" s="518"/>
      <c r="O514" s="518"/>
      <c r="P514" s="518"/>
      <c r="Q514" s="518"/>
      <c r="R514" s="518"/>
      <c r="S514" s="518"/>
      <c r="T514" s="518"/>
      <c r="U514" s="518"/>
      <c r="V514" s="518"/>
      <c r="W514" s="518"/>
      <c r="X514" s="518"/>
      <c r="Y514" s="518"/>
      <c r="Z514" s="518"/>
      <c r="AA514" s="604"/>
      <c r="AB514" s="604"/>
      <c r="AC514" s="604"/>
      <c r="AD514" s="604"/>
      <c r="AE514" s="604"/>
      <c r="AF514" s="604"/>
      <c r="AG514" s="604"/>
      <c r="AH514" s="604"/>
      <c r="AI514" s="604"/>
      <c r="AJ514" s="604"/>
      <c r="AK514" s="604"/>
      <c r="AL514" s="604"/>
      <c r="AM514" s="604"/>
      <c r="AN514" s="604"/>
    </row>
    <row r="515" spans="1:40" ht="15.75" hidden="1" customHeight="1">
      <c r="A515" s="605">
        <v>44956</v>
      </c>
      <c r="B515" s="612"/>
      <c r="C515" s="611" t="s">
        <v>320</v>
      </c>
      <c r="D515" s="608"/>
      <c r="E515" s="518"/>
      <c r="F515" s="518"/>
      <c r="G515" s="608"/>
      <c r="H515" s="518"/>
      <c r="I515" s="518"/>
      <c r="J515" s="518"/>
      <c r="K515" s="518">
        <v>9.26</v>
      </c>
      <c r="L515" s="518"/>
      <c r="M515" s="518"/>
      <c r="N515" s="518"/>
      <c r="O515" s="518"/>
      <c r="P515" s="518"/>
      <c r="Q515" s="518"/>
      <c r="R515" s="518"/>
      <c r="S515" s="518"/>
      <c r="T515" s="518"/>
      <c r="U515" s="518"/>
      <c r="V515" s="518"/>
      <c r="W515" s="518"/>
      <c r="X515" s="518"/>
      <c r="Y515" s="518"/>
      <c r="Z515" s="518"/>
      <c r="AA515" s="604"/>
      <c r="AB515" s="604"/>
      <c r="AC515" s="604"/>
      <c r="AD515" s="604"/>
      <c r="AE515" s="604"/>
      <c r="AF515" s="604"/>
      <c r="AG515" s="604"/>
      <c r="AH515" s="604"/>
      <c r="AI515" s="604"/>
      <c r="AJ515" s="604"/>
      <c r="AK515" s="604"/>
      <c r="AL515" s="604"/>
      <c r="AM515" s="604"/>
      <c r="AN515" s="604"/>
    </row>
    <row r="516" spans="1:40" ht="15.75" hidden="1" customHeight="1">
      <c r="A516" s="605">
        <v>44957</v>
      </c>
      <c r="B516" s="612"/>
      <c r="C516" s="614" t="s">
        <v>260</v>
      </c>
      <c r="D516" s="608"/>
      <c r="E516" s="518">
        <v>580.05999999999995</v>
      </c>
      <c r="F516" s="518"/>
      <c r="G516" s="608"/>
      <c r="H516" s="518"/>
      <c r="I516" s="518"/>
      <c r="J516" s="518"/>
      <c r="K516" s="518"/>
      <c r="L516" s="518"/>
      <c r="M516" s="518"/>
      <c r="N516" s="518"/>
      <c r="O516" s="518"/>
      <c r="P516" s="518"/>
      <c r="Q516" s="518"/>
      <c r="R516" s="518"/>
      <c r="S516" s="518"/>
      <c r="T516" s="518"/>
      <c r="U516" s="518"/>
      <c r="V516" s="518"/>
      <c r="W516" s="518"/>
      <c r="X516" s="518"/>
      <c r="Y516" s="518"/>
      <c r="Z516" s="518"/>
      <c r="AA516" s="604"/>
      <c r="AB516" s="604"/>
      <c r="AC516" s="604"/>
      <c r="AD516" s="604"/>
      <c r="AE516" s="604"/>
      <c r="AF516" s="604"/>
      <c r="AG516" s="604"/>
      <c r="AH516" s="604"/>
      <c r="AI516" s="604"/>
      <c r="AJ516" s="604"/>
      <c r="AK516" s="604"/>
      <c r="AL516" s="604"/>
      <c r="AM516" s="604"/>
      <c r="AN516" s="604"/>
    </row>
    <row r="517" spans="1:40" ht="15.75" hidden="1" customHeight="1">
      <c r="A517" s="605">
        <v>44957</v>
      </c>
      <c r="B517" s="615"/>
      <c r="C517" s="611" t="s">
        <v>342</v>
      </c>
      <c r="D517" s="608"/>
      <c r="E517" s="518"/>
      <c r="F517" s="518"/>
      <c r="G517" s="608"/>
      <c r="H517" s="518"/>
      <c r="I517" s="518"/>
      <c r="J517" s="616"/>
      <c r="K517" s="518">
        <v>113.52</v>
      </c>
      <c r="L517" s="518"/>
      <c r="M517" s="518"/>
      <c r="N517" s="518"/>
      <c r="O517" s="518"/>
      <c r="P517" s="518"/>
      <c r="Q517" s="518"/>
      <c r="R517" s="518"/>
      <c r="S517" s="518"/>
      <c r="T517" s="518"/>
      <c r="U517" s="518"/>
      <c r="V517" s="518"/>
      <c r="W517" s="518"/>
      <c r="X517" s="518"/>
      <c r="Y517" s="518"/>
      <c r="Z517" s="518"/>
      <c r="AA517" s="604"/>
      <c r="AB517" s="604"/>
      <c r="AC517" s="604"/>
      <c r="AD517" s="604"/>
      <c r="AE517" s="604"/>
      <c r="AF517" s="604"/>
      <c r="AG517" s="604"/>
      <c r="AH517" s="604"/>
      <c r="AI517" s="604"/>
      <c r="AJ517" s="604"/>
      <c r="AK517" s="604"/>
      <c r="AL517" s="604"/>
      <c r="AM517" s="604"/>
      <c r="AN517" s="604"/>
    </row>
    <row r="518" spans="1:40" ht="15.75" hidden="1" customHeight="1">
      <c r="A518" s="617" t="s">
        <v>343</v>
      </c>
      <c r="B518" s="618"/>
      <c r="C518" s="611" t="s">
        <v>344</v>
      </c>
      <c r="D518" s="608"/>
      <c r="E518" s="518"/>
      <c r="F518" s="518"/>
      <c r="G518" s="608"/>
      <c r="H518" s="518"/>
      <c r="I518" s="518"/>
      <c r="J518" s="616"/>
      <c r="K518" s="518"/>
      <c r="L518" s="518"/>
      <c r="M518" s="518"/>
      <c r="N518" s="518"/>
      <c r="O518" s="518"/>
      <c r="P518" s="518"/>
      <c r="Q518" s="518"/>
      <c r="R518" s="518"/>
      <c r="S518" s="518">
        <v>6.74</v>
      </c>
      <c r="T518" s="518"/>
      <c r="U518" s="518"/>
      <c r="V518" s="518"/>
      <c r="W518" s="518"/>
      <c r="X518" s="518"/>
      <c r="Y518" s="518"/>
      <c r="Z518" s="518"/>
      <c r="AA518" s="604"/>
      <c r="AB518" s="604"/>
      <c r="AC518" s="604"/>
      <c r="AD518" s="604"/>
      <c r="AE518" s="604"/>
      <c r="AF518" s="604"/>
      <c r="AG518" s="604"/>
      <c r="AH518" s="604"/>
      <c r="AI518" s="604"/>
      <c r="AJ518" s="604"/>
      <c r="AK518" s="604"/>
      <c r="AL518" s="604"/>
      <c r="AM518" s="604"/>
      <c r="AN518" s="604"/>
    </row>
    <row r="519" spans="1:40" ht="15.75" hidden="1" customHeight="1">
      <c r="A519" s="619"/>
      <c r="B519" s="620"/>
      <c r="C519" s="621"/>
      <c r="D519" s="622"/>
      <c r="E519" s="623"/>
      <c r="F519" s="623"/>
      <c r="G519" s="623"/>
      <c r="H519" s="623"/>
      <c r="I519" s="623"/>
      <c r="J519" s="623"/>
      <c r="K519" s="623"/>
      <c r="L519" s="623"/>
      <c r="M519" s="623"/>
      <c r="N519" s="623"/>
      <c r="O519" s="623"/>
      <c r="P519" s="623"/>
      <c r="Q519" s="623"/>
      <c r="R519" s="623"/>
      <c r="S519" s="623"/>
      <c r="T519" s="623"/>
      <c r="U519" s="623"/>
      <c r="V519" s="623"/>
      <c r="W519" s="623"/>
      <c r="X519" s="623"/>
      <c r="Y519" s="623"/>
      <c r="Z519" s="623"/>
      <c r="AA519" s="604"/>
      <c r="AB519" s="604"/>
      <c r="AC519" s="604"/>
      <c r="AD519" s="604"/>
      <c r="AE519" s="604"/>
      <c r="AF519" s="604"/>
      <c r="AG519" s="604"/>
      <c r="AH519" s="604"/>
      <c r="AI519" s="604"/>
      <c r="AJ519" s="604"/>
      <c r="AK519" s="604"/>
      <c r="AL519" s="604"/>
      <c r="AM519" s="604"/>
      <c r="AN519" s="604"/>
    </row>
    <row r="520" spans="1:40" ht="15.75" hidden="1" customHeight="1">
      <c r="A520" s="605">
        <v>44931</v>
      </c>
      <c r="B520" s="616"/>
      <c r="C520" s="616" t="s">
        <v>177</v>
      </c>
      <c r="D520" s="616"/>
      <c r="E520" s="616"/>
      <c r="F520" s="616"/>
      <c r="G520" s="608"/>
      <c r="H520" s="616"/>
      <c r="I520" s="616"/>
      <c r="J520" s="616"/>
      <c r="K520" s="616"/>
      <c r="L520" s="518">
        <v>152.08000000000001</v>
      </c>
      <c r="M520" s="518"/>
      <c r="N520" s="518"/>
      <c r="O520" s="518"/>
      <c r="P520" s="518"/>
      <c r="Q520" s="518"/>
      <c r="R520" s="518"/>
      <c r="S520" s="518"/>
      <c r="T520" s="518"/>
      <c r="U520" s="518"/>
      <c r="V520" s="518"/>
      <c r="W520" s="518"/>
      <c r="X520" s="518"/>
      <c r="Y520" s="518"/>
      <c r="Z520" s="518"/>
      <c r="AA520" s="604"/>
      <c r="AB520" s="604"/>
      <c r="AC520" s="604"/>
      <c r="AD520" s="604"/>
      <c r="AE520" s="604"/>
      <c r="AF520" s="604"/>
      <c r="AG520" s="604"/>
      <c r="AH520" s="604"/>
      <c r="AI520" s="604"/>
      <c r="AJ520" s="604"/>
      <c r="AK520" s="604"/>
      <c r="AL520" s="604"/>
      <c r="AM520" s="604"/>
      <c r="AN520" s="604"/>
    </row>
    <row r="521" spans="1:40" ht="15.75" hidden="1" customHeight="1">
      <c r="A521" s="605">
        <v>44932</v>
      </c>
      <c r="B521" s="596" t="s">
        <v>345</v>
      </c>
      <c r="C521" s="624" t="s">
        <v>346</v>
      </c>
      <c r="D521" s="608">
        <v>5305.16</v>
      </c>
      <c r="E521" s="518"/>
      <c r="F521" s="518"/>
      <c r="G521" s="608"/>
      <c r="H521" s="518"/>
      <c r="I521" s="518"/>
      <c r="J521" s="518"/>
      <c r="K521" s="518"/>
      <c r="L521" s="518"/>
      <c r="M521" s="518"/>
      <c r="N521" s="518"/>
      <c r="O521" s="518"/>
      <c r="P521" s="518"/>
      <c r="Q521" s="518"/>
      <c r="R521" s="518"/>
      <c r="S521" s="518"/>
      <c r="T521" s="518"/>
      <c r="U521" s="518"/>
      <c r="V521" s="518"/>
      <c r="W521" s="518"/>
      <c r="X521" s="518"/>
      <c r="Y521" s="518"/>
      <c r="Z521" s="518"/>
      <c r="AA521" s="604"/>
      <c r="AB521" s="604"/>
      <c r="AC521" s="604"/>
      <c r="AD521" s="604"/>
      <c r="AE521" s="604"/>
      <c r="AF521" s="604"/>
      <c r="AG521" s="604"/>
      <c r="AH521" s="604"/>
      <c r="AI521" s="604"/>
      <c r="AJ521" s="604"/>
      <c r="AK521" s="604"/>
      <c r="AL521" s="604"/>
      <c r="AM521" s="604"/>
      <c r="AN521" s="604"/>
    </row>
    <row r="522" spans="1:40" ht="15.75" hidden="1" customHeight="1">
      <c r="A522" s="605">
        <v>44942</v>
      </c>
      <c r="B522" s="596"/>
      <c r="C522" s="624" t="s">
        <v>347</v>
      </c>
      <c r="D522" s="608"/>
      <c r="E522" s="518"/>
      <c r="F522" s="518"/>
      <c r="G522" s="608"/>
      <c r="H522" s="518"/>
      <c r="I522" s="518">
        <v>33.229999999999997</v>
      </c>
      <c r="J522" s="518"/>
      <c r="K522" s="518"/>
      <c r="L522" s="518"/>
      <c r="M522" s="518"/>
      <c r="N522" s="518"/>
      <c r="O522" s="518"/>
      <c r="P522" s="518"/>
      <c r="Q522" s="518"/>
      <c r="R522" s="518"/>
      <c r="S522" s="518"/>
      <c r="T522" s="518"/>
      <c r="U522" s="518"/>
      <c r="V522" s="518"/>
      <c r="W522" s="518"/>
      <c r="X522" s="518"/>
      <c r="Y522" s="518"/>
      <c r="Z522" s="518"/>
      <c r="AA522" s="604"/>
      <c r="AB522" s="604"/>
      <c r="AC522" s="604"/>
      <c r="AD522" s="604"/>
      <c r="AE522" s="604"/>
      <c r="AF522" s="604"/>
      <c r="AG522" s="604"/>
      <c r="AH522" s="604"/>
      <c r="AI522" s="604"/>
      <c r="AJ522" s="604"/>
      <c r="AK522" s="604"/>
      <c r="AL522" s="604"/>
      <c r="AM522" s="604"/>
      <c r="AN522" s="604"/>
    </row>
    <row r="523" spans="1:40" ht="15.75" hidden="1" customHeight="1">
      <c r="A523" s="605">
        <v>44944</v>
      </c>
      <c r="B523" s="596"/>
      <c r="C523" s="624" t="s">
        <v>207</v>
      </c>
      <c r="D523" s="608"/>
      <c r="E523" s="518"/>
      <c r="F523" s="518"/>
      <c r="G523" s="608"/>
      <c r="H523" s="518"/>
      <c r="I523" s="518"/>
      <c r="J523" s="518"/>
      <c r="K523" s="518"/>
      <c r="L523" s="518"/>
      <c r="M523" s="518">
        <v>24.98</v>
      </c>
      <c r="N523" s="518"/>
      <c r="O523" s="518"/>
      <c r="P523" s="518"/>
      <c r="Q523" s="518"/>
      <c r="R523" s="518"/>
      <c r="S523" s="518"/>
      <c r="T523" s="518"/>
      <c r="U523" s="518"/>
      <c r="V523" s="518"/>
      <c r="W523" s="518"/>
      <c r="X523" s="518"/>
      <c r="Y523" s="518"/>
      <c r="Z523" s="518"/>
      <c r="AA523" s="604"/>
      <c r="AB523" s="604"/>
      <c r="AC523" s="604"/>
      <c r="AD523" s="604"/>
      <c r="AE523" s="604"/>
      <c r="AF523" s="604"/>
      <c r="AG523" s="604"/>
      <c r="AH523" s="604"/>
      <c r="AI523" s="604"/>
      <c r="AJ523" s="604"/>
      <c r="AK523" s="604"/>
      <c r="AL523" s="604"/>
      <c r="AM523" s="604"/>
      <c r="AN523" s="604"/>
    </row>
    <row r="524" spans="1:40" ht="15.75" hidden="1" customHeight="1">
      <c r="A524" s="605">
        <v>44945</v>
      </c>
      <c r="B524" s="596"/>
      <c r="C524" s="624" t="s">
        <v>207</v>
      </c>
      <c r="D524" s="608"/>
      <c r="E524" s="518"/>
      <c r="F524" s="518"/>
      <c r="G524" s="608"/>
      <c r="H524" s="518"/>
      <c r="I524" s="518"/>
      <c r="J524" s="518"/>
      <c r="K524" s="518"/>
      <c r="L524" s="518"/>
      <c r="M524" s="518">
        <v>8.68</v>
      </c>
      <c r="N524" s="518"/>
      <c r="O524" s="518"/>
      <c r="P524" s="518"/>
      <c r="Q524" s="518"/>
      <c r="R524" s="518"/>
      <c r="S524" s="518"/>
      <c r="T524" s="518"/>
      <c r="U524" s="518"/>
      <c r="V524" s="518"/>
      <c r="W524" s="518"/>
      <c r="X524" s="518"/>
      <c r="Y524" s="518"/>
      <c r="Z524" s="518"/>
      <c r="AA524" s="604"/>
      <c r="AB524" s="604"/>
      <c r="AC524" s="604"/>
      <c r="AD524" s="604"/>
      <c r="AE524" s="604"/>
      <c r="AF524" s="604"/>
      <c r="AG524" s="604"/>
      <c r="AH524" s="604"/>
      <c r="AI524" s="604"/>
      <c r="AJ524" s="604"/>
      <c r="AK524" s="604"/>
      <c r="AL524" s="604"/>
      <c r="AM524" s="604"/>
      <c r="AN524" s="604"/>
    </row>
    <row r="525" spans="1:40" ht="15.75" hidden="1" customHeight="1">
      <c r="A525" s="605">
        <v>44945</v>
      </c>
      <c r="B525" s="596"/>
      <c r="C525" s="624" t="s">
        <v>348</v>
      </c>
      <c r="D525" s="608"/>
      <c r="E525" s="518"/>
      <c r="F525" s="518"/>
      <c r="G525" s="608"/>
      <c r="H525" s="518"/>
      <c r="I525" s="518"/>
      <c r="J525" s="518"/>
      <c r="K525" s="518"/>
      <c r="L525" s="518"/>
      <c r="M525" s="518">
        <v>16.29</v>
      </c>
      <c r="N525" s="518"/>
      <c r="O525" s="518"/>
      <c r="P525" s="518"/>
      <c r="Q525" s="518"/>
      <c r="R525" s="518"/>
      <c r="S525" s="518"/>
      <c r="T525" s="518"/>
      <c r="U525" s="518"/>
      <c r="V525" s="518"/>
      <c r="W525" s="518"/>
      <c r="X525" s="518"/>
      <c r="Y525" s="518"/>
      <c r="Z525" s="518"/>
      <c r="AA525" s="604"/>
      <c r="AB525" s="604"/>
      <c r="AC525" s="604"/>
      <c r="AD525" s="604"/>
      <c r="AE525" s="604"/>
      <c r="AF525" s="604"/>
      <c r="AG525" s="604"/>
      <c r="AH525" s="604"/>
      <c r="AI525" s="604"/>
      <c r="AJ525" s="604"/>
      <c r="AK525" s="604"/>
      <c r="AL525" s="604"/>
      <c r="AM525" s="604"/>
      <c r="AN525" s="604"/>
    </row>
    <row r="526" spans="1:40" ht="15.75" hidden="1" customHeight="1">
      <c r="A526" s="605">
        <v>44946</v>
      </c>
      <c r="B526" s="596"/>
      <c r="C526" s="624" t="s">
        <v>349</v>
      </c>
      <c r="D526" s="608"/>
      <c r="E526" s="518"/>
      <c r="F526" s="518"/>
      <c r="G526" s="608"/>
      <c r="H526" s="518"/>
      <c r="I526" s="518">
        <v>149.55000000000001</v>
      </c>
      <c r="J526" s="518"/>
      <c r="K526" s="518"/>
      <c r="L526" s="518"/>
      <c r="M526" s="518"/>
      <c r="N526" s="518"/>
      <c r="O526" s="518"/>
      <c r="P526" s="518"/>
      <c r="Q526" s="518"/>
      <c r="R526" s="518"/>
      <c r="S526" s="518"/>
      <c r="T526" s="518"/>
      <c r="U526" s="518"/>
      <c r="V526" s="518"/>
      <c r="W526" s="518"/>
      <c r="X526" s="518"/>
      <c r="Y526" s="518"/>
      <c r="Z526" s="518"/>
      <c r="AA526" s="604"/>
      <c r="AB526" s="604"/>
      <c r="AC526" s="604"/>
      <c r="AD526" s="604"/>
      <c r="AE526" s="604"/>
      <c r="AF526" s="604"/>
      <c r="AG526" s="604"/>
      <c r="AH526" s="604"/>
      <c r="AI526" s="604"/>
      <c r="AJ526" s="604"/>
      <c r="AK526" s="604"/>
      <c r="AL526" s="604"/>
      <c r="AM526" s="604"/>
      <c r="AN526" s="604"/>
    </row>
    <row r="527" spans="1:40" ht="15.75" hidden="1" customHeight="1">
      <c r="A527" s="605">
        <v>44950</v>
      </c>
      <c r="B527" s="596"/>
      <c r="C527" s="624" t="s">
        <v>350</v>
      </c>
      <c r="D527" s="608"/>
      <c r="E527" s="518"/>
      <c r="F527" s="518"/>
      <c r="G527" s="608"/>
      <c r="H527" s="518"/>
      <c r="I527" s="518"/>
      <c r="J527" s="518"/>
      <c r="K527" s="518"/>
      <c r="L527" s="518"/>
      <c r="M527" s="518"/>
      <c r="N527" s="518"/>
      <c r="O527" s="518">
        <f>48*B500</f>
        <v>54.462000000000003</v>
      </c>
      <c r="P527" s="518"/>
      <c r="Q527" s="518"/>
      <c r="R527" s="518"/>
      <c r="S527" s="518"/>
      <c r="T527" s="518"/>
      <c r="U527" s="518"/>
      <c r="V527" s="518"/>
      <c r="W527" s="518"/>
      <c r="X527" s="518"/>
      <c r="Y527" s="518"/>
      <c r="Z527" s="518"/>
      <c r="AA527" s="604"/>
      <c r="AB527" s="604"/>
      <c r="AC527" s="604"/>
      <c r="AD527" s="604"/>
      <c r="AE527" s="604"/>
      <c r="AF527" s="604"/>
      <c r="AG527" s="604"/>
      <c r="AH527" s="604"/>
      <c r="AI527" s="604"/>
      <c r="AJ527" s="604"/>
      <c r="AK527" s="604"/>
      <c r="AL527" s="604"/>
      <c r="AM527" s="604"/>
      <c r="AN527" s="604"/>
    </row>
    <row r="528" spans="1:40" ht="15.75" hidden="1" customHeight="1">
      <c r="A528" s="605">
        <v>44956</v>
      </c>
      <c r="B528" s="596"/>
      <c r="C528" s="624" t="s">
        <v>208</v>
      </c>
      <c r="D528" s="608"/>
      <c r="E528" s="518"/>
      <c r="F528" s="518"/>
      <c r="G528" s="608"/>
      <c r="H528" s="518"/>
      <c r="I528" s="518"/>
      <c r="J528" s="518"/>
      <c r="K528" s="518"/>
      <c r="L528" s="518"/>
      <c r="M528" s="518"/>
      <c r="N528" s="518"/>
      <c r="O528" s="604"/>
      <c r="P528" s="518"/>
      <c r="Q528" s="518"/>
      <c r="R528" s="518"/>
      <c r="S528" s="518">
        <v>6.74</v>
      </c>
      <c r="T528" s="518"/>
      <c r="U528" s="518"/>
      <c r="V528" s="518"/>
      <c r="W528" s="518"/>
      <c r="X528" s="518"/>
      <c r="Y528" s="518"/>
      <c r="Z528" s="518"/>
      <c r="AA528" s="604"/>
      <c r="AB528" s="604"/>
      <c r="AC528" s="604"/>
      <c r="AD528" s="604"/>
      <c r="AE528" s="604"/>
      <c r="AF528" s="604"/>
      <c r="AG528" s="604"/>
      <c r="AH528" s="604"/>
      <c r="AI528" s="604"/>
      <c r="AJ528" s="604"/>
      <c r="AK528" s="604"/>
      <c r="AL528" s="604"/>
      <c r="AM528" s="604"/>
      <c r="AN528" s="604"/>
    </row>
    <row r="529" spans="1:40" ht="15.75" hidden="1" customHeight="1" thickBot="1">
      <c r="A529" s="605"/>
      <c r="B529" s="596"/>
      <c r="C529" s="616"/>
      <c r="D529" s="608"/>
      <c r="E529" s="518"/>
      <c r="F529" s="518"/>
      <c r="G529" s="608"/>
      <c r="H529" s="518"/>
      <c r="I529" s="518"/>
      <c r="J529" s="518"/>
      <c r="K529" s="518"/>
      <c r="L529" s="518"/>
      <c r="M529" s="518"/>
      <c r="N529" s="518"/>
      <c r="O529" s="518"/>
      <c r="P529" s="518"/>
      <c r="Q529" s="518"/>
      <c r="R529" s="518"/>
      <c r="S529" s="518"/>
      <c r="T529" s="518"/>
      <c r="U529" s="518"/>
      <c r="V529" s="518"/>
      <c r="W529" s="518"/>
      <c r="X529" s="518"/>
      <c r="Y529" s="518"/>
      <c r="Z529" s="518"/>
      <c r="AA529" s="604"/>
      <c r="AB529" s="604"/>
      <c r="AC529" s="604"/>
      <c r="AD529" s="604"/>
      <c r="AE529" s="604"/>
      <c r="AF529" s="604"/>
      <c r="AG529" s="604"/>
      <c r="AH529" s="604"/>
      <c r="AI529" s="604"/>
      <c r="AJ529" s="604"/>
      <c r="AK529" s="604"/>
      <c r="AL529" s="604"/>
      <c r="AM529" s="604"/>
      <c r="AN529" s="604"/>
    </row>
    <row r="530" spans="1:40" ht="15.75" hidden="1" customHeight="1" thickTop="1">
      <c r="A530" s="625"/>
      <c r="B530" s="626">
        <v>44958</v>
      </c>
      <c r="C530" s="627"/>
      <c r="D530" s="601"/>
      <c r="E530" s="602"/>
      <c r="F530" s="602"/>
      <c r="G530" s="602"/>
      <c r="H530" s="602"/>
      <c r="I530" s="602"/>
      <c r="J530" s="602"/>
      <c r="K530" s="602"/>
      <c r="L530" s="602"/>
      <c r="M530" s="602"/>
      <c r="N530" s="602"/>
      <c r="O530" s="602"/>
      <c r="P530" s="602"/>
      <c r="Q530" s="602"/>
      <c r="R530" s="602"/>
      <c r="S530" s="602"/>
      <c r="T530" s="602"/>
      <c r="U530" s="602"/>
      <c r="V530" s="602"/>
      <c r="W530" s="602"/>
      <c r="X530" s="602"/>
      <c r="Y530" s="602"/>
      <c r="Z530" s="602"/>
      <c r="AA530" s="604"/>
      <c r="AB530" s="604"/>
      <c r="AC530" s="604"/>
      <c r="AD530" s="604"/>
      <c r="AE530" s="604"/>
      <c r="AF530" s="604"/>
      <c r="AG530" s="604"/>
      <c r="AH530" s="604"/>
      <c r="AI530" s="604"/>
      <c r="AJ530" s="604"/>
      <c r="AK530" s="604"/>
      <c r="AL530" s="604"/>
      <c r="AM530" s="604"/>
      <c r="AN530" s="604"/>
    </row>
    <row r="531" spans="1:40" ht="15.75" hidden="1" customHeight="1">
      <c r="A531" s="605">
        <v>44958</v>
      </c>
      <c r="B531" s="628"/>
      <c r="C531" s="629" t="s">
        <v>62</v>
      </c>
      <c r="D531" s="608"/>
      <c r="E531" s="518"/>
      <c r="F531" s="518"/>
      <c r="G531" s="608"/>
      <c r="H531" s="518"/>
      <c r="I531" s="518"/>
      <c r="J531" s="518"/>
      <c r="K531" s="518"/>
      <c r="L531" s="518"/>
      <c r="M531" s="518"/>
      <c r="N531" s="518"/>
      <c r="O531" s="518"/>
      <c r="P531" s="518"/>
      <c r="Q531" s="518"/>
      <c r="R531" s="518"/>
      <c r="S531" s="518"/>
      <c r="T531" s="518"/>
      <c r="U531" s="518"/>
      <c r="V531" s="518">
        <v>1036.55</v>
      </c>
      <c r="W531" s="518"/>
      <c r="X531" s="518"/>
      <c r="Y531" s="518"/>
      <c r="Z531" s="518"/>
      <c r="AA531" s="604"/>
      <c r="AB531" s="604"/>
      <c r="AC531" s="604"/>
      <c r="AD531" s="604"/>
      <c r="AE531" s="604"/>
      <c r="AF531" s="604"/>
      <c r="AG531" s="604"/>
      <c r="AH531" s="604"/>
      <c r="AI531" s="604"/>
      <c r="AJ531" s="604"/>
      <c r="AK531" s="604"/>
      <c r="AL531" s="604"/>
      <c r="AM531" s="604"/>
      <c r="AN531" s="604"/>
    </row>
    <row r="532" spans="1:40" ht="15.75" hidden="1" customHeight="1">
      <c r="A532" s="605">
        <v>44958</v>
      </c>
      <c r="B532" s="630"/>
      <c r="C532" s="607" t="s">
        <v>63</v>
      </c>
      <c r="D532" s="608"/>
      <c r="E532" s="518"/>
      <c r="F532" s="518"/>
      <c r="G532" s="608"/>
      <c r="H532" s="518"/>
      <c r="I532" s="518"/>
      <c r="J532" s="518"/>
      <c r="K532" s="518"/>
      <c r="L532" s="518"/>
      <c r="M532" s="518"/>
      <c r="N532" s="518"/>
      <c r="O532" s="518"/>
      <c r="P532" s="518"/>
      <c r="Q532" s="518"/>
      <c r="R532" s="518"/>
      <c r="S532" s="518"/>
      <c r="T532" s="518">
        <v>283.77</v>
      </c>
      <c r="U532" s="518"/>
      <c r="V532" s="518"/>
      <c r="W532" s="518"/>
      <c r="X532" s="518"/>
      <c r="Y532" s="518"/>
      <c r="Z532" s="518"/>
      <c r="AA532" s="604"/>
      <c r="AB532" s="604"/>
      <c r="AC532" s="604"/>
      <c r="AD532" s="604"/>
      <c r="AE532" s="604"/>
      <c r="AF532" s="604"/>
      <c r="AG532" s="604"/>
      <c r="AH532" s="604"/>
      <c r="AI532" s="604"/>
      <c r="AJ532" s="604"/>
      <c r="AK532" s="604"/>
      <c r="AL532" s="604"/>
      <c r="AM532" s="604"/>
      <c r="AN532" s="604"/>
    </row>
    <row r="533" spans="1:40" ht="15.75" hidden="1" customHeight="1">
      <c r="A533" s="605">
        <v>44958</v>
      </c>
      <c r="B533" s="613"/>
      <c r="C533" s="611" t="s">
        <v>64</v>
      </c>
      <c r="D533" s="608"/>
      <c r="E533" s="518"/>
      <c r="F533" s="518"/>
      <c r="G533" s="608"/>
      <c r="H533" s="518"/>
      <c r="I533" s="518"/>
      <c r="J533" s="518"/>
      <c r="K533" s="518"/>
      <c r="L533" s="518"/>
      <c r="M533" s="518"/>
      <c r="N533" s="518"/>
      <c r="O533" s="518"/>
      <c r="P533" s="518"/>
      <c r="Q533" s="518"/>
      <c r="R533" s="518"/>
      <c r="S533" s="518"/>
      <c r="T533" s="518">
        <v>700</v>
      </c>
      <c r="U533" s="518"/>
      <c r="V533" s="518"/>
      <c r="W533" s="518"/>
      <c r="X533" s="518"/>
      <c r="Y533" s="518"/>
      <c r="Z533" s="518"/>
      <c r="AA533" s="604"/>
      <c r="AB533" s="604"/>
      <c r="AC533" s="604"/>
      <c r="AD533" s="604"/>
      <c r="AE533" s="604"/>
      <c r="AF533" s="604"/>
      <c r="AG533" s="604"/>
      <c r="AH533" s="604"/>
      <c r="AI533" s="604"/>
      <c r="AJ533" s="604"/>
      <c r="AK533" s="604"/>
      <c r="AL533" s="604"/>
      <c r="AM533" s="604"/>
      <c r="AN533" s="604"/>
    </row>
    <row r="534" spans="1:40" ht="15.75" hidden="1" customHeight="1">
      <c r="A534" s="605">
        <v>44959</v>
      </c>
      <c r="B534" s="610">
        <f>'Conversion rates'!B17</f>
        <v>1.1272979999999999</v>
      </c>
      <c r="C534" s="611" t="s">
        <v>276</v>
      </c>
      <c r="D534" s="608"/>
      <c r="E534" s="518"/>
      <c r="F534" s="518"/>
      <c r="G534" s="608"/>
      <c r="H534" s="518"/>
      <c r="I534" s="518"/>
      <c r="J534" s="518"/>
      <c r="K534" s="518"/>
      <c r="L534" s="518"/>
      <c r="M534" s="518"/>
      <c r="N534" s="518"/>
      <c r="O534" s="518"/>
      <c r="P534" s="518"/>
      <c r="Q534" s="518"/>
      <c r="R534" s="518"/>
      <c r="S534" s="518"/>
      <c r="T534" s="518">
        <v>80</v>
      </c>
      <c r="U534" s="518"/>
      <c r="V534" s="518"/>
      <c r="W534" s="518"/>
      <c r="X534" s="518"/>
      <c r="Y534" s="518"/>
      <c r="Z534" s="518"/>
      <c r="AA534" s="604"/>
      <c r="AB534" s="604"/>
      <c r="AC534" s="604"/>
      <c r="AD534" s="604"/>
      <c r="AE534" s="604"/>
      <c r="AF534" s="604"/>
      <c r="AG534" s="604"/>
      <c r="AH534" s="604"/>
      <c r="AI534" s="604"/>
      <c r="AJ534" s="604"/>
      <c r="AK534" s="604"/>
      <c r="AL534" s="604"/>
      <c r="AM534" s="604"/>
      <c r="AN534" s="604"/>
    </row>
    <row r="535" spans="1:40" ht="15.75" hidden="1" customHeight="1">
      <c r="A535" s="605">
        <v>44960</v>
      </c>
      <c r="B535" s="613"/>
      <c r="C535" s="614" t="s">
        <v>167</v>
      </c>
      <c r="D535" s="608"/>
      <c r="E535" s="518"/>
      <c r="F535" s="518"/>
      <c r="G535" s="608"/>
      <c r="H535" s="518"/>
      <c r="I535" s="518"/>
      <c r="J535" s="518"/>
      <c r="K535" s="518"/>
      <c r="L535" s="518"/>
      <c r="M535" s="518"/>
      <c r="N535" s="518"/>
      <c r="O535" s="518"/>
      <c r="P535" s="518"/>
      <c r="Q535" s="518"/>
      <c r="R535" s="518"/>
      <c r="S535" s="518">
        <v>9.16</v>
      </c>
      <c r="T535" s="518"/>
      <c r="U535" s="518"/>
      <c r="V535" s="518"/>
      <c r="W535" s="518"/>
      <c r="X535" s="518"/>
      <c r="Y535" s="518"/>
      <c r="Z535" s="518"/>
      <c r="AA535" s="604"/>
      <c r="AB535" s="604"/>
      <c r="AC535" s="604"/>
      <c r="AD535" s="604"/>
      <c r="AE535" s="604"/>
      <c r="AF535" s="604"/>
      <c r="AG535" s="604"/>
      <c r="AH535" s="604"/>
      <c r="AI535" s="604"/>
      <c r="AJ535" s="604"/>
      <c r="AK535" s="604"/>
      <c r="AL535" s="604"/>
      <c r="AM535" s="604"/>
      <c r="AN535" s="604"/>
    </row>
    <row r="536" spans="1:40" ht="15.75" hidden="1" customHeight="1">
      <c r="A536" s="605">
        <v>44965</v>
      </c>
      <c r="B536" s="612" t="s">
        <v>161</v>
      </c>
      <c r="C536" s="614" t="s">
        <v>351</v>
      </c>
      <c r="D536" s="608"/>
      <c r="E536" s="518"/>
      <c r="F536" s="518"/>
      <c r="G536" s="608"/>
      <c r="H536" s="518"/>
      <c r="I536" s="518"/>
      <c r="J536" s="518"/>
      <c r="K536" s="518"/>
      <c r="L536" s="518"/>
      <c r="M536" s="616"/>
      <c r="N536" s="518">
        <f>800*B534</f>
        <v>901.83839999999998</v>
      </c>
      <c r="O536" s="518"/>
      <c r="P536" s="518"/>
      <c r="Q536" s="518"/>
      <c r="R536" s="518"/>
      <c r="S536" s="518"/>
      <c r="T536" s="518"/>
      <c r="U536" s="518"/>
      <c r="V536" s="518"/>
      <c r="W536" s="518"/>
      <c r="X536" s="518"/>
      <c r="Y536" s="518"/>
      <c r="Z536" s="518"/>
      <c r="AA536" s="604"/>
      <c r="AB536" s="604"/>
      <c r="AC536" s="604"/>
      <c r="AD536" s="604"/>
      <c r="AE536" s="604"/>
      <c r="AF536" s="604"/>
      <c r="AG536" s="604"/>
      <c r="AH536" s="604"/>
      <c r="AI536" s="604"/>
      <c r="AJ536" s="604"/>
      <c r="AK536" s="604"/>
      <c r="AL536" s="604"/>
      <c r="AM536" s="604"/>
      <c r="AN536" s="604"/>
    </row>
    <row r="537" spans="1:40" ht="15.75" hidden="1" customHeight="1">
      <c r="A537" s="605">
        <v>44966</v>
      </c>
      <c r="B537" s="615"/>
      <c r="C537" s="611" t="s">
        <v>320</v>
      </c>
      <c r="D537" s="608"/>
      <c r="E537" s="518"/>
      <c r="F537" s="518"/>
      <c r="G537" s="608"/>
      <c r="H537" s="518"/>
      <c r="I537" s="518"/>
      <c r="J537" s="518"/>
      <c r="K537" s="518">
        <v>9.4499999999999993</v>
      </c>
      <c r="L537" s="518"/>
      <c r="M537" s="518"/>
      <c r="N537" s="518"/>
      <c r="O537" s="518"/>
      <c r="P537" s="518"/>
      <c r="Q537" s="518"/>
      <c r="R537" s="518"/>
      <c r="S537" s="518"/>
      <c r="T537" s="518"/>
      <c r="U537" s="518"/>
      <c r="V537" s="518"/>
      <c r="W537" s="518"/>
      <c r="X537" s="518"/>
      <c r="Y537" s="518"/>
      <c r="Z537" s="518"/>
      <c r="AA537" s="604"/>
      <c r="AB537" s="604"/>
      <c r="AC537" s="604"/>
      <c r="AD537" s="604"/>
      <c r="AE537" s="604"/>
      <c r="AF537" s="604"/>
      <c r="AG537" s="604"/>
      <c r="AH537" s="604"/>
      <c r="AI537" s="604"/>
      <c r="AJ537" s="604"/>
      <c r="AK537" s="604"/>
      <c r="AL537" s="604"/>
      <c r="AM537" s="604"/>
      <c r="AN537" s="604"/>
    </row>
    <row r="538" spans="1:40" ht="15.75" hidden="1" customHeight="1">
      <c r="A538" s="605">
        <v>44972</v>
      </c>
      <c r="B538" s="612"/>
      <c r="C538" s="611" t="s">
        <v>65</v>
      </c>
      <c r="D538" s="608"/>
      <c r="E538" s="518"/>
      <c r="F538" s="518"/>
      <c r="G538" s="608"/>
      <c r="H538" s="518"/>
      <c r="I538" s="518"/>
      <c r="J538" s="518"/>
      <c r="K538" s="518"/>
      <c r="L538" s="518"/>
      <c r="M538" s="518"/>
      <c r="N538" s="518"/>
      <c r="O538" s="518"/>
      <c r="P538" s="518"/>
      <c r="Q538" s="518"/>
      <c r="R538" s="518"/>
      <c r="S538" s="518"/>
      <c r="T538" s="518">
        <v>18</v>
      </c>
      <c r="U538" s="518"/>
      <c r="V538" s="518"/>
      <c r="W538" s="518"/>
      <c r="X538" s="518"/>
      <c r="Y538" s="518"/>
      <c r="Z538" s="518"/>
      <c r="AA538" s="604"/>
      <c r="AB538" s="604"/>
      <c r="AC538" s="604"/>
      <c r="AD538" s="604"/>
      <c r="AE538" s="604"/>
      <c r="AF538" s="604"/>
      <c r="AG538" s="604"/>
      <c r="AH538" s="604"/>
      <c r="AI538" s="604"/>
      <c r="AJ538" s="604"/>
      <c r="AK538" s="604"/>
      <c r="AL538" s="604"/>
      <c r="AM538" s="604"/>
      <c r="AN538" s="604"/>
    </row>
    <row r="539" spans="1:40" ht="15.75" hidden="1" customHeight="1">
      <c r="A539" s="605">
        <v>44972</v>
      </c>
      <c r="B539" s="613"/>
      <c r="C539" s="611" t="s">
        <v>168</v>
      </c>
      <c r="D539" s="608"/>
      <c r="E539" s="518"/>
      <c r="F539" s="518"/>
      <c r="G539" s="608"/>
      <c r="H539" s="518"/>
      <c r="I539" s="518"/>
      <c r="J539" s="518"/>
      <c r="K539" s="518"/>
      <c r="L539" s="518"/>
      <c r="M539" s="518"/>
      <c r="N539" s="518"/>
      <c r="O539" s="518"/>
      <c r="P539" s="518"/>
      <c r="Q539" s="518"/>
      <c r="R539" s="518"/>
      <c r="S539" s="518"/>
      <c r="T539" s="518">
        <v>1608.68</v>
      </c>
      <c r="U539" s="518"/>
      <c r="V539" s="518"/>
      <c r="W539" s="518"/>
      <c r="X539" s="518"/>
      <c r="Y539" s="518"/>
      <c r="Z539" s="518"/>
      <c r="AA539" s="604"/>
      <c r="AB539" s="604"/>
      <c r="AC539" s="604"/>
      <c r="AD539" s="604"/>
      <c r="AE539" s="604"/>
      <c r="AF539" s="604"/>
      <c r="AG539" s="604"/>
      <c r="AH539" s="604"/>
      <c r="AI539" s="604"/>
      <c r="AJ539" s="604"/>
      <c r="AK539" s="604"/>
      <c r="AL539" s="604"/>
      <c r="AM539" s="604"/>
      <c r="AN539" s="604"/>
    </row>
    <row r="540" spans="1:40" ht="15.75" hidden="1" customHeight="1">
      <c r="A540" s="605">
        <v>44972</v>
      </c>
      <c r="B540" s="615"/>
      <c r="C540" s="611" t="s">
        <v>341</v>
      </c>
      <c r="D540" s="608"/>
      <c r="E540" s="518"/>
      <c r="F540" s="518"/>
      <c r="G540" s="608"/>
      <c r="H540" s="518">
        <v>823.78</v>
      </c>
      <c r="I540" s="518"/>
      <c r="J540" s="518"/>
      <c r="K540" s="518"/>
      <c r="L540" s="518"/>
      <c r="M540" s="518"/>
      <c r="N540" s="518"/>
      <c r="O540" s="518"/>
      <c r="P540" s="518"/>
      <c r="Q540" s="518"/>
      <c r="R540" s="518"/>
      <c r="S540" s="518"/>
      <c r="T540" s="518"/>
      <c r="U540" s="518"/>
      <c r="V540" s="518"/>
      <c r="W540" s="518"/>
      <c r="X540" s="518"/>
      <c r="Y540" s="518"/>
      <c r="Z540" s="518"/>
      <c r="AA540" s="604"/>
      <c r="AB540" s="604"/>
      <c r="AC540" s="604"/>
      <c r="AD540" s="604"/>
      <c r="AE540" s="604"/>
      <c r="AF540" s="604"/>
      <c r="AG540" s="604"/>
      <c r="AH540" s="604"/>
      <c r="AI540" s="604"/>
      <c r="AJ540" s="604"/>
      <c r="AK540" s="604"/>
      <c r="AL540" s="604"/>
      <c r="AM540" s="604"/>
      <c r="AN540" s="604"/>
    </row>
    <row r="541" spans="1:40" ht="15.75" hidden="1" customHeight="1">
      <c r="A541" s="605">
        <v>44974</v>
      </c>
      <c r="B541" s="613"/>
      <c r="C541" s="611" t="s">
        <v>111</v>
      </c>
      <c r="D541" s="608"/>
      <c r="E541" s="518"/>
      <c r="F541" s="518"/>
      <c r="G541" s="608"/>
      <c r="H541" s="518"/>
      <c r="I541" s="518"/>
      <c r="J541" s="616"/>
      <c r="K541" s="518">
        <v>29.99</v>
      </c>
      <c r="L541" s="518"/>
      <c r="M541" s="518"/>
      <c r="N541" s="518"/>
      <c r="O541" s="518"/>
      <c r="P541" s="518"/>
      <c r="Q541" s="518"/>
      <c r="R541" s="518"/>
      <c r="S541" s="518"/>
      <c r="T541" s="518"/>
      <c r="U541" s="518"/>
      <c r="V541" s="518"/>
      <c r="W541" s="518"/>
      <c r="X541" s="518"/>
      <c r="Y541" s="518"/>
      <c r="Z541" s="518"/>
      <c r="AA541" s="604"/>
      <c r="AB541" s="604"/>
      <c r="AC541" s="604"/>
      <c r="AD541" s="604"/>
      <c r="AE541" s="604"/>
      <c r="AF541" s="604"/>
      <c r="AG541" s="604"/>
      <c r="AH541" s="604"/>
      <c r="AI541" s="604"/>
      <c r="AJ541" s="604"/>
      <c r="AK541" s="604"/>
      <c r="AL541" s="604"/>
      <c r="AM541" s="604"/>
      <c r="AN541" s="604"/>
    </row>
    <row r="542" spans="1:40" ht="15.75" hidden="1" customHeight="1">
      <c r="A542" s="605">
        <v>44979</v>
      </c>
      <c r="B542" s="613"/>
      <c r="C542" s="611" t="s">
        <v>78</v>
      </c>
      <c r="D542" s="608"/>
      <c r="E542" s="518"/>
      <c r="F542" s="518"/>
      <c r="G542" s="608"/>
      <c r="H542" s="518"/>
      <c r="I542" s="518"/>
      <c r="J542" s="518">
        <v>20.27</v>
      </c>
      <c r="K542" s="518"/>
      <c r="L542" s="518"/>
      <c r="M542" s="518"/>
      <c r="N542" s="518"/>
      <c r="O542" s="518"/>
      <c r="P542" s="518"/>
      <c r="Q542" s="518"/>
      <c r="R542" s="518"/>
      <c r="S542" s="518"/>
      <c r="T542" s="518"/>
      <c r="U542" s="518"/>
      <c r="V542" s="518"/>
      <c r="W542" s="518"/>
      <c r="X542" s="518"/>
      <c r="Y542" s="518"/>
      <c r="Z542" s="518"/>
      <c r="AA542" s="604"/>
      <c r="AB542" s="604"/>
      <c r="AC542" s="604"/>
      <c r="AD542" s="604"/>
      <c r="AE542" s="604"/>
      <c r="AF542" s="604"/>
      <c r="AG542" s="604"/>
      <c r="AH542" s="604"/>
      <c r="AI542" s="604"/>
      <c r="AJ542" s="604"/>
      <c r="AK542" s="604"/>
      <c r="AL542" s="604"/>
      <c r="AM542" s="604"/>
      <c r="AN542" s="604"/>
    </row>
    <row r="543" spans="1:40" ht="15.75" hidden="1" customHeight="1">
      <c r="A543" s="605">
        <v>44979</v>
      </c>
      <c r="B543" s="613"/>
      <c r="C543" s="611" t="s">
        <v>64</v>
      </c>
      <c r="D543" s="608"/>
      <c r="E543" s="518"/>
      <c r="F543" s="518"/>
      <c r="G543" s="608"/>
      <c r="H543" s="518"/>
      <c r="I543" s="518"/>
      <c r="J543" s="518"/>
      <c r="K543" s="518"/>
      <c r="L543" s="518"/>
      <c r="M543" s="616"/>
      <c r="N543" s="518"/>
      <c r="O543" s="518"/>
      <c r="P543" s="518"/>
      <c r="Q543" s="518"/>
      <c r="R543" s="518"/>
      <c r="S543" s="518"/>
      <c r="T543" s="518">
        <v>500</v>
      </c>
      <c r="U543" s="518"/>
      <c r="V543" s="518"/>
      <c r="W543" s="518"/>
      <c r="X543" s="518"/>
      <c r="Y543" s="518"/>
      <c r="Z543" s="518"/>
      <c r="AA543" s="604"/>
      <c r="AB543" s="604"/>
      <c r="AC543" s="604"/>
      <c r="AD543" s="604"/>
      <c r="AE543" s="604"/>
      <c r="AF543" s="604"/>
      <c r="AG543" s="604"/>
      <c r="AH543" s="604"/>
      <c r="AI543" s="604"/>
      <c r="AJ543" s="604"/>
      <c r="AK543" s="604"/>
      <c r="AL543" s="604"/>
      <c r="AM543" s="604"/>
      <c r="AN543" s="604"/>
    </row>
    <row r="544" spans="1:40" ht="15.75" hidden="1" customHeight="1">
      <c r="A544" s="605">
        <v>44985</v>
      </c>
      <c r="B544" s="613"/>
      <c r="C544" s="614" t="s">
        <v>260</v>
      </c>
      <c r="D544" s="608"/>
      <c r="E544" s="518">
        <v>580.05999999999995</v>
      </c>
      <c r="F544" s="518"/>
      <c r="G544" s="608"/>
      <c r="H544" s="518"/>
      <c r="I544" s="518"/>
      <c r="J544" s="518"/>
      <c r="K544" s="518"/>
      <c r="L544" s="518"/>
      <c r="M544" s="518"/>
      <c r="N544" s="518"/>
      <c r="O544" s="518"/>
      <c r="P544" s="518"/>
      <c r="Q544" s="518"/>
      <c r="R544" s="518"/>
      <c r="S544" s="518"/>
      <c r="T544" s="518"/>
      <c r="U544" s="518"/>
      <c r="V544" s="518"/>
      <c r="W544" s="518"/>
      <c r="X544" s="518"/>
      <c r="Y544" s="518"/>
      <c r="Z544" s="518"/>
      <c r="AA544" s="604"/>
      <c r="AB544" s="604"/>
      <c r="AC544" s="604"/>
      <c r="AD544" s="604"/>
      <c r="AE544" s="604"/>
      <c r="AF544" s="604"/>
      <c r="AG544" s="604"/>
      <c r="AH544" s="604"/>
      <c r="AI544" s="604"/>
      <c r="AJ544" s="604"/>
      <c r="AK544" s="604"/>
      <c r="AL544" s="604"/>
      <c r="AM544" s="604"/>
      <c r="AN544" s="604"/>
    </row>
    <row r="545" spans="1:40" ht="15.75" hidden="1" customHeight="1">
      <c r="A545" s="605">
        <v>45350</v>
      </c>
      <c r="B545" s="613"/>
      <c r="C545" s="611" t="s">
        <v>344</v>
      </c>
      <c r="D545" s="608"/>
      <c r="E545" s="518"/>
      <c r="F545" s="518"/>
      <c r="G545" s="608"/>
      <c r="H545" s="518"/>
      <c r="I545" s="518"/>
      <c r="J545" s="518"/>
      <c r="K545" s="518"/>
      <c r="L545" s="518"/>
      <c r="M545" s="518"/>
      <c r="N545" s="518"/>
      <c r="O545" s="518"/>
      <c r="P545" s="518"/>
      <c r="Q545" s="518"/>
      <c r="R545" s="518"/>
      <c r="S545" s="518">
        <v>7.37</v>
      </c>
      <c r="T545" s="518"/>
      <c r="U545" s="518"/>
      <c r="V545" s="518"/>
      <c r="W545" s="518"/>
      <c r="X545" s="518"/>
      <c r="Y545" s="518"/>
      <c r="Z545" s="518"/>
      <c r="AA545" s="604"/>
      <c r="AB545" s="604"/>
      <c r="AC545" s="604"/>
      <c r="AD545" s="604"/>
      <c r="AE545" s="604"/>
      <c r="AF545" s="604"/>
      <c r="AG545" s="604"/>
      <c r="AH545" s="604"/>
      <c r="AI545" s="604"/>
      <c r="AJ545" s="604"/>
      <c r="AK545" s="604"/>
      <c r="AL545" s="604"/>
      <c r="AM545" s="604"/>
      <c r="AN545" s="604"/>
    </row>
    <row r="546" spans="1:40" ht="15.75" hidden="1" customHeight="1">
      <c r="A546" s="619"/>
      <c r="B546" s="620"/>
      <c r="C546" s="621"/>
      <c r="D546" s="622"/>
      <c r="E546" s="623"/>
      <c r="F546" s="623"/>
      <c r="G546" s="623"/>
      <c r="H546" s="623"/>
      <c r="I546" s="623"/>
      <c r="J546" s="623"/>
      <c r="K546" s="623"/>
      <c r="L546" s="623"/>
      <c r="M546" s="623"/>
      <c r="N546" s="623"/>
      <c r="O546" s="623"/>
      <c r="P546" s="623"/>
      <c r="Q546" s="623"/>
      <c r="R546" s="623"/>
      <c r="S546" s="623"/>
      <c r="T546" s="518"/>
      <c r="U546" s="518"/>
      <c r="V546" s="518"/>
      <c r="W546" s="518"/>
      <c r="X546" s="518"/>
      <c r="Y546" s="518"/>
      <c r="Z546" s="518"/>
      <c r="AA546" s="604"/>
      <c r="AB546" s="604"/>
      <c r="AC546" s="604"/>
      <c r="AD546" s="604"/>
      <c r="AE546" s="604"/>
      <c r="AF546" s="604"/>
      <c r="AG546" s="604"/>
      <c r="AH546" s="604"/>
      <c r="AI546" s="604"/>
      <c r="AJ546" s="604"/>
      <c r="AK546" s="604"/>
      <c r="AL546" s="604"/>
      <c r="AM546" s="604"/>
      <c r="AN546" s="604"/>
    </row>
    <row r="547" spans="1:40" ht="15.75" hidden="1" customHeight="1">
      <c r="A547" s="605">
        <v>44959</v>
      </c>
      <c r="B547" s="596"/>
      <c r="C547" s="624" t="s">
        <v>352</v>
      </c>
      <c r="D547" s="608"/>
      <c r="E547" s="518"/>
      <c r="F547" s="518"/>
      <c r="G547" s="608"/>
      <c r="H547" s="518"/>
      <c r="I547" s="518"/>
      <c r="J547" s="518"/>
      <c r="K547" s="518"/>
      <c r="L547" s="518"/>
      <c r="M547" s="518">
        <v>32.549999999999997</v>
      </c>
      <c r="N547" s="518"/>
      <c r="O547" s="518"/>
      <c r="P547" s="518"/>
      <c r="Q547" s="518"/>
      <c r="R547" s="518"/>
      <c r="S547" s="518"/>
      <c r="T547" s="518"/>
      <c r="U547" s="518"/>
      <c r="V547" s="518"/>
      <c r="W547" s="518"/>
      <c r="X547" s="518"/>
      <c r="Y547" s="518"/>
      <c r="Z547" s="518"/>
      <c r="AA547" s="604"/>
      <c r="AB547" s="604"/>
      <c r="AC547" s="604"/>
      <c r="AD547" s="604"/>
      <c r="AE547" s="604"/>
      <c r="AF547" s="604"/>
      <c r="AG547" s="604"/>
      <c r="AH547" s="604"/>
      <c r="AI547" s="604"/>
      <c r="AJ547" s="604"/>
      <c r="AK547" s="604"/>
      <c r="AL547" s="604"/>
      <c r="AM547" s="604"/>
      <c r="AN547" s="604"/>
    </row>
    <row r="548" spans="1:40" ht="15.75" hidden="1" customHeight="1">
      <c r="A548" s="605">
        <v>44959</v>
      </c>
      <c r="B548" s="596" t="s">
        <v>161</v>
      </c>
      <c r="C548" s="624" t="s">
        <v>353</v>
      </c>
      <c r="D548" s="608"/>
      <c r="E548" s="518"/>
      <c r="F548" s="518"/>
      <c r="G548" s="608"/>
      <c r="H548" s="518"/>
      <c r="I548" s="518"/>
      <c r="J548" s="518"/>
      <c r="K548" s="518"/>
      <c r="L548" s="518"/>
      <c r="M548" s="518"/>
      <c r="N548" s="518"/>
      <c r="O548" s="518">
        <f>49*B534</f>
        <v>55.237601999999995</v>
      </c>
      <c r="P548" s="518"/>
      <c r="Q548" s="518"/>
      <c r="R548" s="518"/>
      <c r="S548" s="518"/>
      <c r="T548" s="518"/>
      <c r="U548" s="518"/>
      <c r="V548" s="518"/>
      <c r="W548" s="518"/>
      <c r="X548" s="518"/>
      <c r="Y548" s="518"/>
      <c r="Z548" s="518"/>
      <c r="AA548" s="604"/>
      <c r="AB548" s="604"/>
      <c r="AC548" s="604"/>
      <c r="AD548" s="604"/>
      <c r="AE548" s="604"/>
      <c r="AF548" s="604"/>
      <c r="AG548" s="604"/>
      <c r="AH548" s="604"/>
      <c r="AI548" s="604"/>
      <c r="AJ548" s="604"/>
      <c r="AK548" s="604"/>
      <c r="AL548" s="604"/>
      <c r="AM548" s="604"/>
      <c r="AN548" s="604"/>
    </row>
    <row r="549" spans="1:40" ht="15.75" hidden="1" customHeight="1">
      <c r="A549" s="605">
        <v>44960</v>
      </c>
      <c r="B549" s="596"/>
      <c r="C549" s="624" t="s">
        <v>354</v>
      </c>
      <c r="D549" s="608"/>
      <c r="E549" s="518"/>
      <c r="F549" s="518"/>
      <c r="G549" s="608"/>
      <c r="H549" s="518"/>
      <c r="I549" s="518"/>
      <c r="J549" s="518"/>
      <c r="K549" s="518"/>
      <c r="L549" s="518"/>
      <c r="M549" s="518">
        <v>78.7</v>
      </c>
      <c r="N549" s="518"/>
      <c r="O549" s="518"/>
      <c r="P549" s="518"/>
      <c r="Q549" s="518"/>
      <c r="R549" s="518"/>
      <c r="S549" s="518"/>
      <c r="T549" s="518"/>
      <c r="U549" s="518"/>
      <c r="V549" s="518"/>
      <c r="W549" s="518"/>
      <c r="X549" s="518"/>
      <c r="Y549" s="518"/>
      <c r="Z549" s="518"/>
      <c r="AA549" s="604"/>
      <c r="AB549" s="604"/>
      <c r="AC549" s="604"/>
      <c r="AD549" s="604"/>
      <c r="AE549" s="604"/>
      <c r="AF549" s="604"/>
      <c r="AG549" s="604"/>
      <c r="AH549" s="604"/>
      <c r="AI549" s="604"/>
      <c r="AJ549" s="604"/>
      <c r="AK549" s="604"/>
      <c r="AL549" s="604"/>
      <c r="AM549" s="604"/>
      <c r="AN549" s="604"/>
    </row>
    <row r="550" spans="1:40" ht="15.75" hidden="1" customHeight="1">
      <c r="A550" s="605">
        <v>44963</v>
      </c>
      <c r="B550" s="596"/>
      <c r="C550" s="624" t="s">
        <v>320</v>
      </c>
      <c r="D550" s="608"/>
      <c r="E550" s="518"/>
      <c r="F550" s="518"/>
      <c r="G550" s="608"/>
      <c r="H550" s="518"/>
      <c r="I550" s="518"/>
      <c r="J550" s="518"/>
      <c r="K550" s="518">
        <v>9.26</v>
      </c>
      <c r="L550" s="518"/>
      <c r="M550" s="518"/>
      <c r="N550" s="518"/>
      <c r="O550" s="518"/>
      <c r="P550" s="518"/>
      <c r="Q550" s="518"/>
      <c r="R550" s="518"/>
      <c r="S550" s="518"/>
      <c r="T550" s="518"/>
      <c r="U550" s="518"/>
      <c r="V550" s="518"/>
      <c r="W550" s="518"/>
      <c r="X550" s="518"/>
      <c r="Y550" s="518"/>
      <c r="Z550" s="518"/>
      <c r="AA550" s="604"/>
      <c r="AB550" s="604"/>
      <c r="AC550" s="604"/>
      <c r="AD550" s="604"/>
      <c r="AE550" s="604"/>
      <c r="AF550" s="604"/>
      <c r="AG550" s="604"/>
      <c r="AH550" s="604"/>
      <c r="AI550" s="604"/>
      <c r="AJ550" s="604"/>
      <c r="AK550" s="604"/>
      <c r="AL550" s="604"/>
      <c r="AM550" s="604"/>
      <c r="AN550" s="604"/>
    </row>
    <row r="551" spans="1:40" ht="15.75" hidden="1" customHeight="1">
      <c r="A551" s="605">
        <v>44964</v>
      </c>
      <c r="B551" s="596" t="s">
        <v>355</v>
      </c>
      <c r="C551" s="624" t="s">
        <v>356</v>
      </c>
      <c r="D551" s="608">
        <v>5200</v>
      </c>
      <c r="E551" s="518"/>
      <c r="F551" s="518"/>
      <c r="G551" s="608"/>
      <c r="H551" s="518"/>
      <c r="I551" s="518"/>
      <c r="J551" s="518"/>
      <c r="K551" s="518"/>
      <c r="L551" s="518"/>
      <c r="M551" s="518"/>
      <c r="N551" s="518"/>
      <c r="O551" s="518"/>
      <c r="P551" s="518"/>
      <c r="Q551" s="518"/>
      <c r="R551" s="518"/>
      <c r="S551" s="518"/>
      <c r="T551" s="518"/>
      <c r="U551" s="518"/>
      <c r="V551" s="518"/>
      <c r="W551" s="518"/>
      <c r="X551" s="518"/>
      <c r="Y551" s="518"/>
      <c r="Z551" s="518"/>
      <c r="AA551" s="604"/>
      <c r="AB551" s="604"/>
      <c r="AC551" s="604"/>
      <c r="AD551" s="604"/>
      <c r="AE551" s="604"/>
      <c r="AF551" s="604"/>
      <c r="AG551" s="604"/>
      <c r="AH551" s="604"/>
      <c r="AI551" s="604"/>
      <c r="AJ551" s="604"/>
      <c r="AK551" s="604"/>
      <c r="AL551" s="604"/>
      <c r="AM551" s="604"/>
      <c r="AN551" s="604"/>
    </row>
    <row r="552" spans="1:40" ht="15.75" hidden="1" customHeight="1">
      <c r="A552" s="605">
        <v>44964</v>
      </c>
      <c r="B552" s="596" t="s">
        <v>357</v>
      </c>
      <c r="C552" s="624" t="s">
        <v>219</v>
      </c>
      <c r="D552" s="608">
        <v>500</v>
      </c>
      <c r="E552" s="518"/>
      <c r="F552" s="518"/>
      <c r="G552" s="608"/>
      <c r="H552" s="518"/>
      <c r="I552" s="518"/>
      <c r="J552" s="518"/>
      <c r="K552" s="518"/>
      <c r="L552" s="518"/>
      <c r="M552" s="518"/>
      <c r="N552" s="518"/>
      <c r="O552" s="518"/>
      <c r="P552" s="518"/>
      <c r="Q552" s="518"/>
      <c r="R552" s="518"/>
      <c r="S552" s="518"/>
      <c r="T552" s="518"/>
      <c r="U552" s="518"/>
      <c r="V552" s="518"/>
      <c r="W552" s="518"/>
      <c r="X552" s="518"/>
      <c r="Y552" s="518"/>
      <c r="Z552" s="518"/>
      <c r="AA552" s="604"/>
      <c r="AB552" s="604"/>
      <c r="AC552" s="604"/>
      <c r="AD552" s="604"/>
      <c r="AE552" s="604"/>
      <c r="AF552" s="604"/>
      <c r="AG552" s="604"/>
      <c r="AH552" s="604"/>
      <c r="AI552" s="604"/>
      <c r="AJ552" s="604"/>
      <c r="AK552" s="604"/>
      <c r="AL552" s="604"/>
      <c r="AM552" s="604"/>
      <c r="AN552" s="604"/>
    </row>
    <row r="553" spans="1:40" ht="15.75" hidden="1" customHeight="1">
      <c r="A553" s="605">
        <v>44964</v>
      </c>
      <c r="B553" s="596" t="s">
        <v>358</v>
      </c>
      <c r="C553" s="624" t="s">
        <v>219</v>
      </c>
      <c r="D553" s="608">
        <v>3000</v>
      </c>
      <c r="E553" s="518"/>
      <c r="F553" s="518"/>
      <c r="G553" s="608"/>
      <c r="H553" s="518"/>
      <c r="I553" s="518"/>
      <c r="J553" s="518"/>
      <c r="K553" s="518"/>
      <c r="L553" s="518"/>
      <c r="M553" s="518"/>
      <c r="N553" s="518"/>
      <c r="O553" s="518"/>
      <c r="P553" s="518"/>
      <c r="Q553" s="518"/>
      <c r="R553" s="518"/>
      <c r="S553" s="518"/>
      <c r="T553" s="518"/>
      <c r="U553" s="518"/>
      <c r="V553" s="518"/>
      <c r="W553" s="518"/>
      <c r="X553" s="518"/>
      <c r="Y553" s="518"/>
      <c r="Z553" s="518"/>
      <c r="AA553" s="604"/>
      <c r="AB553" s="604"/>
      <c r="AC553" s="604"/>
      <c r="AD553" s="604"/>
      <c r="AE553" s="604"/>
      <c r="AF553" s="604"/>
      <c r="AG553" s="604"/>
      <c r="AH553" s="604"/>
      <c r="AI553" s="604"/>
      <c r="AJ553" s="604"/>
      <c r="AK553" s="604"/>
      <c r="AL553" s="604"/>
      <c r="AM553" s="604"/>
      <c r="AN553" s="604"/>
    </row>
    <row r="554" spans="1:40" ht="15.75" hidden="1" customHeight="1">
      <c r="A554" s="605">
        <v>44966</v>
      </c>
      <c r="B554" s="596"/>
      <c r="C554" s="624" t="s">
        <v>359</v>
      </c>
      <c r="D554" s="608"/>
      <c r="E554" s="518"/>
      <c r="F554" s="518"/>
      <c r="G554" s="608"/>
      <c r="H554" s="518"/>
      <c r="I554" s="518"/>
      <c r="J554" s="518"/>
      <c r="K554" s="518"/>
      <c r="L554" s="518"/>
      <c r="M554" s="518"/>
      <c r="N554" s="518"/>
      <c r="O554" s="518"/>
      <c r="P554" s="518"/>
      <c r="Q554" s="518"/>
      <c r="R554" s="518"/>
      <c r="S554" s="518"/>
      <c r="T554" s="518"/>
      <c r="U554" s="518"/>
      <c r="V554" s="518"/>
      <c r="W554" s="518"/>
      <c r="X554" s="518"/>
      <c r="Y554" s="518"/>
      <c r="Z554" s="518"/>
      <c r="AA554" s="604"/>
      <c r="AB554" s="604"/>
      <c r="AC554" s="604"/>
      <c r="AD554" s="604"/>
      <c r="AE554" s="604"/>
      <c r="AF554" s="604"/>
      <c r="AG554" s="604"/>
      <c r="AH554" s="604"/>
      <c r="AI554" s="604"/>
      <c r="AJ554" s="604"/>
      <c r="AK554" s="604"/>
      <c r="AL554" s="604"/>
      <c r="AM554" s="604"/>
      <c r="AN554" s="604"/>
    </row>
    <row r="555" spans="1:40" ht="15.75" hidden="1" customHeight="1">
      <c r="A555" s="605">
        <v>44967</v>
      </c>
      <c r="B555" s="596"/>
      <c r="C555" s="624" t="s">
        <v>320</v>
      </c>
      <c r="D555" s="608"/>
      <c r="E555" s="518"/>
      <c r="F555" s="518"/>
      <c r="G555" s="608"/>
      <c r="H555" s="518"/>
      <c r="I555" s="518"/>
      <c r="J555" s="518"/>
      <c r="K555" s="518">
        <v>9.4499999999999993</v>
      </c>
      <c r="L555" s="518"/>
      <c r="M555" s="518"/>
      <c r="N555" s="518"/>
      <c r="O555" s="518"/>
      <c r="P555" s="518"/>
      <c r="Q555" s="518"/>
      <c r="R555" s="518"/>
      <c r="S555" s="518"/>
      <c r="T555" s="518"/>
      <c r="U555" s="518"/>
      <c r="V555" s="518"/>
      <c r="W555" s="518"/>
      <c r="X555" s="518"/>
      <c r="Y555" s="518"/>
      <c r="Z555" s="518"/>
      <c r="AA555" s="604"/>
      <c r="AB555" s="604"/>
      <c r="AC555" s="604"/>
      <c r="AD555" s="604"/>
      <c r="AE555" s="604"/>
      <c r="AF555" s="604"/>
      <c r="AG555" s="604"/>
      <c r="AH555" s="604"/>
      <c r="AI555" s="604"/>
      <c r="AJ555" s="604"/>
      <c r="AK555" s="604"/>
      <c r="AL555" s="604"/>
      <c r="AM555" s="604"/>
      <c r="AN555" s="604"/>
    </row>
    <row r="556" spans="1:40" ht="15.75" hidden="1" customHeight="1">
      <c r="A556" s="605">
        <v>44970</v>
      </c>
      <c r="B556" s="596"/>
      <c r="C556" s="624" t="s">
        <v>360</v>
      </c>
      <c r="D556" s="608"/>
      <c r="E556" s="518"/>
      <c r="F556" s="518">
        <v>522</v>
      </c>
      <c r="G556" s="608"/>
      <c r="H556" s="518"/>
      <c r="I556" s="518"/>
      <c r="J556" s="518"/>
      <c r="K556" s="518"/>
      <c r="L556" s="518"/>
      <c r="M556" s="518"/>
      <c r="N556" s="518"/>
      <c r="O556" s="518"/>
      <c r="P556" s="518"/>
      <c r="Q556" s="518"/>
      <c r="R556" s="518"/>
      <c r="S556" s="518"/>
      <c r="T556" s="518"/>
      <c r="U556" s="518"/>
      <c r="V556" s="518"/>
      <c r="W556" s="518"/>
      <c r="X556" s="518"/>
      <c r="Y556" s="518"/>
      <c r="Z556" s="518"/>
      <c r="AA556" s="604"/>
      <c r="AB556" s="604"/>
      <c r="AC556" s="604"/>
      <c r="AD556" s="604"/>
      <c r="AE556" s="604"/>
      <c r="AF556" s="604"/>
      <c r="AG556" s="604"/>
      <c r="AH556" s="604"/>
      <c r="AI556" s="604"/>
      <c r="AJ556" s="604"/>
      <c r="AK556" s="604"/>
      <c r="AL556" s="604"/>
      <c r="AM556" s="604"/>
      <c r="AN556" s="604"/>
    </row>
    <row r="557" spans="1:40" ht="15.75" hidden="1" customHeight="1">
      <c r="A557" s="605">
        <v>44971</v>
      </c>
      <c r="B557" s="596"/>
      <c r="C557" s="624" t="s">
        <v>320</v>
      </c>
      <c r="D557" s="608"/>
      <c r="E557" s="518"/>
      <c r="F557" s="518"/>
      <c r="G557" s="608"/>
      <c r="H557" s="518"/>
      <c r="I557" s="518"/>
      <c r="J557" s="518"/>
      <c r="K557" s="518">
        <v>9.4700000000000006</v>
      </c>
      <c r="L557" s="518"/>
      <c r="M557" s="518"/>
      <c r="N557" s="518"/>
      <c r="O557" s="518"/>
      <c r="P557" s="518"/>
      <c r="Q557" s="518"/>
      <c r="R557" s="518"/>
      <c r="S557" s="518"/>
      <c r="T557" s="518"/>
      <c r="U557" s="518"/>
      <c r="V557" s="518"/>
      <c r="W557" s="518"/>
      <c r="X557" s="518"/>
      <c r="Y557" s="518"/>
      <c r="Z557" s="518"/>
      <c r="AA557" s="604"/>
      <c r="AB557" s="604"/>
      <c r="AC557" s="604"/>
      <c r="AD557" s="604"/>
      <c r="AE557" s="604"/>
      <c r="AF557" s="604"/>
      <c r="AG557" s="604"/>
      <c r="AH557" s="604"/>
      <c r="AI557" s="604"/>
      <c r="AJ557" s="604"/>
      <c r="AK557" s="604"/>
      <c r="AL557" s="604"/>
      <c r="AM557" s="604"/>
      <c r="AN557" s="604"/>
    </row>
    <row r="558" spans="1:40" ht="15.75" hidden="1" customHeight="1">
      <c r="A558" s="605">
        <v>44972</v>
      </c>
      <c r="B558" s="596"/>
      <c r="C558" s="624" t="s">
        <v>361</v>
      </c>
      <c r="D558" s="608"/>
      <c r="E558" s="518"/>
      <c r="F558" s="518"/>
      <c r="G558" s="608"/>
      <c r="H558" s="518"/>
      <c r="I558" s="518"/>
      <c r="J558" s="518"/>
      <c r="K558" s="518"/>
      <c r="L558" s="518">
        <v>64.97</v>
      </c>
      <c r="M558" s="518"/>
      <c r="N558" s="518"/>
      <c r="O558" s="518"/>
      <c r="P558" s="518"/>
      <c r="Q558" s="518"/>
      <c r="R558" s="518"/>
      <c r="S558" s="518"/>
      <c r="T558" s="518"/>
      <c r="U558" s="518"/>
      <c r="V558" s="518"/>
      <c r="W558" s="518"/>
      <c r="X558" s="518"/>
      <c r="Y558" s="518"/>
      <c r="Z558" s="518"/>
      <c r="AA558" s="604"/>
      <c r="AB558" s="604"/>
      <c r="AC558" s="604"/>
      <c r="AD558" s="604"/>
      <c r="AE558" s="604"/>
      <c r="AF558" s="604"/>
      <c r="AG558" s="604"/>
      <c r="AH558" s="604"/>
      <c r="AI558" s="604"/>
      <c r="AJ558" s="604"/>
      <c r="AK558" s="604"/>
      <c r="AL558" s="604"/>
      <c r="AM558" s="604"/>
      <c r="AN558" s="604"/>
    </row>
    <row r="559" spans="1:40" ht="15.75" hidden="1" customHeight="1">
      <c r="A559" s="605">
        <v>44972</v>
      </c>
      <c r="B559" s="596"/>
      <c r="C559" s="624" t="s">
        <v>289</v>
      </c>
      <c r="D559" s="608"/>
      <c r="E559" s="518">
        <v>49.34</v>
      </c>
      <c r="F559" s="518"/>
      <c r="G559" s="608"/>
      <c r="H559" s="518"/>
      <c r="I559" s="518"/>
      <c r="J559" s="518"/>
      <c r="K559" s="518"/>
      <c r="L559" s="518"/>
      <c r="M559" s="518"/>
      <c r="N559" s="518"/>
      <c r="O559" s="518"/>
      <c r="P559" s="518"/>
      <c r="Q559" s="518"/>
      <c r="R559" s="518"/>
      <c r="S559" s="518"/>
      <c r="T559" s="518"/>
      <c r="U559" s="518"/>
      <c r="V559" s="518"/>
      <c r="W559" s="518"/>
      <c r="X559" s="518"/>
      <c r="Y559" s="518"/>
      <c r="Z559" s="518"/>
      <c r="AA559" s="604"/>
      <c r="AB559" s="604"/>
      <c r="AC559" s="604"/>
      <c r="AD559" s="604"/>
      <c r="AE559" s="604"/>
      <c r="AF559" s="604"/>
      <c r="AG559" s="604"/>
      <c r="AH559" s="604"/>
      <c r="AI559" s="604"/>
      <c r="AJ559" s="604"/>
      <c r="AK559" s="604"/>
      <c r="AL559" s="604"/>
      <c r="AM559" s="604"/>
      <c r="AN559" s="604"/>
    </row>
    <row r="560" spans="1:40" ht="15.75" hidden="1" customHeight="1">
      <c r="A560" s="605">
        <v>44974</v>
      </c>
      <c r="B560" s="596"/>
      <c r="C560" s="624" t="s">
        <v>362</v>
      </c>
      <c r="D560" s="608"/>
      <c r="E560" s="518"/>
      <c r="F560" s="518"/>
      <c r="G560" s="608"/>
      <c r="H560" s="518"/>
      <c r="I560" s="518"/>
      <c r="J560" s="518"/>
      <c r="K560" s="518"/>
      <c r="L560" s="518"/>
      <c r="M560" s="518"/>
      <c r="N560" s="518"/>
      <c r="O560" s="518"/>
      <c r="P560" s="518"/>
      <c r="Q560" s="518"/>
      <c r="R560" s="518"/>
      <c r="S560" s="518"/>
      <c r="T560" s="518">
        <v>20.52</v>
      </c>
      <c r="U560" s="518"/>
      <c r="V560" s="518"/>
      <c r="W560" s="518"/>
      <c r="X560" s="518"/>
      <c r="Y560" s="518"/>
      <c r="Z560" s="518"/>
      <c r="AA560" s="604"/>
      <c r="AB560" s="604"/>
      <c r="AC560" s="604"/>
      <c r="AD560" s="604"/>
      <c r="AE560" s="604"/>
      <c r="AF560" s="604"/>
      <c r="AG560" s="604"/>
      <c r="AH560" s="604"/>
      <c r="AI560" s="604"/>
      <c r="AJ560" s="604"/>
      <c r="AK560" s="604"/>
      <c r="AL560" s="604"/>
      <c r="AM560" s="604"/>
      <c r="AN560" s="604"/>
    </row>
    <row r="561" spans="1:40" ht="15.75" hidden="1" customHeight="1">
      <c r="A561" s="605">
        <v>44977</v>
      </c>
      <c r="B561" s="596"/>
      <c r="C561" s="624" t="s">
        <v>320</v>
      </c>
      <c r="D561" s="608"/>
      <c r="E561" s="518"/>
      <c r="F561" s="518"/>
      <c r="G561" s="608"/>
      <c r="H561" s="518"/>
      <c r="I561" s="518"/>
      <c r="J561" s="518"/>
      <c r="K561" s="518">
        <v>9.4700000000000006</v>
      </c>
      <c r="L561" s="518"/>
      <c r="M561" s="518"/>
      <c r="N561" s="518"/>
      <c r="O561" s="518"/>
      <c r="P561" s="518"/>
      <c r="Q561" s="518"/>
      <c r="R561" s="518"/>
      <c r="S561" s="518"/>
      <c r="T561" s="518"/>
      <c r="U561" s="518"/>
      <c r="V561" s="518"/>
      <c r="W561" s="518"/>
      <c r="X561" s="518"/>
      <c r="Y561" s="518"/>
      <c r="Z561" s="518"/>
      <c r="AA561" s="604"/>
      <c r="AB561" s="604"/>
      <c r="AC561" s="604"/>
      <c r="AD561" s="604"/>
      <c r="AE561" s="604"/>
      <c r="AF561" s="604"/>
      <c r="AG561" s="604"/>
      <c r="AH561" s="604"/>
      <c r="AI561" s="604"/>
      <c r="AJ561" s="604"/>
      <c r="AK561" s="604"/>
      <c r="AL561" s="604"/>
      <c r="AM561" s="604"/>
      <c r="AN561" s="604"/>
    </row>
    <row r="562" spans="1:40" ht="15.75" hidden="1" customHeight="1">
      <c r="A562" s="605">
        <v>44981</v>
      </c>
      <c r="B562" s="596"/>
      <c r="C562" s="624" t="s">
        <v>207</v>
      </c>
      <c r="D562" s="608"/>
      <c r="E562" s="518"/>
      <c r="F562" s="518"/>
      <c r="G562" s="608"/>
      <c r="H562" s="518"/>
      <c r="I562" s="518"/>
      <c r="J562" s="518"/>
      <c r="K562" s="518"/>
      <c r="L562" s="518"/>
      <c r="M562" s="518">
        <v>74.05</v>
      </c>
      <c r="N562" s="518"/>
      <c r="O562" s="518"/>
      <c r="P562" s="518"/>
      <c r="Q562" s="518"/>
      <c r="R562" s="518"/>
      <c r="S562" s="518"/>
      <c r="T562" s="518"/>
      <c r="U562" s="518"/>
      <c r="V562" s="518"/>
      <c r="W562" s="518"/>
      <c r="X562" s="518"/>
      <c r="Y562" s="518"/>
      <c r="Z562" s="518"/>
      <c r="AA562" s="604"/>
      <c r="AB562" s="604"/>
      <c r="AC562" s="604"/>
      <c r="AD562" s="604"/>
      <c r="AE562" s="604"/>
      <c r="AF562" s="604"/>
      <c r="AG562" s="604"/>
      <c r="AH562" s="604"/>
      <c r="AI562" s="604"/>
      <c r="AJ562" s="604"/>
      <c r="AK562" s="604"/>
      <c r="AL562" s="604"/>
      <c r="AM562" s="604"/>
      <c r="AN562" s="604"/>
    </row>
    <row r="563" spans="1:40" ht="15.75" hidden="1" customHeight="1">
      <c r="A563" s="605">
        <v>44981</v>
      </c>
      <c r="B563" s="596"/>
      <c r="C563" s="624" t="s">
        <v>207</v>
      </c>
      <c r="D563" s="608"/>
      <c r="E563" s="518"/>
      <c r="F563" s="518"/>
      <c r="G563" s="608"/>
      <c r="H563" s="518"/>
      <c r="I563" s="518"/>
      <c r="J563" s="518"/>
      <c r="K563" s="518"/>
      <c r="L563" s="518"/>
      <c r="M563" s="518">
        <v>78.52</v>
      </c>
      <c r="N563" s="518"/>
      <c r="O563" s="518"/>
      <c r="P563" s="518"/>
      <c r="Q563" s="518"/>
      <c r="R563" s="518"/>
      <c r="S563" s="518"/>
      <c r="T563" s="518"/>
      <c r="U563" s="518"/>
      <c r="V563" s="518"/>
      <c r="W563" s="518"/>
      <c r="X563" s="518"/>
      <c r="Y563" s="518"/>
      <c r="Z563" s="518"/>
      <c r="AA563" s="604"/>
      <c r="AB563" s="604"/>
      <c r="AC563" s="604"/>
      <c r="AD563" s="604"/>
      <c r="AE563" s="604"/>
      <c r="AF563" s="604"/>
      <c r="AG563" s="604"/>
      <c r="AH563" s="604"/>
      <c r="AI563" s="604"/>
      <c r="AJ563" s="604"/>
      <c r="AK563" s="604"/>
      <c r="AL563" s="604"/>
      <c r="AM563" s="604"/>
      <c r="AN563" s="604"/>
    </row>
    <row r="564" spans="1:40" ht="15.75" hidden="1" customHeight="1">
      <c r="A564" s="605">
        <v>44984</v>
      </c>
      <c r="B564" s="596"/>
      <c r="C564" s="624" t="s">
        <v>363</v>
      </c>
      <c r="D564" s="608"/>
      <c r="E564" s="518"/>
      <c r="F564" s="518"/>
      <c r="G564" s="608"/>
      <c r="H564" s="518"/>
      <c r="I564" s="518"/>
      <c r="J564" s="518"/>
      <c r="K564" s="518"/>
      <c r="L564" s="518"/>
      <c r="M564" s="518"/>
      <c r="N564" s="518"/>
      <c r="O564" s="518">
        <v>192.56</v>
      </c>
      <c r="P564" s="518"/>
      <c r="Q564" s="518"/>
      <c r="R564" s="518"/>
      <c r="S564" s="518"/>
      <c r="T564" s="518"/>
      <c r="U564" s="518"/>
      <c r="V564" s="518"/>
      <c r="W564" s="518"/>
      <c r="X564" s="518"/>
      <c r="Y564" s="518"/>
      <c r="Z564" s="518"/>
      <c r="AA564" s="604"/>
      <c r="AB564" s="604"/>
      <c r="AC564" s="604"/>
      <c r="AD564" s="604"/>
      <c r="AE564" s="604"/>
      <c r="AF564" s="604"/>
      <c r="AG564" s="604"/>
      <c r="AH564" s="604"/>
      <c r="AI564" s="604"/>
      <c r="AJ564" s="604"/>
      <c r="AK564" s="604"/>
      <c r="AL564" s="604"/>
      <c r="AM564" s="604"/>
      <c r="AN564" s="604"/>
    </row>
    <row r="565" spans="1:40" ht="18" hidden="1" customHeight="1">
      <c r="A565" s="605">
        <v>44985</v>
      </c>
      <c r="B565" s="596"/>
      <c r="C565" s="624" t="s">
        <v>320</v>
      </c>
      <c r="D565" s="608"/>
      <c r="E565" s="518"/>
      <c r="F565" s="518"/>
      <c r="G565" s="608"/>
      <c r="H565" s="518"/>
      <c r="I565" s="518"/>
      <c r="J565" s="518"/>
      <c r="K565" s="518">
        <v>9.4700000000000006</v>
      </c>
      <c r="L565" s="518"/>
      <c r="M565" s="518"/>
      <c r="N565" s="518"/>
      <c r="O565" s="518"/>
      <c r="P565" s="518"/>
      <c r="Q565" s="518"/>
      <c r="R565" s="518"/>
      <c r="S565" s="518"/>
      <c r="T565" s="518"/>
      <c r="U565" s="518"/>
      <c r="V565" s="518"/>
      <c r="W565" s="518"/>
      <c r="X565" s="518"/>
      <c r="Y565" s="518"/>
      <c r="Z565" s="518"/>
      <c r="AA565" s="604"/>
      <c r="AB565" s="604"/>
      <c r="AC565" s="604"/>
      <c r="AD565" s="604"/>
      <c r="AE565" s="604"/>
      <c r="AF565" s="604"/>
      <c r="AG565" s="604"/>
      <c r="AH565" s="604"/>
      <c r="AI565" s="604"/>
      <c r="AJ565" s="604"/>
      <c r="AK565" s="604"/>
      <c r="AL565" s="604"/>
      <c r="AM565" s="604"/>
      <c r="AN565" s="604"/>
    </row>
    <row r="566" spans="1:40" ht="18" hidden="1" customHeight="1">
      <c r="A566" s="605">
        <v>44985</v>
      </c>
      <c r="B566" s="596"/>
      <c r="C566" s="624" t="s">
        <v>208</v>
      </c>
      <c r="D566" s="608"/>
      <c r="E566" s="518"/>
      <c r="F566" s="518"/>
      <c r="G566" s="608"/>
      <c r="H566" s="518"/>
      <c r="I566" s="518"/>
      <c r="J566" s="518"/>
      <c r="K566" s="518"/>
      <c r="L566" s="518"/>
      <c r="M566" s="518"/>
      <c r="N566" s="518"/>
      <c r="O566" s="518"/>
      <c r="P566" s="518"/>
      <c r="Q566" s="518"/>
      <c r="R566" s="518"/>
      <c r="S566" s="518">
        <v>7.37</v>
      </c>
      <c r="T566" s="518"/>
      <c r="U566" s="518"/>
      <c r="V566" s="518"/>
      <c r="W566" s="518"/>
      <c r="X566" s="518"/>
      <c r="Y566" s="518"/>
      <c r="Z566" s="518"/>
      <c r="AA566" s="604"/>
      <c r="AB566" s="604"/>
      <c r="AC566" s="604"/>
      <c r="AD566" s="604"/>
      <c r="AE566" s="604"/>
      <c r="AF566" s="604"/>
      <c r="AG566" s="604"/>
      <c r="AH566" s="604"/>
      <c r="AI566" s="604"/>
      <c r="AJ566" s="604"/>
      <c r="AK566" s="604"/>
      <c r="AL566" s="604"/>
      <c r="AM566" s="604"/>
      <c r="AN566" s="604"/>
    </row>
    <row r="567" spans="1:40" ht="18" hidden="1" customHeight="1">
      <c r="A567" s="605">
        <v>44985</v>
      </c>
      <c r="B567" s="596"/>
      <c r="C567" s="624" t="s">
        <v>364</v>
      </c>
      <c r="D567" s="608"/>
      <c r="E567" s="518"/>
      <c r="F567" s="518"/>
      <c r="G567" s="608"/>
      <c r="H567" s="518"/>
      <c r="I567" s="518"/>
      <c r="J567" s="616"/>
      <c r="K567" s="518">
        <v>45.17</v>
      </c>
      <c r="L567" s="518"/>
      <c r="M567" s="518"/>
      <c r="N567" s="518"/>
      <c r="O567" s="518"/>
      <c r="P567" s="518"/>
      <c r="Q567" s="518"/>
      <c r="R567" s="518"/>
      <c r="S567" s="518"/>
      <c r="T567" s="518"/>
      <c r="U567" s="518"/>
      <c r="V567" s="518"/>
      <c r="W567" s="518"/>
      <c r="X567" s="518"/>
      <c r="Y567" s="518"/>
      <c r="Z567" s="518"/>
      <c r="AA567" s="604"/>
      <c r="AB567" s="604"/>
      <c r="AC567" s="604"/>
      <c r="AD567" s="604"/>
      <c r="AE567" s="604"/>
      <c r="AF567" s="604"/>
      <c r="AG567" s="604"/>
      <c r="AH567" s="604"/>
      <c r="AI567" s="604"/>
      <c r="AJ567" s="604"/>
      <c r="AK567" s="604"/>
      <c r="AL567" s="604"/>
      <c r="AM567" s="604"/>
      <c r="AN567" s="604"/>
    </row>
    <row r="568" spans="1:40" ht="15.75" hidden="1" customHeight="1" thickBot="1">
      <c r="A568" s="605"/>
      <c r="B568" s="596"/>
      <c r="C568" s="624"/>
      <c r="D568" s="608"/>
      <c r="E568" s="518"/>
      <c r="F568" s="518"/>
      <c r="G568" s="608"/>
      <c r="H568" s="518"/>
      <c r="I568" s="518"/>
      <c r="J568" s="518"/>
      <c r="K568" s="518"/>
      <c r="L568" s="518"/>
      <c r="M568" s="518"/>
      <c r="N568" s="518"/>
      <c r="O568" s="518"/>
      <c r="P568" s="518"/>
      <c r="Q568" s="518"/>
      <c r="R568" s="518"/>
      <c r="S568" s="518"/>
      <c r="T568" s="518"/>
      <c r="U568" s="518"/>
      <c r="V568" s="518"/>
      <c r="W568" s="518"/>
      <c r="X568" s="518"/>
      <c r="Y568" s="518"/>
      <c r="Z568" s="518"/>
      <c r="AA568" s="604"/>
      <c r="AB568" s="604"/>
      <c r="AC568" s="604"/>
      <c r="AD568" s="604"/>
      <c r="AE568" s="604"/>
      <c r="AF568" s="604"/>
      <c r="AG568" s="604"/>
      <c r="AH568" s="604"/>
      <c r="AI568" s="604"/>
      <c r="AJ568" s="604"/>
      <c r="AK568" s="604"/>
      <c r="AL568" s="604"/>
      <c r="AM568" s="604"/>
      <c r="AN568" s="604"/>
    </row>
    <row r="569" spans="1:40" ht="15.75" hidden="1" customHeight="1" thickTop="1">
      <c r="A569" s="625"/>
      <c r="B569" s="626">
        <v>44986</v>
      </c>
      <c r="C569" s="627"/>
      <c r="D569" s="601"/>
      <c r="E569" s="602"/>
      <c r="F569" s="602"/>
      <c r="G569" s="602"/>
      <c r="H569" s="602"/>
      <c r="I569" s="602"/>
      <c r="J569" s="602"/>
      <c r="K569" s="602"/>
      <c r="L569" s="602"/>
      <c r="M569" s="602"/>
      <c r="N569" s="602"/>
      <c r="O569" s="602"/>
      <c r="P569" s="602"/>
      <c r="Q569" s="602"/>
      <c r="R569" s="602"/>
      <c r="S569" s="602"/>
      <c r="T569" s="602"/>
      <c r="U569" s="602"/>
      <c r="V569" s="602"/>
      <c r="W569" s="602"/>
      <c r="X569" s="602"/>
      <c r="Y569" s="602"/>
      <c r="Z569" s="602"/>
      <c r="AA569" s="604"/>
      <c r="AB569" s="604"/>
      <c r="AC569" s="604"/>
      <c r="AD569" s="604"/>
      <c r="AE569" s="604"/>
      <c r="AF569" s="604"/>
      <c r="AG569" s="604"/>
      <c r="AH569" s="604"/>
      <c r="AI569" s="604"/>
      <c r="AJ569" s="604"/>
      <c r="AK569" s="604"/>
      <c r="AL569" s="604"/>
      <c r="AM569" s="604"/>
      <c r="AN569" s="604"/>
    </row>
    <row r="570" spans="1:40" ht="15.75" hidden="1" customHeight="1">
      <c r="A570" s="605">
        <v>44986</v>
      </c>
      <c r="B570" s="628"/>
      <c r="C570" s="629" t="s">
        <v>62</v>
      </c>
      <c r="D570" s="608"/>
      <c r="E570" s="518"/>
      <c r="F570" s="518"/>
      <c r="G570" s="608"/>
      <c r="H570" s="518"/>
      <c r="I570" s="518"/>
      <c r="J570" s="518"/>
      <c r="K570" s="518"/>
      <c r="L570" s="518"/>
      <c r="M570" s="518"/>
      <c r="N570" s="518"/>
      <c r="O570" s="518"/>
      <c r="P570" s="518"/>
      <c r="Q570" s="518"/>
      <c r="R570" s="518"/>
      <c r="S570" s="518"/>
      <c r="T570" s="518"/>
      <c r="U570" s="518"/>
      <c r="V570" s="518">
        <v>1036.55</v>
      </c>
      <c r="W570" s="518"/>
      <c r="X570" s="518"/>
      <c r="Y570" s="518"/>
      <c r="Z570" s="518"/>
      <c r="AA570" s="604"/>
      <c r="AB570" s="604"/>
      <c r="AC570" s="604"/>
      <c r="AD570" s="604"/>
      <c r="AE570" s="604"/>
      <c r="AF570" s="604"/>
      <c r="AG570" s="604"/>
      <c r="AH570" s="604"/>
      <c r="AI570" s="604"/>
      <c r="AJ570" s="604"/>
      <c r="AK570" s="604"/>
      <c r="AL570" s="604"/>
      <c r="AM570" s="604"/>
      <c r="AN570" s="604"/>
    </row>
    <row r="571" spans="1:40" ht="15.75" hidden="1" customHeight="1">
      <c r="A571" s="605">
        <v>44986</v>
      </c>
      <c r="B571" s="631"/>
      <c r="C571" s="607" t="s">
        <v>64</v>
      </c>
      <c r="D571" s="608"/>
      <c r="E571" s="518"/>
      <c r="F571" s="518"/>
      <c r="G571" s="608"/>
      <c r="H571" s="518"/>
      <c r="I571" s="518"/>
      <c r="J571" s="518"/>
      <c r="K571" s="518"/>
      <c r="L571" s="518"/>
      <c r="M571" s="518"/>
      <c r="N571" s="518"/>
      <c r="O571" s="518"/>
      <c r="P571" s="518"/>
      <c r="Q571" s="518"/>
      <c r="R571" s="518"/>
      <c r="S571" s="518"/>
      <c r="T571" s="518">
        <v>700</v>
      </c>
      <c r="U571" s="518"/>
      <c r="V571" s="518"/>
      <c r="W571" s="518"/>
      <c r="X571" s="518"/>
      <c r="Y571" s="518"/>
      <c r="Z571" s="518"/>
      <c r="AA571" s="604"/>
      <c r="AB571" s="604"/>
      <c r="AC571" s="604"/>
      <c r="AD571" s="604"/>
      <c r="AE571" s="604"/>
      <c r="AF571" s="604"/>
      <c r="AG571" s="604"/>
      <c r="AH571" s="604"/>
      <c r="AI571" s="604"/>
      <c r="AJ571" s="604"/>
      <c r="AK571" s="604"/>
      <c r="AL571" s="604"/>
      <c r="AM571" s="604"/>
      <c r="AN571" s="604"/>
    </row>
    <row r="572" spans="1:40" ht="15.75" hidden="1" customHeight="1">
      <c r="A572" s="605">
        <v>44986</v>
      </c>
      <c r="B572" s="612"/>
      <c r="C572" s="611" t="s">
        <v>63</v>
      </c>
      <c r="D572" s="608"/>
      <c r="E572" s="518"/>
      <c r="F572" s="518"/>
      <c r="G572" s="608"/>
      <c r="H572" s="518"/>
      <c r="I572" s="518"/>
      <c r="J572" s="518"/>
      <c r="K572" s="518"/>
      <c r="L572" s="518"/>
      <c r="M572" s="518"/>
      <c r="N572" s="518"/>
      <c r="O572" s="518"/>
      <c r="P572" s="518"/>
      <c r="Q572" s="518"/>
      <c r="R572" s="518"/>
      <c r="S572" s="518"/>
      <c r="T572" s="518">
        <v>283.77</v>
      </c>
      <c r="U572" s="518"/>
      <c r="V572" s="518"/>
      <c r="W572" s="518"/>
      <c r="X572" s="518"/>
      <c r="Y572" s="518"/>
      <c r="Z572" s="518"/>
      <c r="AA572" s="604"/>
      <c r="AB572" s="604"/>
      <c r="AC572" s="604"/>
      <c r="AD572" s="604"/>
      <c r="AE572" s="604"/>
      <c r="AF572" s="604"/>
      <c r="AG572" s="604"/>
      <c r="AH572" s="604"/>
      <c r="AI572" s="604"/>
      <c r="AJ572" s="604"/>
      <c r="AK572" s="604"/>
      <c r="AL572" s="604"/>
      <c r="AM572" s="604"/>
      <c r="AN572" s="604"/>
    </row>
    <row r="573" spans="1:40" ht="15.75" hidden="1" customHeight="1">
      <c r="A573" s="605">
        <v>44987</v>
      </c>
      <c r="B573" s="610">
        <f>'Conversion rates'!B18</f>
        <v>1.1326799999999999</v>
      </c>
      <c r="C573" s="611" t="s">
        <v>276</v>
      </c>
      <c r="D573" s="608"/>
      <c r="E573" s="518"/>
      <c r="F573" s="518"/>
      <c r="G573" s="608"/>
      <c r="H573" s="518"/>
      <c r="I573" s="518"/>
      <c r="J573" s="518"/>
      <c r="K573" s="518"/>
      <c r="L573" s="518"/>
      <c r="M573" s="518"/>
      <c r="N573" s="518"/>
      <c r="O573" s="518"/>
      <c r="P573" s="518"/>
      <c r="Q573" s="518"/>
      <c r="R573" s="518"/>
      <c r="S573" s="518"/>
      <c r="T573" s="518">
        <v>80</v>
      </c>
      <c r="U573" s="518"/>
      <c r="V573" s="518"/>
      <c r="W573" s="518"/>
      <c r="X573" s="518"/>
      <c r="Y573" s="518"/>
      <c r="Z573" s="518"/>
      <c r="AA573" s="604"/>
      <c r="AB573" s="604"/>
      <c r="AC573" s="604"/>
      <c r="AD573" s="604"/>
      <c r="AE573" s="604"/>
      <c r="AF573" s="604"/>
      <c r="AG573" s="604"/>
      <c r="AH573" s="604"/>
      <c r="AI573" s="604"/>
      <c r="AJ573" s="604"/>
      <c r="AK573" s="604"/>
      <c r="AL573" s="604"/>
      <c r="AM573" s="604"/>
      <c r="AN573" s="604"/>
    </row>
    <row r="574" spans="1:40" ht="15.75" hidden="1" customHeight="1">
      <c r="A574" s="605">
        <v>44988</v>
      </c>
      <c r="B574" s="615"/>
      <c r="C574" s="614" t="s">
        <v>194</v>
      </c>
      <c r="D574" s="608"/>
      <c r="E574" s="518"/>
      <c r="F574" s="518"/>
      <c r="G574" s="608"/>
      <c r="H574" s="518"/>
      <c r="I574" s="518"/>
      <c r="J574" s="518"/>
      <c r="K574" s="518"/>
      <c r="L574" s="518"/>
      <c r="M574" s="518"/>
      <c r="N574" s="518"/>
      <c r="O574" s="518"/>
      <c r="P574" s="518"/>
      <c r="Q574" s="518"/>
      <c r="R574" s="518"/>
      <c r="S574" s="518">
        <v>9.26</v>
      </c>
      <c r="T574" s="518"/>
      <c r="U574" s="518"/>
      <c r="V574" s="518"/>
      <c r="W574" s="518"/>
      <c r="X574" s="518"/>
      <c r="Y574" s="518"/>
      <c r="Z574" s="518"/>
      <c r="AA574" s="604"/>
      <c r="AB574" s="604"/>
      <c r="AC574" s="604"/>
      <c r="AD574" s="604"/>
      <c r="AE574" s="604"/>
      <c r="AF574" s="604"/>
      <c r="AG574" s="604"/>
      <c r="AH574" s="604"/>
      <c r="AI574" s="604"/>
      <c r="AJ574" s="604"/>
      <c r="AK574" s="604"/>
      <c r="AL574" s="604"/>
      <c r="AM574" s="604"/>
      <c r="AN574" s="604"/>
    </row>
    <row r="575" spans="1:40" ht="15.75" hidden="1" customHeight="1">
      <c r="A575" s="605">
        <v>44995</v>
      </c>
      <c r="B575" s="612" t="s">
        <v>310</v>
      </c>
      <c r="C575" s="614" t="s">
        <v>365</v>
      </c>
      <c r="D575" s="608"/>
      <c r="E575" s="518"/>
      <c r="F575" s="518"/>
      <c r="G575" s="608"/>
      <c r="H575" s="518"/>
      <c r="I575" s="518"/>
      <c r="J575" s="518"/>
      <c r="K575" s="518"/>
      <c r="L575" s="518"/>
      <c r="M575" s="616"/>
      <c r="N575" s="518">
        <f>800*B573</f>
        <v>906.14399999999989</v>
      </c>
      <c r="O575" s="518"/>
      <c r="P575" s="518"/>
      <c r="Q575" s="518"/>
      <c r="R575" s="518"/>
      <c r="S575" s="518"/>
      <c r="T575" s="518"/>
      <c r="U575" s="518"/>
      <c r="V575" s="518"/>
      <c r="W575" s="518"/>
      <c r="X575" s="518"/>
      <c r="Y575" s="518"/>
      <c r="Z575" s="518"/>
      <c r="AA575" s="604"/>
      <c r="AB575" s="604"/>
      <c r="AC575" s="604"/>
      <c r="AD575" s="604"/>
      <c r="AE575" s="604"/>
      <c r="AF575" s="604"/>
      <c r="AG575" s="604"/>
      <c r="AH575" s="604"/>
      <c r="AI575" s="604"/>
      <c r="AJ575" s="604"/>
      <c r="AK575" s="604"/>
      <c r="AL575" s="604"/>
      <c r="AM575" s="604"/>
      <c r="AN575" s="604"/>
    </row>
    <row r="576" spans="1:40" ht="15.75" hidden="1" customHeight="1">
      <c r="A576" s="605">
        <v>45000</v>
      </c>
      <c r="B576" s="612"/>
      <c r="C576" s="611" t="s">
        <v>65</v>
      </c>
      <c r="D576" s="608"/>
      <c r="E576" s="518"/>
      <c r="F576" s="518"/>
      <c r="G576" s="608"/>
      <c r="H576" s="518"/>
      <c r="I576" s="518"/>
      <c r="J576" s="518"/>
      <c r="K576" s="518"/>
      <c r="L576" s="518"/>
      <c r="M576" s="518"/>
      <c r="N576" s="518"/>
      <c r="O576" s="518"/>
      <c r="P576" s="518"/>
      <c r="Q576" s="518"/>
      <c r="R576" s="518"/>
      <c r="S576" s="518"/>
      <c r="T576" s="518">
        <v>18</v>
      </c>
      <c r="U576" s="518"/>
      <c r="V576" s="518"/>
      <c r="W576" s="518"/>
      <c r="X576" s="518"/>
      <c r="Y576" s="518"/>
      <c r="Z576" s="518"/>
      <c r="AA576" s="604"/>
      <c r="AB576" s="604"/>
      <c r="AC576" s="604"/>
      <c r="AD576" s="604"/>
      <c r="AE576" s="604"/>
      <c r="AF576" s="604"/>
      <c r="AG576" s="604"/>
      <c r="AH576" s="604"/>
      <c r="AI576" s="604"/>
      <c r="AJ576" s="604"/>
      <c r="AK576" s="604"/>
      <c r="AL576" s="604"/>
      <c r="AM576" s="604"/>
      <c r="AN576" s="604"/>
    </row>
    <row r="577" spans="1:40" ht="15.75" hidden="1" customHeight="1">
      <c r="A577" s="605">
        <v>45000</v>
      </c>
      <c r="B577" s="613"/>
      <c r="C577" s="611" t="s">
        <v>168</v>
      </c>
      <c r="D577" s="608"/>
      <c r="E577" s="518"/>
      <c r="F577" s="518"/>
      <c r="G577" s="608"/>
      <c r="H577" s="518"/>
      <c r="I577" s="518"/>
      <c r="J577" s="518"/>
      <c r="K577" s="518"/>
      <c r="L577" s="518"/>
      <c r="M577" s="518"/>
      <c r="N577" s="518"/>
      <c r="O577" s="518"/>
      <c r="P577" s="518"/>
      <c r="Q577" s="518"/>
      <c r="R577" s="518"/>
      <c r="S577" s="518"/>
      <c r="T577" s="518">
        <v>1608.68</v>
      </c>
      <c r="U577" s="518"/>
      <c r="V577" s="518"/>
      <c r="W577" s="518"/>
      <c r="X577" s="518"/>
      <c r="Y577" s="518"/>
      <c r="Z577" s="518"/>
      <c r="AA577" s="604"/>
      <c r="AB577" s="604"/>
      <c r="AC577" s="604"/>
      <c r="AD577" s="604"/>
      <c r="AE577" s="604"/>
      <c r="AF577" s="604"/>
      <c r="AG577" s="604"/>
      <c r="AH577" s="604"/>
      <c r="AI577" s="604"/>
      <c r="AJ577" s="604"/>
      <c r="AK577" s="604"/>
      <c r="AL577" s="604"/>
      <c r="AM577" s="604"/>
      <c r="AN577" s="604"/>
    </row>
    <row r="578" spans="1:40" ht="15.75" hidden="1" customHeight="1">
      <c r="A578" s="605">
        <v>45000</v>
      </c>
      <c r="B578" s="615"/>
      <c r="C578" s="611" t="s">
        <v>341</v>
      </c>
      <c r="D578" s="608"/>
      <c r="E578" s="518"/>
      <c r="F578" s="518"/>
      <c r="G578" s="608"/>
      <c r="H578" s="518">
        <v>823.78</v>
      </c>
      <c r="I578" s="518"/>
      <c r="J578" s="518"/>
      <c r="K578" s="518"/>
      <c r="L578" s="518"/>
      <c r="M578" s="518"/>
      <c r="N578" s="518"/>
      <c r="O578" s="518"/>
      <c r="P578" s="518"/>
      <c r="Q578" s="518"/>
      <c r="R578" s="518"/>
      <c r="S578" s="518"/>
      <c r="T578" s="518"/>
      <c r="U578" s="518"/>
      <c r="V578" s="518"/>
      <c r="W578" s="518"/>
      <c r="X578" s="518"/>
      <c r="Y578" s="518"/>
      <c r="Z578" s="518"/>
      <c r="AA578" s="604"/>
      <c r="AB578" s="604"/>
      <c r="AC578" s="604"/>
      <c r="AD578" s="604"/>
      <c r="AE578" s="604"/>
      <c r="AF578" s="604"/>
      <c r="AG578" s="604"/>
      <c r="AH578" s="604"/>
      <c r="AI578" s="604"/>
      <c r="AJ578" s="604"/>
      <c r="AK578" s="604"/>
      <c r="AL578" s="604"/>
      <c r="AM578" s="604"/>
      <c r="AN578" s="604"/>
    </row>
    <row r="579" spans="1:40" ht="15.75" hidden="1" customHeight="1">
      <c r="A579" s="605">
        <v>45002</v>
      </c>
      <c r="B579" s="613"/>
      <c r="C579" s="611" t="s">
        <v>111</v>
      </c>
      <c r="D579" s="608"/>
      <c r="E579" s="518"/>
      <c r="F579" s="518"/>
      <c r="G579" s="608"/>
      <c r="H579" s="518"/>
      <c r="I579" s="518"/>
      <c r="J579" s="616"/>
      <c r="K579" s="518">
        <v>29.99</v>
      </c>
      <c r="L579" s="518"/>
      <c r="M579" s="518"/>
      <c r="N579" s="518"/>
      <c r="O579" s="518"/>
      <c r="P579" s="518"/>
      <c r="Q579" s="518"/>
      <c r="R579" s="518"/>
      <c r="S579" s="518"/>
      <c r="T579" s="518"/>
      <c r="U579" s="518"/>
      <c r="V579" s="518"/>
      <c r="W579" s="518"/>
      <c r="X579" s="518"/>
      <c r="Y579" s="518"/>
      <c r="Z579" s="518"/>
      <c r="AA579" s="604"/>
      <c r="AB579" s="604"/>
      <c r="AC579" s="604"/>
      <c r="AD579" s="604"/>
      <c r="AE579" s="604"/>
      <c r="AF579" s="604"/>
      <c r="AG579" s="604"/>
      <c r="AH579" s="604"/>
      <c r="AI579" s="604"/>
      <c r="AJ579" s="604"/>
      <c r="AK579" s="604"/>
      <c r="AL579" s="604"/>
      <c r="AM579" s="604"/>
      <c r="AN579" s="604"/>
    </row>
    <row r="580" spans="1:40" ht="15.75" hidden="1" customHeight="1">
      <c r="A580" s="605">
        <v>45005</v>
      </c>
      <c r="B580" s="613"/>
      <c r="C580" s="611" t="s">
        <v>78</v>
      </c>
      <c r="D580" s="608"/>
      <c r="E580" s="518"/>
      <c r="F580" s="518"/>
      <c r="G580" s="608"/>
      <c r="H580" s="518"/>
      <c r="I580" s="518"/>
      <c r="J580" s="518">
        <v>20.43</v>
      </c>
      <c r="K580" s="518"/>
      <c r="L580" s="518"/>
      <c r="M580" s="518"/>
      <c r="N580" s="518"/>
      <c r="O580" s="518"/>
      <c r="P580" s="518"/>
      <c r="Q580" s="518"/>
      <c r="R580" s="518"/>
      <c r="S580" s="518"/>
      <c r="T580" s="518"/>
      <c r="U580" s="518"/>
      <c r="V580" s="518"/>
      <c r="W580" s="518"/>
      <c r="X580" s="518"/>
      <c r="Y580" s="518"/>
      <c r="Z580" s="518"/>
      <c r="AA580" s="604"/>
      <c r="AB580" s="604"/>
      <c r="AC580" s="604"/>
      <c r="AD580" s="604"/>
      <c r="AE580" s="604"/>
      <c r="AF580" s="604"/>
      <c r="AG580" s="604"/>
      <c r="AH580" s="604"/>
      <c r="AI580" s="604"/>
      <c r="AJ580" s="604"/>
      <c r="AK580" s="604"/>
      <c r="AL580" s="604"/>
      <c r="AM580" s="604"/>
      <c r="AN580" s="604"/>
    </row>
    <row r="581" spans="1:40" ht="15.75" hidden="1" customHeight="1">
      <c r="A581" s="605">
        <v>45007</v>
      </c>
      <c r="B581" s="612"/>
      <c r="C581" s="611" t="s">
        <v>64</v>
      </c>
      <c r="D581" s="608"/>
      <c r="E581" s="518"/>
      <c r="F581" s="518"/>
      <c r="G581" s="608"/>
      <c r="H581" s="518"/>
      <c r="I581" s="518"/>
      <c r="J581" s="518"/>
      <c r="K581" s="518"/>
      <c r="L581" s="518"/>
      <c r="M581" s="518"/>
      <c r="N581" s="518"/>
      <c r="O581" s="518"/>
      <c r="P581" s="518"/>
      <c r="Q581" s="518"/>
      <c r="R581" s="518"/>
      <c r="S581" s="518"/>
      <c r="T581" s="518">
        <v>50</v>
      </c>
      <c r="U581" s="518"/>
      <c r="V581" s="518"/>
      <c r="W581" s="518"/>
      <c r="X581" s="518"/>
      <c r="Y581" s="518"/>
      <c r="Z581" s="518"/>
      <c r="AA581" s="604"/>
      <c r="AB581" s="604"/>
      <c r="AC581" s="604"/>
      <c r="AD581" s="604"/>
      <c r="AE581" s="604"/>
      <c r="AF581" s="604"/>
      <c r="AG581" s="604"/>
      <c r="AH581" s="604"/>
      <c r="AI581" s="604"/>
      <c r="AJ581" s="604"/>
      <c r="AK581" s="604"/>
      <c r="AL581" s="604"/>
      <c r="AM581" s="604"/>
      <c r="AN581" s="604"/>
    </row>
    <row r="582" spans="1:40" ht="15.75" hidden="1" customHeight="1">
      <c r="A582" s="605">
        <v>45015</v>
      </c>
      <c r="B582" s="615"/>
      <c r="C582" s="611" t="s">
        <v>320</v>
      </c>
      <c r="D582" s="608"/>
      <c r="E582" s="518"/>
      <c r="F582" s="518"/>
      <c r="G582" s="608"/>
      <c r="H582" s="518"/>
      <c r="I582" s="518"/>
      <c r="J582" s="518"/>
      <c r="K582" s="518">
        <f>9.67+9.65+9.49+9.5+9.5+9.43+9.46+9.35</f>
        <v>76.05</v>
      </c>
      <c r="L582" s="518"/>
      <c r="M582" s="518"/>
      <c r="N582" s="518"/>
      <c r="O582" s="518"/>
      <c r="P582" s="518"/>
      <c r="Q582" s="518"/>
      <c r="R582" s="518"/>
      <c r="S582" s="518"/>
      <c r="T582" s="518"/>
      <c r="U582" s="518"/>
      <c r="V582" s="518"/>
      <c r="W582" s="518"/>
      <c r="X582" s="518"/>
      <c r="Y582" s="518"/>
      <c r="Z582" s="518"/>
      <c r="AA582" s="604"/>
      <c r="AB582" s="604"/>
      <c r="AC582" s="604"/>
      <c r="AD582" s="604"/>
      <c r="AE582" s="604"/>
      <c r="AF582" s="604"/>
      <c r="AG582" s="604"/>
      <c r="AH582" s="604"/>
      <c r="AI582" s="604"/>
      <c r="AJ582" s="604"/>
      <c r="AK582" s="604"/>
      <c r="AL582" s="604"/>
      <c r="AM582" s="604"/>
      <c r="AN582" s="604"/>
    </row>
    <row r="583" spans="1:40" ht="15.75" hidden="1" customHeight="1">
      <c r="A583" s="605">
        <v>45015</v>
      </c>
      <c r="B583" s="615"/>
      <c r="C583" s="611" t="s">
        <v>364</v>
      </c>
      <c r="D583" s="608"/>
      <c r="E583" s="518"/>
      <c r="F583" s="518"/>
      <c r="G583" s="608"/>
      <c r="H583" s="518"/>
      <c r="I583" s="518"/>
      <c r="J583" s="616"/>
      <c r="K583" s="518">
        <f>11.31+11.34+11.34+11.43</f>
        <v>45.419999999999995</v>
      </c>
      <c r="L583" s="518"/>
      <c r="M583" s="518"/>
      <c r="N583" s="518"/>
      <c r="O583" s="518"/>
      <c r="P583" s="518"/>
      <c r="Q583" s="518"/>
      <c r="R583" s="518"/>
      <c r="S583" s="518"/>
      <c r="T583" s="518"/>
      <c r="U583" s="518"/>
      <c r="V583" s="518"/>
      <c r="W583" s="518"/>
      <c r="X583" s="518"/>
      <c r="Y583" s="518"/>
      <c r="Z583" s="518"/>
      <c r="AA583" s="604"/>
      <c r="AB583" s="604"/>
      <c r="AC583" s="604"/>
      <c r="AD583" s="604"/>
      <c r="AE583" s="604"/>
      <c r="AF583" s="604"/>
      <c r="AG583" s="604"/>
      <c r="AH583" s="604"/>
      <c r="AI583" s="604"/>
      <c r="AJ583" s="604"/>
      <c r="AK583" s="604"/>
      <c r="AL583" s="604"/>
      <c r="AM583" s="604"/>
      <c r="AN583" s="604"/>
    </row>
    <row r="584" spans="1:40" ht="15.75" hidden="1" customHeight="1">
      <c r="A584" s="605">
        <v>45016</v>
      </c>
      <c r="B584" s="612"/>
      <c r="C584" s="611" t="s">
        <v>366</v>
      </c>
      <c r="D584" s="608"/>
      <c r="E584" s="518"/>
      <c r="F584" s="518"/>
      <c r="G584" s="608"/>
      <c r="H584" s="518"/>
      <c r="I584" s="518"/>
      <c r="J584" s="518"/>
      <c r="K584" s="518"/>
      <c r="L584" s="518"/>
      <c r="M584" s="518"/>
      <c r="N584" s="518"/>
      <c r="O584" s="518"/>
      <c r="P584" s="518"/>
      <c r="Q584" s="518"/>
      <c r="R584" s="518"/>
      <c r="S584" s="518">
        <v>20.7</v>
      </c>
      <c r="T584" s="518"/>
      <c r="U584" s="518"/>
      <c r="V584" s="518"/>
      <c r="W584" s="518"/>
      <c r="X584" s="518"/>
      <c r="Y584" s="518"/>
      <c r="Z584" s="518"/>
      <c r="AA584" s="604"/>
      <c r="AB584" s="604"/>
      <c r="AC584" s="604"/>
      <c r="AD584" s="604"/>
      <c r="AE584" s="604"/>
      <c r="AF584" s="604"/>
      <c r="AG584" s="604"/>
      <c r="AH584" s="604"/>
      <c r="AI584" s="604"/>
      <c r="AJ584" s="604"/>
      <c r="AK584" s="604"/>
      <c r="AL584" s="604"/>
      <c r="AM584" s="604"/>
      <c r="AN584" s="604"/>
    </row>
    <row r="585" spans="1:40" ht="15.75" hidden="1" customHeight="1">
      <c r="A585" s="605">
        <v>45016</v>
      </c>
      <c r="B585" s="615"/>
      <c r="C585" s="614" t="s">
        <v>260</v>
      </c>
      <c r="D585" s="608"/>
      <c r="E585" s="518">
        <v>580.05999999999995</v>
      </c>
      <c r="F585" s="518"/>
      <c r="G585" s="608"/>
      <c r="H585" s="518"/>
      <c r="I585" s="518"/>
      <c r="J585" s="518"/>
      <c r="K585" s="518"/>
      <c r="L585" s="518"/>
      <c r="M585" s="518"/>
      <c r="N585" s="518"/>
      <c r="O585" s="518"/>
      <c r="P585" s="518"/>
      <c r="Q585" s="518"/>
      <c r="R585" s="518"/>
      <c r="S585" s="518"/>
      <c r="T585" s="518"/>
      <c r="U585" s="518"/>
      <c r="V585" s="518"/>
      <c r="W585" s="518"/>
      <c r="X585" s="518"/>
      <c r="Y585" s="518"/>
      <c r="Z585" s="518"/>
      <c r="AA585" s="604"/>
      <c r="AB585" s="604"/>
      <c r="AC585" s="604"/>
      <c r="AD585" s="604"/>
      <c r="AE585" s="604"/>
      <c r="AF585" s="604"/>
      <c r="AG585" s="604"/>
      <c r="AH585" s="604"/>
      <c r="AI585" s="604"/>
      <c r="AJ585" s="604"/>
      <c r="AK585" s="604"/>
      <c r="AL585" s="604"/>
      <c r="AM585" s="604"/>
      <c r="AN585" s="604"/>
    </row>
    <row r="586" spans="1:40" ht="15.75" hidden="1" customHeight="1">
      <c r="A586" s="605">
        <v>45016</v>
      </c>
      <c r="B586" s="615"/>
      <c r="C586" s="611" t="s">
        <v>344</v>
      </c>
      <c r="D586" s="608"/>
      <c r="E586" s="518"/>
      <c r="F586" s="518"/>
      <c r="G586" s="608"/>
      <c r="H586" s="518"/>
      <c r="I586" s="518"/>
      <c r="J586" s="518"/>
      <c r="K586" s="518"/>
      <c r="L586" s="518"/>
      <c r="M586" s="518"/>
      <c r="N586" s="518"/>
      <c r="O586" s="518"/>
      <c r="P586" s="518"/>
      <c r="Q586" s="518"/>
      <c r="R586" s="518"/>
      <c r="S586" s="518">
        <v>13.86</v>
      </c>
      <c r="T586" s="518"/>
      <c r="U586" s="518"/>
      <c r="V586" s="518"/>
      <c r="W586" s="518"/>
      <c r="X586" s="518"/>
      <c r="Y586" s="518"/>
      <c r="Z586" s="518"/>
      <c r="AA586" s="604"/>
      <c r="AB586" s="604"/>
      <c r="AC586" s="604"/>
      <c r="AD586" s="604"/>
      <c r="AE586" s="604"/>
      <c r="AF586" s="604"/>
      <c r="AG586" s="604"/>
      <c r="AH586" s="604"/>
      <c r="AI586" s="604"/>
      <c r="AJ586" s="604"/>
      <c r="AK586" s="604"/>
      <c r="AL586" s="604"/>
      <c r="AM586" s="604"/>
      <c r="AN586" s="604"/>
    </row>
    <row r="587" spans="1:40" ht="15.75" hidden="1" customHeight="1">
      <c r="A587" s="605"/>
      <c r="B587" s="632"/>
      <c r="C587" s="633"/>
      <c r="D587" s="608"/>
      <c r="E587" s="518"/>
      <c r="F587" s="518"/>
      <c r="G587" s="608"/>
      <c r="H587" s="518"/>
      <c r="I587" s="518"/>
      <c r="J587" s="518"/>
      <c r="K587" s="518"/>
      <c r="L587" s="518"/>
      <c r="M587" s="518"/>
      <c r="N587" s="518"/>
      <c r="O587" s="518"/>
      <c r="P587" s="518"/>
      <c r="Q587" s="518"/>
      <c r="R587" s="518"/>
      <c r="S587" s="518"/>
      <c r="T587" s="518"/>
      <c r="U587" s="518"/>
      <c r="V587" s="518"/>
      <c r="W587" s="518"/>
      <c r="X587" s="518"/>
      <c r="Y587" s="518"/>
      <c r="Z587" s="518"/>
      <c r="AA587" s="604"/>
      <c r="AB587" s="604"/>
      <c r="AC587" s="604"/>
      <c r="AD587" s="604"/>
      <c r="AE587" s="604"/>
      <c r="AF587" s="604"/>
      <c r="AG587" s="604"/>
      <c r="AH587" s="604"/>
      <c r="AI587" s="604"/>
      <c r="AJ587" s="604"/>
      <c r="AK587" s="604"/>
      <c r="AL587" s="604"/>
      <c r="AM587" s="604"/>
      <c r="AN587" s="604"/>
    </row>
    <row r="588" spans="1:40" ht="15.75" hidden="1" customHeight="1">
      <c r="A588" s="619"/>
      <c r="B588" s="620"/>
      <c r="C588" s="621"/>
      <c r="D588" s="622"/>
      <c r="E588" s="623"/>
      <c r="F588" s="623"/>
      <c r="G588" s="623"/>
      <c r="H588" s="623"/>
      <c r="I588" s="623"/>
      <c r="J588" s="623"/>
      <c r="K588" s="623"/>
      <c r="L588" s="623"/>
      <c r="M588" s="623"/>
      <c r="N588" s="623"/>
      <c r="O588" s="623"/>
      <c r="P588" s="623"/>
      <c r="Q588" s="623"/>
      <c r="R588" s="623"/>
      <c r="S588" s="623"/>
      <c r="T588" s="518"/>
      <c r="U588" s="518"/>
      <c r="V588" s="518"/>
      <c r="W588" s="518"/>
      <c r="X588" s="518"/>
      <c r="Y588" s="518"/>
      <c r="Z588" s="518"/>
      <c r="AA588" s="604"/>
      <c r="AB588" s="604"/>
      <c r="AC588" s="604"/>
      <c r="AD588" s="604"/>
      <c r="AE588" s="604"/>
      <c r="AF588" s="604"/>
      <c r="AG588" s="604"/>
      <c r="AH588" s="604"/>
      <c r="AI588" s="604"/>
      <c r="AJ588" s="604"/>
      <c r="AK588" s="604"/>
      <c r="AL588" s="604"/>
      <c r="AM588" s="604"/>
      <c r="AN588" s="604"/>
    </row>
    <row r="589" spans="1:40" ht="15.75" hidden="1" customHeight="1">
      <c r="A589" s="605">
        <v>41346</v>
      </c>
      <c r="B589" s="596"/>
      <c r="C589" s="624" t="s">
        <v>367</v>
      </c>
      <c r="D589" s="608"/>
      <c r="E589" s="518"/>
      <c r="F589" s="518"/>
      <c r="G589" s="608"/>
      <c r="H589" s="518"/>
      <c r="I589" s="518"/>
      <c r="J589" s="518"/>
      <c r="K589" s="518"/>
      <c r="L589" s="518">
        <v>206.35</v>
      </c>
      <c r="M589" s="518"/>
      <c r="N589" s="518"/>
      <c r="O589" s="518"/>
      <c r="P589" s="518"/>
      <c r="Q589" s="518"/>
      <c r="R589" s="518"/>
      <c r="S589" s="518"/>
      <c r="T589" s="518"/>
      <c r="U589" s="518"/>
      <c r="V589" s="518"/>
      <c r="W589" s="518"/>
      <c r="X589" s="518"/>
      <c r="Y589" s="518"/>
      <c r="Z589" s="518"/>
      <c r="AA589" s="604"/>
      <c r="AB589" s="604"/>
      <c r="AC589" s="604"/>
      <c r="AD589" s="604"/>
      <c r="AE589" s="604"/>
      <c r="AF589" s="604"/>
      <c r="AG589" s="604"/>
      <c r="AH589" s="604"/>
      <c r="AI589" s="604"/>
      <c r="AJ589" s="604"/>
      <c r="AK589" s="604"/>
      <c r="AL589" s="604"/>
      <c r="AM589" s="604"/>
      <c r="AN589" s="604"/>
    </row>
    <row r="590" spans="1:40" ht="15.75" hidden="1" customHeight="1">
      <c r="A590" s="605">
        <v>44988</v>
      </c>
      <c r="B590" s="596" t="s">
        <v>368</v>
      </c>
      <c r="C590" s="624" t="s">
        <v>369</v>
      </c>
      <c r="D590" s="608">
        <v>1750</v>
      </c>
      <c r="E590" s="518"/>
      <c r="F590" s="518"/>
      <c r="G590" s="608"/>
      <c r="H590" s="518"/>
      <c r="I590" s="518"/>
      <c r="J590" s="518"/>
      <c r="K590" s="518"/>
      <c r="L590" s="518"/>
      <c r="M590" s="518"/>
      <c r="N590" s="518"/>
      <c r="O590" s="518"/>
      <c r="P590" s="518"/>
      <c r="Q590" s="518"/>
      <c r="R590" s="518"/>
      <c r="S590" s="518"/>
      <c r="T590" s="518"/>
      <c r="U590" s="518"/>
      <c r="V590" s="518"/>
      <c r="W590" s="518"/>
      <c r="X590" s="518"/>
      <c r="Y590" s="518"/>
      <c r="Z590" s="518"/>
      <c r="AA590" s="604"/>
      <c r="AB590" s="604"/>
      <c r="AC590" s="604"/>
      <c r="AD590" s="604"/>
      <c r="AE590" s="604"/>
      <c r="AF590" s="604"/>
      <c r="AG590" s="604"/>
      <c r="AH590" s="604"/>
      <c r="AI590" s="604"/>
      <c r="AJ590" s="604"/>
      <c r="AK590" s="604"/>
      <c r="AL590" s="604"/>
      <c r="AM590" s="604"/>
      <c r="AN590" s="604"/>
    </row>
    <row r="591" spans="1:40" ht="15.75" hidden="1" customHeight="1">
      <c r="A591" s="605">
        <v>44991</v>
      </c>
      <c r="B591" s="596"/>
      <c r="C591" s="624" t="s">
        <v>370</v>
      </c>
      <c r="D591" s="608"/>
      <c r="E591" s="518"/>
      <c r="F591" s="518">
        <v>1305</v>
      </c>
      <c r="G591" s="608"/>
      <c r="H591" s="518"/>
      <c r="I591" s="518"/>
      <c r="J591" s="518"/>
      <c r="K591" s="518"/>
      <c r="L591" s="518"/>
      <c r="M591" s="518"/>
      <c r="N591" s="518"/>
      <c r="O591" s="518"/>
      <c r="P591" s="518"/>
      <c r="Q591" s="518"/>
      <c r="R591" s="518"/>
      <c r="S591" s="518"/>
      <c r="T591" s="518"/>
      <c r="U591" s="518"/>
      <c r="V591" s="518"/>
      <c r="W591" s="518"/>
      <c r="X591" s="518"/>
      <c r="Y591" s="518"/>
      <c r="Z591" s="518"/>
      <c r="AA591" s="604"/>
      <c r="AB591" s="604"/>
      <c r="AC591" s="604"/>
      <c r="AD591" s="604"/>
      <c r="AE591" s="604"/>
      <c r="AF591" s="604"/>
      <c r="AG591" s="604"/>
      <c r="AH591" s="604"/>
      <c r="AI591" s="604"/>
      <c r="AJ591" s="604"/>
      <c r="AK591" s="604"/>
      <c r="AL591" s="604"/>
      <c r="AM591" s="604"/>
      <c r="AN591" s="604"/>
    </row>
    <row r="592" spans="1:40" ht="15.75" hidden="1" customHeight="1">
      <c r="A592" s="605">
        <v>44991</v>
      </c>
      <c r="B592" s="596"/>
      <c r="C592" s="624" t="s">
        <v>371</v>
      </c>
      <c r="D592" s="608"/>
      <c r="E592" s="518"/>
      <c r="F592" s="518"/>
      <c r="G592" s="608"/>
      <c r="H592" s="518"/>
      <c r="I592" s="518"/>
      <c r="J592" s="518"/>
      <c r="K592" s="518"/>
      <c r="L592" s="518"/>
      <c r="M592" s="518"/>
      <c r="N592" s="518"/>
      <c r="O592" s="518"/>
      <c r="P592" s="518"/>
      <c r="Q592" s="518">
        <v>535.98</v>
      </c>
      <c r="R592" s="518"/>
      <c r="S592" s="518"/>
      <c r="T592" s="518"/>
      <c r="U592" s="518"/>
      <c r="V592" s="518"/>
      <c r="W592" s="518"/>
      <c r="X592" s="518"/>
      <c r="Y592" s="518"/>
      <c r="Z592" s="518"/>
      <c r="AA592" s="604"/>
      <c r="AB592" s="604"/>
      <c r="AC592" s="604"/>
      <c r="AD592" s="604"/>
      <c r="AE592" s="604"/>
      <c r="AF592" s="604"/>
      <c r="AG592" s="604"/>
      <c r="AH592" s="604"/>
      <c r="AI592" s="604"/>
      <c r="AJ592" s="604"/>
      <c r="AK592" s="604"/>
      <c r="AL592" s="604"/>
      <c r="AM592" s="604"/>
      <c r="AN592" s="604"/>
    </row>
    <row r="593" spans="1:40" ht="15.75" hidden="1" customHeight="1">
      <c r="A593" s="605">
        <v>44994</v>
      </c>
      <c r="B593" s="634" t="s">
        <v>372</v>
      </c>
      <c r="C593" s="624" t="s">
        <v>373</v>
      </c>
      <c r="D593" s="608">
        <v>5200</v>
      </c>
      <c r="E593" s="518"/>
      <c r="F593" s="518"/>
      <c r="G593" s="608"/>
      <c r="H593" s="518"/>
      <c r="I593" s="518"/>
      <c r="J593" s="518"/>
      <c r="K593" s="518"/>
      <c r="L593" s="518"/>
      <c r="M593" s="518"/>
      <c r="N593" s="518"/>
      <c r="O593" s="518"/>
      <c r="P593" s="518"/>
      <c r="Q593" s="518"/>
      <c r="R593" s="518"/>
      <c r="S593" s="518"/>
      <c r="T593" s="518"/>
      <c r="U593" s="518"/>
      <c r="V593" s="518"/>
      <c r="W593" s="518"/>
      <c r="X593" s="518"/>
      <c r="Y593" s="518"/>
      <c r="Z593" s="518"/>
      <c r="AA593" s="604"/>
      <c r="AB593" s="604"/>
      <c r="AC593" s="604"/>
      <c r="AD593" s="604"/>
      <c r="AE593" s="604"/>
      <c r="AF593" s="604"/>
      <c r="AG593" s="604"/>
      <c r="AH593" s="604"/>
      <c r="AI593" s="604"/>
      <c r="AJ593" s="604"/>
      <c r="AK593" s="604"/>
      <c r="AL593" s="604"/>
      <c r="AM593" s="604"/>
      <c r="AN593" s="604"/>
    </row>
    <row r="594" spans="1:40" ht="15.75" hidden="1" customHeight="1">
      <c r="A594" s="605">
        <v>44994</v>
      </c>
      <c r="B594" s="596"/>
      <c r="C594" s="624" t="s">
        <v>374</v>
      </c>
      <c r="D594" s="608"/>
      <c r="E594" s="518"/>
      <c r="F594" s="518"/>
      <c r="G594" s="608"/>
      <c r="H594" s="518"/>
      <c r="I594" s="518"/>
      <c r="J594" s="518"/>
      <c r="K594" s="518"/>
      <c r="L594" s="518">
        <v>789.43</v>
      </c>
      <c r="M594" s="518"/>
      <c r="N594" s="518"/>
      <c r="O594" s="518"/>
      <c r="P594" s="518"/>
      <c r="Q594" s="518"/>
      <c r="R594" s="518"/>
      <c r="S594" s="518"/>
      <c r="T594" s="518"/>
      <c r="U594" s="518"/>
      <c r="V594" s="518"/>
      <c r="W594" s="518"/>
      <c r="X594" s="518"/>
      <c r="Y594" s="518"/>
      <c r="Z594" s="518"/>
      <c r="AA594" s="604"/>
      <c r="AB594" s="604"/>
      <c r="AC594" s="604"/>
      <c r="AD594" s="604"/>
      <c r="AE594" s="604"/>
      <c r="AF594" s="604"/>
      <c r="AG594" s="604"/>
      <c r="AH594" s="604"/>
      <c r="AI594" s="604"/>
      <c r="AJ594" s="604"/>
      <c r="AK594" s="604"/>
      <c r="AL594" s="604"/>
      <c r="AM594" s="604"/>
      <c r="AN594" s="604"/>
    </row>
    <row r="595" spans="1:40" ht="15.75" hidden="1" customHeight="1">
      <c r="A595" s="605">
        <v>44998</v>
      </c>
      <c r="B595" s="596" t="s">
        <v>161</v>
      </c>
      <c r="C595" s="624" t="s">
        <v>353</v>
      </c>
      <c r="D595" s="608"/>
      <c r="E595" s="518"/>
      <c r="F595" s="518"/>
      <c r="G595" s="608"/>
      <c r="H595" s="518"/>
      <c r="I595" s="518"/>
      <c r="J595" s="518"/>
      <c r="K595" s="518"/>
      <c r="L595" s="518"/>
      <c r="M595" s="518"/>
      <c r="N595" s="518"/>
      <c r="O595" s="518">
        <f>168.49*B573</f>
        <v>190.8452532</v>
      </c>
      <c r="P595" s="518"/>
      <c r="Q595" s="518"/>
      <c r="R595" s="518"/>
      <c r="S595" s="518"/>
      <c r="T595" s="518"/>
      <c r="U595" s="518"/>
      <c r="V595" s="518"/>
      <c r="W595" s="518"/>
      <c r="X595" s="518"/>
      <c r="Y595" s="518"/>
      <c r="Z595" s="518"/>
      <c r="AA595" s="604"/>
      <c r="AB595" s="604"/>
      <c r="AC595" s="604"/>
      <c r="AD595" s="604"/>
      <c r="AE595" s="604"/>
      <c r="AF595" s="604"/>
      <c r="AG595" s="604"/>
      <c r="AH595" s="604"/>
      <c r="AI595" s="604"/>
      <c r="AJ595" s="604"/>
      <c r="AK595" s="604"/>
      <c r="AL595" s="604"/>
      <c r="AM595" s="604"/>
      <c r="AN595" s="604"/>
    </row>
    <row r="596" spans="1:40" ht="15.75" hidden="1" customHeight="1">
      <c r="A596" s="605">
        <v>44998</v>
      </c>
      <c r="B596" s="634" t="s">
        <v>375</v>
      </c>
      <c r="C596" s="624" t="s">
        <v>219</v>
      </c>
      <c r="D596" s="608">
        <v>2370</v>
      </c>
      <c r="E596" s="518"/>
      <c r="F596" s="518"/>
      <c r="G596" s="608"/>
      <c r="H596" s="518"/>
      <c r="I596" s="518"/>
      <c r="J596" s="518"/>
      <c r="K596" s="518"/>
      <c r="L596" s="518"/>
      <c r="M596" s="518"/>
      <c r="N596" s="518"/>
      <c r="O596" s="518"/>
      <c r="P596" s="518"/>
      <c r="Q596" s="518"/>
      <c r="R596" s="518"/>
      <c r="S596" s="518"/>
      <c r="T596" s="518"/>
      <c r="U596" s="518"/>
      <c r="V596" s="518"/>
      <c r="W596" s="518"/>
      <c r="X596" s="518"/>
      <c r="Y596" s="518"/>
      <c r="Z596" s="518"/>
      <c r="AA596" s="604"/>
      <c r="AB596" s="604"/>
      <c r="AC596" s="604"/>
      <c r="AD596" s="604"/>
      <c r="AE596" s="604"/>
      <c r="AF596" s="604"/>
      <c r="AG596" s="604"/>
      <c r="AH596" s="604"/>
      <c r="AI596" s="604"/>
      <c r="AJ596" s="604"/>
      <c r="AK596" s="604"/>
      <c r="AL596" s="604"/>
      <c r="AM596" s="604"/>
      <c r="AN596" s="604"/>
    </row>
    <row r="597" spans="1:40" ht="15.75" hidden="1" customHeight="1">
      <c r="A597" s="605">
        <v>44998</v>
      </c>
      <c r="B597" s="634" t="s">
        <v>376</v>
      </c>
      <c r="C597" s="624" t="s">
        <v>219</v>
      </c>
      <c r="D597" s="608">
        <v>700</v>
      </c>
      <c r="E597" s="518"/>
      <c r="F597" s="518"/>
      <c r="G597" s="608"/>
      <c r="H597" s="518"/>
      <c r="I597" s="518"/>
      <c r="J597" s="518"/>
      <c r="K597" s="518"/>
      <c r="L597" s="518"/>
      <c r="M597" s="518"/>
      <c r="N597" s="518"/>
      <c r="O597" s="518"/>
      <c r="P597" s="518"/>
      <c r="Q597" s="518"/>
      <c r="R597" s="518"/>
      <c r="S597" s="518"/>
      <c r="T597" s="518"/>
      <c r="U597" s="518"/>
      <c r="V597" s="518"/>
      <c r="W597" s="518"/>
      <c r="X597" s="518"/>
      <c r="Y597" s="518"/>
      <c r="Z597" s="518"/>
      <c r="AA597" s="604"/>
      <c r="AB597" s="604"/>
      <c r="AC597" s="604"/>
      <c r="AD597" s="604"/>
      <c r="AE597" s="604"/>
      <c r="AF597" s="604"/>
      <c r="AG597" s="604"/>
      <c r="AH597" s="604"/>
      <c r="AI597" s="604"/>
      <c r="AJ597" s="604"/>
      <c r="AK597" s="604"/>
      <c r="AL597" s="604"/>
      <c r="AM597" s="604"/>
      <c r="AN597" s="604"/>
    </row>
    <row r="598" spans="1:40" ht="15.75" hidden="1" customHeight="1">
      <c r="A598" s="605">
        <v>44999</v>
      </c>
      <c r="B598" s="596"/>
      <c r="C598" s="624" t="s">
        <v>207</v>
      </c>
      <c r="D598" s="608"/>
      <c r="E598" s="518"/>
      <c r="F598" s="518"/>
      <c r="G598" s="608"/>
      <c r="H598" s="518"/>
      <c r="I598" s="518"/>
      <c r="J598" s="518"/>
      <c r="K598" s="518"/>
      <c r="L598" s="518"/>
      <c r="M598" s="518">
        <v>43.71</v>
      </c>
      <c r="N598" s="518"/>
      <c r="O598" s="518"/>
      <c r="P598" s="518"/>
      <c r="Q598" s="518"/>
      <c r="R598" s="518"/>
      <c r="S598" s="518"/>
      <c r="T598" s="518"/>
      <c r="U598" s="518"/>
      <c r="V598" s="518"/>
      <c r="W598" s="518"/>
      <c r="X598" s="518"/>
      <c r="Y598" s="518"/>
      <c r="Z598" s="518"/>
      <c r="AA598" s="604"/>
      <c r="AB598" s="604"/>
      <c r="AC598" s="604"/>
      <c r="AD598" s="604"/>
      <c r="AE598" s="604"/>
      <c r="AF598" s="604"/>
      <c r="AG598" s="604"/>
      <c r="AH598" s="604"/>
      <c r="AI598" s="604"/>
      <c r="AJ598" s="604"/>
      <c r="AK598" s="604"/>
      <c r="AL598" s="604"/>
      <c r="AM598" s="604"/>
      <c r="AN598" s="604"/>
    </row>
    <row r="599" spans="1:40" ht="15.75" hidden="1" customHeight="1">
      <c r="A599" s="605">
        <v>45000</v>
      </c>
      <c r="B599" s="596"/>
      <c r="C599" s="624" t="s">
        <v>377</v>
      </c>
      <c r="D599" s="608"/>
      <c r="E599" s="518"/>
      <c r="F599" s="518"/>
      <c r="G599" s="608"/>
      <c r="H599" s="518"/>
      <c r="I599" s="518"/>
      <c r="J599" s="518"/>
      <c r="K599" s="518"/>
      <c r="L599" s="518"/>
      <c r="M599" s="518">
        <v>78.7</v>
      </c>
      <c r="N599" s="518"/>
      <c r="O599" s="518"/>
      <c r="P599" s="518"/>
      <c r="Q599" s="518"/>
      <c r="R599" s="518"/>
      <c r="S599" s="518"/>
      <c r="T599" s="518"/>
      <c r="U599" s="518"/>
      <c r="V599" s="518"/>
      <c r="W599" s="518"/>
      <c r="X599" s="518"/>
      <c r="Y599" s="518"/>
      <c r="Z599" s="518"/>
      <c r="AA599" s="604"/>
      <c r="AB599" s="604"/>
      <c r="AC599" s="604"/>
      <c r="AD599" s="604"/>
      <c r="AE599" s="604"/>
      <c r="AF599" s="604"/>
      <c r="AG599" s="604"/>
      <c r="AH599" s="604"/>
      <c r="AI599" s="604"/>
      <c r="AJ599" s="604"/>
      <c r="AK599" s="604"/>
      <c r="AL599" s="604"/>
      <c r="AM599" s="604"/>
      <c r="AN599" s="604"/>
    </row>
    <row r="600" spans="1:40" ht="15.75" hidden="1" customHeight="1">
      <c r="A600" s="605">
        <v>45004</v>
      </c>
      <c r="B600" s="634"/>
      <c r="C600" s="624" t="s">
        <v>378</v>
      </c>
      <c r="D600" s="608"/>
      <c r="E600" s="518"/>
      <c r="F600" s="518"/>
      <c r="G600" s="608"/>
      <c r="H600" s="518"/>
      <c r="I600" s="518"/>
      <c r="J600" s="518"/>
      <c r="K600" s="518"/>
      <c r="L600" s="518"/>
      <c r="M600" s="518"/>
      <c r="N600" s="518"/>
      <c r="O600" s="518"/>
      <c r="P600" s="518"/>
      <c r="Q600" s="518"/>
      <c r="R600" s="518"/>
      <c r="S600" s="518">
        <v>0.45</v>
      </c>
      <c r="T600" s="518"/>
      <c r="U600" s="518"/>
      <c r="V600" s="518"/>
      <c r="W600" s="518"/>
      <c r="X600" s="518"/>
      <c r="Y600" s="518"/>
      <c r="Z600" s="518"/>
      <c r="AA600" s="604"/>
      <c r="AB600" s="604"/>
      <c r="AC600" s="604"/>
      <c r="AD600" s="604"/>
      <c r="AE600" s="604"/>
      <c r="AF600" s="604"/>
      <c r="AG600" s="604"/>
      <c r="AH600" s="604"/>
      <c r="AI600" s="604"/>
      <c r="AJ600" s="604"/>
      <c r="AK600" s="604"/>
      <c r="AL600" s="604"/>
      <c r="AM600" s="604"/>
      <c r="AN600" s="604"/>
    </row>
    <row r="601" spans="1:40" ht="15.75" hidden="1" customHeight="1">
      <c r="A601" s="605">
        <v>45007</v>
      </c>
      <c r="B601" s="634"/>
      <c r="C601" s="624" t="s">
        <v>379</v>
      </c>
      <c r="D601" s="608"/>
      <c r="E601" s="518"/>
      <c r="F601" s="518"/>
      <c r="G601" s="608"/>
      <c r="H601" s="518"/>
      <c r="I601" s="518"/>
      <c r="J601" s="518"/>
      <c r="K601" s="518"/>
      <c r="L601" s="518"/>
      <c r="M601" s="518"/>
      <c r="N601" s="518"/>
      <c r="O601" s="518"/>
      <c r="P601" s="518"/>
      <c r="Q601" s="518">
        <v>269</v>
      </c>
      <c r="R601" s="518"/>
      <c r="S601" s="518"/>
      <c r="T601" s="518"/>
      <c r="U601" s="518"/>
      <c r="V601" s="518"/>
      <c r="W601" s="518"/>
      <c r="X601" s="518"/>
      <c r="Y601" s="518"/>
      <c r="Z601" s="518"/>
      <c r="AA601" s="604"/>
      <c r="AB601" s="604"/>
      <c r="AC601" s="604"/>
      <c r="AD601" s="604"/>
      <c r="AE601" s="604"/>
      <c r="AF601" s="604"/>
      <c r="AG601" s="604"/>
      <c r="AH601" s="604"/>
      <c r="AI601" s="604"/>
      <c r="AJ601" s="604"/>
      <c r="AK601" s="604"/>
      <c r="AL601" s="604"/>
      <c r="AM601" s="604"/>
      <c r="AN601" s="604"/>
    </row>
    <row r="602" spans="1:40" ht="15.75" hidden="1" customHeight="1">
      <c r="A602" s="605">
        <v>45009</v>
      </c>
      <c r="B602" s="634"/>
      <c r="C602" s="624" t="s">
        <v>380</v>
      </c>
      <c r="D602" s="608"/>
      <c r="E602" s="518"/>
      <c r="F602" s="518"/>
      <c r="G602" s="608"/>
      <c r="H602" s="518"/>
      <c r="I602" s="518">
        <v>49.29</v>
      </c>
      <c r="J602" s="518"/>
      <c r="K602" s="518"/>
      <c r="L602" s="518"/>
      <c r="M602" s="518"/>
      <c r="N602" s="518"/>
      <c r="O602" s="518"/>
      <c r="P602" s="518"/>
      <c r="Q602" s="518"/>
      <c r="R602" s="518"/>
      <c r="S602" s="518"/>
      <c r="T602" s="518"/>
      <c r="U602" s="518"/>
      <c r="V602" s="518"/>
      <c r="W602" s="518"/>
      <c r="X602" s="518"/>
      <c r="Y602" s="518"/>
      <c r="Z602" s="518"/>
      <c r="AA602" s="604"/>
      <c r="AB602" s="604"/>
      <c r="AC602" s="604"/>
      <c r="AD602" s="604"/>
      <c r="AE602" s="604"/>
      <c r="AF602" s="604"/>
      <c r="AG602" s="604"/>
      <c r="AH602" s="604"/>
      <c r="AI602" s="604"/>
      <c r="AJ602" s="604"/>
      <c r="AK602" s="604"/>
      <c r="AL602" s="604"/>
      <c r="AM602" s="604"/>
      <c r="AN602" s="604"/>
    </row>
    <row r="603" spans="1:40" ht="15.75" hidden="1" customHeight="1">
      <c r="A603" s="605">
        <v>45012</v>
      </c>
      <c r="B603" s="596" t="s">
        <v>161</v>
      </c>
      <c r="C603" s="624" t="s">
        <v>381</v>
      </c>
      <c r="D603" s="608"/>
      <c r="E603" s="518"/>
      <c r="F603" s="518"/>
      <c r="G603" s="608"/>
      <c r="H603" s="518"/>
      <c r="I603" s="518"/>
      <c r="J603" s="518"/>
      <c r="K603" s="518"/>
      <c r="L603" s="518"/>
      <c r="M603" s="518"/>
      <c r="N603" s="518"/>
      <c r="O603" s="518"/>
      <c r="P603" s="518"/>
      <c r="Q603" s="518"/>
      <c r="R603" s="518">
        <f>1717*B577</f>
        <v>0</v>
      </c>
      <c r="S603" s="518"/>
      <c r="T603" s="518"/>
      <c r="U603" s="518"/>
      <c r="V603" s="518"/>
      <c r="W603" s="518"/>
      <c r="X603" s="518"/>
      <c r="Y603" s="518"/>
      <c r="Z603" s="518"/>
      <c r="AA603" s="604"/>
      <c r="AB603" s="604"/>
      <c r="AC603" s="604"/>
      <c r="AD603" s="604"/>
      <c r="AE603" s="604"/>
      <c r="AF603" s="604"/>
      <c r="AG603" s="604"/>
      <c r="AH603" s="604"/>
      <c r="AI603" s="604"/>
      <c r="AJ603" s="604"/>
      <c r="AK603" s="604"/>
      <c r="AL603" s="604"/>
      <c r="AM603" s="604"/>
      <c r="AN603" s="604"/>
    </row>
    <row r="604" spans="1:40" ht="15.75" hidden="1" customHeight="1">
      <c r="A604" s="605">
        <v>45013</v>
      </c>
      <c r="B604" s="596"/>
      <c r="C604" s="624" t="s">
        <v>208</v>
      </c>
      <c r="D604" s="608"/>
      <c r="E604" s="518"/>
      <c r="F604" s="518"/>
      <c r="G604" s="608"/>
      <c r="H604" s="518"/>
      <c r="I604" s="518"/>
      <c r="J604" s="518"/>
      <c r="K604" s="518"/>
      <c r="L604" s="518"/>
      <c r="M604" s="518"/>
      <c r="N604" s="518"/>
      <c r="O604" s="518"/>
      <c r="P604" s="518"/>
      <c r="Q604" s="518"/>
      <c r="R604" s="518"/>
      <c r="S604" s="518">
        <v>13.86</v>
      </c>
      <c r="T604" s="518"/>
      <c r="U604" s="518"/>
      <c r="V604" s="518"/>
      <c r="W604" s="518"/>
      <c r="X604" s="518"/>
      <c r="Y604" s="518"/>
      <c r="Z604" s="518"/>
      <c r="AA604" s="604"/>
      <c r="AB604" s="604"/>
      <c r="AC604" s="604"/>
      <c r="AD604" s="604"/>
      <c r="AE604" s="604"/>
      <c r="AF604" s="604"/>
      <c r="AG604" s="604"/>
      <c r="AH604" s="604"/>
      <c r="AI604" s="604"/>
      <c r="AJ604" s="604"/>
      <c r="AK604" s="604"/>
      <c r="AL604" s="604"/>
      <c r="AM604" s="604"/>
      <c r="AN604" s="604"/>
    </row>
    <row r="605" spans="1:40" ht="15.75" hidden="1" customHeight="1">
      <c r="A605" s="605">
        <v>45016</v>
      </c>
      <c r="B605" s="596" t="s">
        <v>382</v>
      </c>
      <c r="C605" s="624" t="s">
        <v>383</v>
      </c>
      <c r="D605" s="608">
        <v>5200</v>
      </c>
      <c r="E605" s="518"/>
      <c r="F605" s="518"/>
      <c r="G605" s="608"/>
      <c r="H605" s="518"/>
      <c r="I605" s="518"/>
      <c r="J605" s="518"/>
      <c r="K605" s="518"/>
      <c r="L605" s="518"/>
      <c r="M605" s="518"/>
      <c r="N605" s="518"/>
      <c r="O605" s="518"/>
      <c r="P605" s="518"/>
      <c r="Q605" s="518"/>
      <c r="R605" s="518"/>
      <c r="S605" s="518"/>
      <c r="T605" s="518"/>
      <c r="U605" s="518"/>
      <c r="V605" s="518"/>
      <c r="W605" s="518"/>
      <c r="X605" s="518"/>
      <c r="Y605" s="518"/>
      <c r="Z605" s="518"/>
      <c r="AA605" s="604"/>
      <c r="AB605" s="604"/>
      <c r="AC605" s="604"/>
      <c r="AD605" s="604"/>
      <c r="AE605" s="604"/>
      <c r="AF605" s="604"/>
      <c r="AG605" s="604"/>
      <c r="AH605" s="604"/>
      <c r="AI605" s="604"/>
      <c r="AJ605" s="604"/>
      <c r="AK605" s="604"/>
      <c r="AL605" s="604"/>
      <c r="AM605" s="604"/>
      <c r="AN605" s="604"/>
    </row>
    <row r="606" spans="1:40" ht="15.75" hidden="1" customHeight="1">
      <c r="A606" s="605"/>
      <c r="B606" s="596"/>
      <c r="C606" s="624"/>
      <c r="D606" s="608"/>
      <c r="E606" s="518"/>
      <c r="F606" s="518"/>
      <c r="G606" s="608"/>
      <c r="H606" s="518"/>
      <c r="I606" s="518"/>
      <c r="J606" s="518"/>
      <c r="K606" s="518"/>
      <c r="L606" s="518"/>
      <c r="M606" s="518"/>
      <c r="N606" s="518"/>
      <c r="O606" s="518"/>
      <c r="P606" s="518"/>
      <c r="Q606" s="518"/>
      <c r="R606" s="518"/>
      <c r="S606" s="518"/>
      <c r="T606" s="518"/>
      <c r="U606" s="518"/>
      <c r="V606" s="518"/>
      <c r="W606" s="518"/>
      <c r="X606" s="518"/>
      <c r="Y606" s="518"/>
      <c r="Z606" s="518"/>
      <c r="AA606" s="604"/>
      <c r="AB606" s="604"/>
      <c r="AC606" s="604"/>
      <c r="AD606" s="604"/>
      <c r="AE606" s="604"/>
      <c r="AF606" s="604"/>
      <c r="AG606" s="604"/>
      <c r="AH606" s="604"/>
      <c r="AI606" s="604"/>
      <c r="AJ606" s="604"/>
      <c r="AK606" s="604"/>
      <c r="AL606" s="604"/>
      <c r="AM606" s="604"/>
      <c r="AN606" s="604"/>
    </row>
    <row r="607" spans="1:40" ht="15.75" hidden="1" customHeight="1" thickBot="1">
      <c r="A607" s="605"/>
      <c r="B607" s="596"/>
      <c r="C607" s="624"/>
      <c r="D607" s="608"/>
      <c r="E607" s="518"/>
      <c r="F607" s="518"/>
      <c r="G607" s="518"/>
      <c r="H607" s="518"/>
      <c r="I607" s="518"/>
      <c r="J607" s="518"/>
      <c r="K607" s="518"/>
      <c r="L607" s="518"/>
      <c r="M607" s="518"/>
      <c r="N607" s="518"/>
      <c r="O607" s="518"/>
      <c r="P607" s="518"/>
      <c r="Q607" s="518"/>
      <c r="R607" s="518"/>
      <c r="S607" s="518"/>
      <c r="T607" s="518"/>
      <c r="U607" s="518"/>
      <c r="V607" s="518"/>
      <c r="W607" s="518"/>
      <c r="X607" s="518"/>
      <c r="Y607" s="518"/>
      <c r="Z607" s="518"/>
      <c r="AA607" s="604"/>
      <c r="AB607" s="604"/>
      <c r="AC607" s="604"/>
      <c r="AD607" s="604"/>
      <c r="AE607" s="604"/>
      <c r="AF607" s="604"/>
      <c r="AG607" s="604"/>
      <c r="AH607" s="604"/>
      <c r="AI607" s="604"/>
      <c r="AJ607" s="604"/>
      <c r="AK607" s="604"/>
      <c r="AL607" s="604"/>
      <c r="AM607" s="604"/>
      <c r="AN607" s="604"/>
    </row>
    <row r="608" spans="1:40" ht="15.75" hidden="1" customHeight="1" thickTop="1">
      <c r="A608" s="625"/>
      <c r="B608" s="626">
        <v>45017</v>
      </c>
      <c r="C608" s="627"/>
      <c r="D608" s="601"/>
      <c r="E608" s="602"/>
      <c r="F608" s="602"/>
      <c r="G608" s="602"/>
      <c r="H608" s="602"/>
      <c r="I608" s="602"/>
      <c r="J608" s="602"/>
      <c r="K608" s="602"/>
      <c r="L608" s="602"/>
      <c r="M608" s="602"/>
      <c r="N608" s="602"/>
      <c r="O608" s="602"/>
      <c r="P608" s="602"/>
      <c r="Q608" s="602"/>
      <c r="R608" s="602"/>
      <c r="S608" s="602"/>
      <c r="T608" s="602"/>
      <c r="U608" s="602"/>
      <c r="V608" s="602"/>
      <c r="W608" s="602"/>
      <c r="X608" s="602"/>
      <c r="Y608" s="602"/>
      <c r="Z608" s="602"/>
      <c r="AA608" s="604"/>
      <c r="AB608" s="604"/>
      <c r="AC608" s="604"/>
      <c r="AD608" s="604"/>
      <c r="AE608" s="604"/>
      <c r="AF608" s="604"/>
      <c r="AG608" s="604"/>
      <c r="AH608" s="604"/>
      <c r="AI608" s="604"/>
      <c r="AJ608" s="604"/>
      <c r="AK608" s="604"/>
      <c r="AL608" s="604"/>
      <c r="AM608" s="604"/>
      <c r="AN608" s="604"/>
    </row>
    <row r="609" spans="1:40" ht="15.75" hidden="1" customHeight="1">
      <c r="A609" s="605"/>
      <c r="B609" s="596"/>
      <c r="C609" s="624"/>
      <c r="D609" s="608"/>
      <c r="E609" s="518"/>
      <c r="F609" s="518"/>
      <c r="G609" s="518"/>
      <c r="H609" s="518"/>
      <c r="I609" s="518"/>
      <c r="J609" s="518"/>
      <c r="K609" s="518"/>
      <c r="L609" s="518"/>
      <c r="M609" s="518"/>
      <c r="N609" s="518"/>
      <c r="O609" s="518"/>
      <c r="P609" s="518"/>
      <c r="Q609" s="518"/>
      <c r="R609" s="518"/>
      <c r="S609" s="518"/>
      <c r="T609" s="518"/>
      <c r="U609" s="518"/>
      <c r="V609" s="518"/>
      <c r="W609" s="518"/>
      <c r="X609" s="518"/>
      <c r="Y609" s="518"/>
      <c r="Z609" s="518"/>
      <c r="AA609" s="604"/>
      <c r="AB609" s="604"/>
      <c r="AC609" s="604"/>
      <c r="AD609" s="604"/>
      <c r="AE609" s="604"/>
      <c r="AF609" s="604"/>
      <c r="AG609" s="604"/>
      <c r="AH609" s="604"/>
      <c r="AI609" s="604"/>
      <c r="AJ609" s="604"/>
      <c r="AK609" s="604"/>
      <c r="AL609" s="604"/>
      <c r="AM609" s="604"/>
      <c r="AN609" s="604"/>
    </row>
    <row r="610" spans="1:40" ht="15.75" hidden="1" customHeight="1">
      <c r="A610" s="605">
        <v>45019</v>
      </c>
      <c r="B610" s="606"/>
      <c r="C610" s="607" t="s">
        <v>62</v>
      </c>
      <c r="D610" s="608"/>
      <c r="E610" s="518"/>
      <c r="F610" s="518"/>
      <c r="G610" s="518"/>
      <c r="H610" s="518"/>
      <c r="I610" s="518"/>
      <c r="J610" s="518"/>
      <c r="K610" s="518"/>
      <c r="L610" s="518"/>
      <c r="M610" s="518"/>
      <c r="N610" s="518"/>
      <c r="O610" s="518"/>
      <c r="P610" s="518"/>
      <c r="Q610" s="518"/>
      <c r="R610" s="518"/>
      <c r="S610" s="518"/>
      <c r="T610" s="518"/>
      <c r="U610" s="518"/>
      <c r="V610" s="518">
        <v>1036.55</v>
      </c>
      <c r="W610" s="518"/>
      <c r="X610" s="518"/>
      <c r="Y610" s="518"/>
      <c r="Z610" s="518"/>
      <c r="AA610" s="604"/>
      <c r="AB610" s="604"/>
      <c r="AC610" s="604"/>
      <c r="AD610" s="604"/>
      <c r="AE610" s="604"/>
      <c r="AF610" s="604"/>
      <c r="AG610" s="604"/>
      <c r="AH610" s="604"/>
      <c r="AI610" s="604"/>
      <c r="AJ610" s="604"/>
      <c r="AK610" s="604"/>
      <c r="AL610" s="604"/>
      <c r="AM610" s="604"/>
      <c r="AN610" s="604"/>
    </row>
    <row r="611" spans="1:40" ht="15.75" hidden="1" customHeight="1">
      <c r="A611" s="605">
        <v>45019</v>
      </c>
      <c r="B611" s="613"/>
      <c r="C611" s="611" t="s">
        <v>64</v>
      </c>
      <c r="D611" s="608"/>
      <c r="E611" s="518"/>
      <c r="F611" s="518"/>
      <c r="G611" s="518"/>
      <c r="H611" s="518"/>
      <c r="I611" s="518"/>
      <c r="J611" s="518"/>
      <c r="K611" s="518"/>
      <c r="L611" s="518"/>
      <c r="M611" s="518"/>
      <c r="N611" s="518"/>
      <c r="O611" s="518"/>
      <c r="P611" s="518"/>
      <c r="Q611" s="518"/>
      <c r="R611" s="518"/>
      <c r="S611" s="518"/>
      <c r="T611" s="518">
        <v>199.77</v>
      </c>
      <c r="U611" s="518"/>
      <c r="V611" s="518"/>
      <c r="W611" s="518"/>
      <c r="X611" s="518"/>
      <c r="Y611" s="518"/>
      <c r="Z611" s="518"/>
      <c r="AA611" s="604"/>
      <c r="AB611" s="604"/>
      <c r="AC611" s="604"/>
      <c r="AD611" s="604"/>
      <c r="AE611" s="604"/>
      <c r="AF611" s="604"/>
      <c r="AG611" s="604"/>
      <c r="AH611" s="604"/>
      <c r="AI611" s="604"/>
      <c r="AJ611" s="604"/>
      <c r="AK611" s="604"/>
      <c r="AL611" s="604"/>
      <c r="AM611" s="604"/>
      <c r="AN611" s="604"/>
    </row>
    <row r="612" spans="1:40" ht="15.75" hidden="1" customHeight="1">
      <c r="A612" s="605">
        <v>45019</v>
      </c>
      <c r="B612" s="635"/>
      <c r="C612" s="636" t="s">
        <v>63</v>
      </c>
      <c r="D612" s="608"/>
      <c r="E612" s="518"/>
      <c r="F612" s="518"/>
      <c r="G612" s="518"/>
      <c r="H612" s="518"/>
      <c r="I612" s="518"/>
      <c r="J612" s="518"/>
      <c r="K612" s="518"/>
      <c r="L612" s="518"/>
      <c r="M612" s="518"/>
      <c r="N612" s="518"/>
      <c r="O612" s="518"/>
      <c r="P612" s="518"/>
      <c r="Q612" s="518"/>
      <c r="R612" s="518"/>
      <c r="S612" s="518"/>
      <c r="T612" s="518">
        <v>283.77</v>
      </c>
      <c r="U612" s="518"/>
      <c r="V612" s="518"/>
      <c r="W612" s="518"/>
      <c r="X612" s="518"/>
      <c r="Y612" s="518"/>
      <c r="Z612" s="518"/>
      <c r="AA612" s="604"/>
      <c r="AB612" s="604"/>
      <c r="AC612" s="604"/>
      <c r="AD612" s="604"/>
      <c r="AE612" s="604"/>
      <c r="AF612" s="604"/>
      <c r="AG612" s="604"/>
      <c r="AH612" s="604"/>
      <c r="AI612" s="604"/>
      <c r="AJ612" s="604"/>
      <c r="AK612" s="604"/>
      <c r="AL612" s="604"/>
      <c r="AM612" s="604"/>
      <c r="AN612" s="604"/>
    </row>
    <row r="613" spans="1:40" ht="15.75" hidden="1" customHeight="1">
      <c r="A613" s="605">
        <v>45019</v>
      </c>
      <c r="B613" s="635" t="s">
        <v>310</v>
      </c>
      <c r="C613" s="637" t="s">
        <v>384</v>
      </c>
      <c r="D613" s="608"/>
      <c r="E613" s="518"/>
      <c r="F613" s="518"/>
      <c r="G613" s="518"/>
      <c r="H613" s="518"/>
      <c r="I613" s="518"/>
      <c r="J613" s="518"/>
      <c r="K613" s="518"/>
      <c r="L613" s="518"/>
      <c r="M613" s="616"/>
      <c r="N613" s="518">
        <f>800*B620</f>
        <v>905.96720000000005</v>
      </c>
      <c r="O613" s="518"/>
      <c r="P613" s="518"/>
      <c r="Q613" s="518"/>
      <c r="R613" s="518"/>
      <c r="S613" s="518"/>
      <c r="T613" s="518"/>
      <c r="U613" s="518"/>
      <c r="V613" s="518"/>
      <c r="W613" s="518"/>
      <c r="X613" s="518"/>
      <c r="Y613" s="518"/>
      <c r="Z613" s="518"/>
      <c r="AA613" s="604"/>
      <c r="AB613" s="604"/>
      <c r="AC613" s="604"/>
      <c r="AD613" s="604"/>
      <c r="AE613" s="604"/>
      <c r="AF613" s="604"/>
      <c r="AG613" s="604"/>
      <c r="AH613" s="604"/>
      <c r="AI613" s="604"/>
      <c r="AJ613" s="604"/>
      <c r="AK613" s="604"/>
      <c r="AL613" s="604"/>
      <c r="AM613" s="604"/>
      <c r="AN613" s="604"/>
    </row>
    <row r="614" spans="1:40" ht="15.75" hidden="1" customHeight="1">
      <c r="A614" s="605">
        <v>45017</v>
      </c>
      <c r="B614" s="635"/>
      <c r="C614" s="638" t="s">
        <v>385</v>
      </c>
      <c r="D614" s="608"/>
      <c r="E614" s="518"/>
      <c r="F614" s="518"/>
      <c r="G614" s="518"/>
      <c r="H614" s="518"/>
      <c r="I614" s="518"/>
      <c r="J614" s="518"/>
      <c r="K614" s="518"/>
      <c r="L614" s="518"/>
      <c r="M614" s="518"/>
      <c r="N614" s="518"/>
      <c r="O614" s="518"/>
      <c r="P614" s="518"/>
      <c r="Q614" s="518"/>
      <c r="R614" s="518"/>
      <c r="S614" s="518">
        <v>9.26</v>
      </c>
      <c r="T614" s="518"/>
      <c r="U614" s="518"/>
      <c r="V614" s="518"/>
      <c r="W614" s="518"/>
      <c r="X614" s="518"/>
      <c r="Y614" s="518"/>
      <c r="Z614" s="518"/>
      <c r="AA614" s="604"/>
      <c r="AB614" s="604"/>
      <c r="AC614" s="604"/>
      <c r="AD614" s="604"/>
      <c r="AE614" s="604"/>
      <c r="AF614" s="604"/>
      <c r="AG614" s="604"/>
      <c r="AH614" s="604"/>
      <c r="AI614" s="604"/>
      <c r="AJ614" s="604"/>
      <c r="AK614" s="604"/>
      <c r="AL614" s="604"/>
      <c r="AM614" s="604"/>
      <c r="AN614" s="604"/>
    </row>
    <row r="615" spans="1:40" ht="15.75" hidden="1" customHeight="1">
      <c r="A615" s="605">
        <v>45019</v>
      </c>
      <c r="B615" s="610">
        <f>B620</f>
        <v>1.1324590000000001</v>
      </c>
      <c r="C615" s="639" t="s">
        <v>276</v>
      </c>
      <c r="D615" s="640"/>
      <c r="E615" s="641"/>
      <c r="F615" s="641"/>
      <c r="G615" s="641"/>
      <c r="H615" s="641"/>
      <c r="I615" s="641"/>
      <c r="J615" s="641"/>
      <c r="K615" s="641"/>
      <c r="L615" s="641"/>
      <c r="M615" s="641"/>
      <c r="N615" s="641"/>
      <c r="O615" s="641"/>
      <c r="P615" s="641"/>
      <c r="Q615" s="641"/>
      <c r="R615" s="641"/>
      <c r="S615" s="641"/>
      <c r="T615" s="641">
        <v>80</v>
      </c>
      <c r="U615" s="641"/>
      <c r="V615" s="641"/>
      <c r="W615" s="641"/>
      <c r="X615" s="641"/>
      <c r="Y615" s="641"/>
      <c r="Z615" s="641"/>
      <c r="AA615" s="604"/>
      <c r="AB615" s="604"/>
      <c r="AC615" s="604"/>
      <c r="AD615" s="604"/>
      <c r="AE615" s="604"/>
      <c r="AF615" s="604"/>
      <c r="AG615" s="604"/>
      <c r="AH615" s="604"/>
      <c r="AI615" s="604"/>
      <c r="AJ615" s="604"/>
      <c r="AK615" s="604"/>
      <c r="AL615" s="604"/>
      <c r="AM615" s="604"/>
      <c r="AN615" s="604"/>
    </row>
    <row r="616" spans="1:40" ht="15.75" hidden="1" customHeight="1" thickBot="1">
      <c r="A616" s="605">
        <v>45021</v>
      </c>
      <c r="B616" s="642" t="s">
        <v>386</v>
      </c>
      <c r="C616" s="639" t="s">
        <v>219</v>
      </c>
      <c r="D616" s="640">
        <v>790</v>
      </c>
      <c r="E616" s="641"/>
      <c r="F616" s="641"/>
      <c r="G616" s="641"/>
      <c r="H616" s="641"/>
      <c r="I616" s="641"/>
      <c r="J616" s="641"/>
      <c r="K616" s="641"/>
      <c r="L616" s="641"/>
      <c r="M616" s="641"/>
      <c r="N616" s="641"/>
      <c r="O616" s="641"/>
      <c r="P616" s="641"/>
      <c r="Q616" s="641"/>
      <c r="R616" s="641"/>
      <c r="S616" s="641"/>
      <c r="T616" s="641"/>
      <c r="U616" s="641"/>
      <c r="V616" s="641"/>
      <c r="W616" s="641"/>
      <c r="X616" s="641"/>
      <c r="Y616" s="641"/>
      <c r="Z616" s="641"/>
      <c r="AA616" s="604"/>
      <c r="AB616" s="604"/>
      <c r="AC616" s="604"/>
      <c r="AD616" s="604"/>
      <c r="AE616" s="604"/>
      <c r="AF616" s="604"/>
      <c r="AG616" s="604"/>
      <c r="AH616" s="604"/>
      <c r="AI616" s="604"/>
      <c r="AJ616" s="604"/>
      <c r="AK616" s="604"/>
      <c r="AL616" s="604"/>
      <c r="AM616" s="604"/>
      <c r="AN616" s="604"/>
    </row>
    <row r="617" spans="1:40" ht="29.25" hidden="1" customHeight="1" thickTop="1" thickBot="1">
      <c r="A617" s="643"/>
      <c r="B617" s="644"/>
      <c r="C617" s="645"/>
      <c r="D617" s="646"/>
      <c r="E617" s="647"/>
      <c r="F617" s="647"/>
      <c r="G617" s="647"/>
      <c r="H617" s="648">
        <f>Zusammenfassung!H16</f>
        <v>1</v>
      </c>
      <c r="I617" s="648">
        <f>Zusammenfassung!I16</f>
        <v>1</v>
      </c>
      <c r="J617" s="648">
        <f>Zusammenfassung!J16</f>
        <v>0.63</v>
      </c>
      <c r="K617" s="648">
        <f>Zusammenfassung!K16</f>
        <v>0.63</v>
      </c>
      <c r="L617" s="648">
        <f>Zusammenfassung!L16</f>
        <v>0.63</v>
      </c>
      <c r="M617" s="648">
        <f>Zusammenfassung!M16</f>
        <v>1</v>
      </c>
      <c r="N617" s="648">
        <f>Zusammenfassung!N16</f>
        <v>1</v>
      </c>
      <c r="O617" s="648">
        <f>Zusammenfassung!O16</f>
        <v>0</v>
      </c>
      <c r="P617" s="648">
        <f>Zusammenfassung!P16</f>
        <v>1</v>
      </c>
      <c r="Q617" s="648">
        <f>Zusammenfassung!Q16</f>
        <v>0.63</v>
      </c>
      <c r="R617" s="648">
        <f>Zusammenfassung!R16</f>
        <v>1</v>
      </c>
      <c r="S617" s="648">
        <f>Zusammenfassung!S16</f>
        <v>0.63</v>
      </c>
      <c r="T617" s="647"/>
      <c r="U617" s="647"/>
      <c r="V617" s="647"/>
      <c r="W617" s="649"/>
      <c r="X617" s="649"/>
      <c r="Y617" s="649"/>
      <c r="Z617" s="649"/>
      <c r="AA617" s="604"/>
      <c r="AB617" s="604"/>
      <c r="AC617" s="604"/>
      <c r="AD617" s="604"/>
      <c r="AE617" s="604"/>
      <c r="AF617" s="604"/>
      <c r="AG617" s="604"/>
      <c r="AH617" s="604"/>
      <c r="AI617" s="604"/>
      <c r="AJ617" s="604"/>
      <c r="AK617" s="604"/>
      <c r="AL617" s="604"/>
      <c r="AM617" s="604"/>
      <c r="AN617" s="604"/>
    </row>
    <row r="618" spans="1:40" ht="15.75" hidden="1" customHeight="1" thickTop="1">
      <c r="A618" s="650">
        <v>45033</v>
      </c>
      <c r="B618" s="630"/>
      <c r="C618" s="607" t="s">
        <v>65</v>
      </c>
      <c r="D618" s="608"/>
      <c r="E618" s="518"/>
      <c r="F618" s="518"/>
      <c r="G618" s="518"/>
      <c r="H618" s="518"/>
      <c r="I618" s="518"/>
      <c r="J618" s="518"/>
      <c r="K618" s="518"/>
      <c r="L618" s="518"/>
      <c r="M618" s="518"/>
      <c r="N618" s="518"/>
      <c r="O618" s="518"/>
      <c r="P618" s="518"/>
      <c r="Q618" s="518"/>
      <c r="R618" s="518"/>
      <c r="S618" s="518"/>
      <c r="T618" s="518">
        <v>18</v>
      </c>
      <c r="U618" s="518"/>
      <c r="V618" s="518"/>
      <c r="W618" s="518"/>
      <c r="X618" s="518"/>
      <c r="Y618" s="518"/>
      <c r="Z618" s="518"/>
      <c r="AA618" s="604"/>
      <c r="AB618" s="604"/>
      <c r="AC618" s="604"/>
      <c r="AD618" s="604"/>
      <c r="AE618" s="604"/>
      <c r="AF618" s="604"/>
      <c r="AG618" s="604"/>
      <c r="AH618" s="604"/>
      <c r="AI618" s="604"/>
      <c r="AJ618" s="604"/>
      <c r="AK618" s="604"/>
      <c r="AL618" s="604"/>
      <c r="AM618" s="604"/>
      <c r="AN618" s="604"/>
    </row>
    <row r="619" spans="1:40" ht="15.75" hidden="1" customHeight="1">
      <c r="A619" s="650">
        <v>45033</v>
      </c>
      <c r="B619" s="613"/>
      <c r="C619" s="611" t="s">
        <v>168</v>
      </c>
      <c r="D619" s="608"/>
      <c r="E619" s="518"/>
      <c r="F619" s="518"/>
      <c r="G619" s="518"/>
      <c r="H619" s="518"/>
      <c r="I619" s="518"/>
      <c r="J619" s="518"/>
      <c r="K619" s="518"/>
      <c r="L619" s="518"/>
      <c r="M619" s="518"/>
      <c r="N619" s="518"/>
      <c r="O619" s="518"/>
      <c r="P619" s="518"/>
      <c r="Q619" s="518"/>
      <c r="R619" s="518"/>
      <c r="S619" s="518"/>
      <c r="T619" s="518">
        <v>1608.68</v>
      </c>
      <c r="U619" s="518"/>
      <c r="V619" s="518"/>
      <c r="W619" s="518"/>
      <c r="X619" s="518"/>
      <c r="Y619" s="518"/>
      <c r="Z619" s="518"/>
      <c r="AA619" s="604"/>
      <c r="AB619" s="604"/>
      <c r="AC619" s="604"/>
      <c r="AD619" s="604"/>
      <c r="AE619" s="604"/>
      <c r="AF619" s="604"/>
      <c r="AG619" s="604"/>
      <c r="AH619" s="604"/>
      <c r="AI619" s="604"/>
      <c r="AJ619" s="604"/>
      <c r="AK619" s="604"/>
      <c r="AL619" s="604"/>
      <c r="AM619" s="604"/>
      <c r="AN619" s="604"/>
    </row>
    <row r="620" spans="1:40" ht="15.75" hidden="1" customHeight="1">
      <c r="A620" s="650">
        <v>45033</v>
      </c>
      <c r="B620" s="610">
        <f>'Conversion rates'!B19</f>
        <v>1.1324590000000001</v>
      </c>
      <c r="C620" s="611" t="s">
        <v>341</v>
      </c>
      <c r="D620" s="635"/>
      <c r="E620" s="614"/>
      <c r="F620" s="608"/>
      <c r="G620" s="608"/>
      <c r="H620" s="518">
        <v>823.78</v>
      </c>
      <c r="I620" s="518"/>
      <c r="J620" s="518"/>
      <c r="K620" s="518"/>
      <c r="L620" s="518"/>
      <c r="M620" s="518"/>
      <c r="N620" s="518"/>
      <c r="O620" s="518"/>
      <c r="P620" s="518"/>
      <c r="Q620" s="518"/>
      <c r="R620" s="518"/>
      <c r="S620" s="518"/>
      <c r="T620" s="518"/>
      <c r="U620" s="518"/>
      <c r="V620" s="518"/>
      <c r="W620" s="518"/>
      <c r="X620" s="518"/>
      <c r="Y620" s="518"/>
      <c r="Z620" s="518"/>
      <c r="AA620" s="604"/>
      <c r="AB620" s="604"/>
      <c r="AC620" s="604"/>
      <c r="AD620" s="604"/>
      <c r="AE620" s="604"/>
      <c r="AF620" s="604"/>
      <c r="AG620" s="604"/>
      <c r="AH620" s="604"/>
      <c r="AI620" s="604"/>
      <c r="AJ620" s="604"/>
      <c r="AK620" s="604"/>
      <c r="AL620" s="604"/>
      <c r="AM620" s="604"/>
      <c r="AN620" s="604"/>
    </row>
    <row r="621" spans="1:40" ht="15.75" hidden="1" customHeight="1">
      <c r="A621" s="650">
        <v>45034</v>
      </c>
      <c r="B621" s="635"/>
      <c r="C621" s="611" t="s">
        <v>111</v>
      </c>
      <c r="D621" s="608"/>
      <c r="E621" s="518"/>
      <c r="F621" s="518"/>
      <c r="G621" s="518"/>
      <c r="H621" s="518"/>
      <c r="I621" s="518"/>
      <c r="J621" s="616"/>
      <c r="K621" s="518">
        <v>29.99</v>
      </c>
      <c r="L621" s="518"/>
      <c r="M621" s="518"/>
      <c r="N621" s="518"/>
      <c r="O621" s="518"/>
      <c r="P621" s="518"/>
      <c r="Q621" s="518"/>
      <c r="R621" s="518"/>
      <c r="S621" s="518"/>
      <c r="T621" s="518">
        <v>19.98</v>
      </c>
      <c r="U621" s="518"/>
      <c r="V621" s="518"/>
      <c r="W621" s="518"/>
      <c r="X621" s="518"/>
      <c r="Y621" s="518"/>
      <c r="Z621" s="518"/>
      <c r="AA621" s="604"/>
      <c r="AB621" s="604"/>
      <c r="AC621" s="604"/>
      <c r="AD621" s="604"/>
      <c r="AE621" s="604"/>
      <c r="AF621" s="604"/>
      <c r="AG621" s="604"/>
      <c r="AH621" s="604"/>
      <c r="AI621" s="604"/>
      <c r="AJ621" s="604"/>
      <c r="AK621" s="604"/>
      <c r="AL621" s="604"/>
      <c r="AM621" s="604"/>
      <c r="AN621" s="604"/>
    </row>
    <row r="622" spans="1:40" ht="15.75" hidden="1" customHeight="1">
      <c r="A622" s="650">
        <v>45037</v>
      </c>
      <c r="B622" s="635"/>
      <c r="C622" s="611" t="s">
        <v>78</v>
      </c>
      <c r="D622" s="608"/>
      <c r="E622" s="518"/>
      <c r="F622" s="518"/>
      <c r="G622" s="518"/>
      <c r="H622" s="518"/>
      <c r="I622" s="518"/>
      <c r="J622" s="518">
        <v>19.98</v>
      </c>
      <c r="K622" s="518"/>
      <c r="L622" s="518"/>
      <c r="M622" s="518"/>
      <c r="N622" s="518"/>
      <c r="O622" s="518"/>
      <c r="P622" s="518"/>
      <c r="Q622" s="518"/>
      <c r="R622" s="518"/>
      <c r="S622" s="518"/>
      <c r="T622" s="518"/>
      <c r="U622" s="518"/>
      <c r="V622" s="518"/>
      <c r="W622" s="518"/>
      <c r="X622" s="518"/>
      <c r="Y622" s="518"/>
      <c r="Z622" s="518"/>
      <c r="AA622" s="604"/>
      <c r="AB622" s="604"/>
      <c r="AC622" s="604"/>
      <c r="AD622" s="604"/>
      <c r="AE622" s="604"/>
      <c r="AF622" s="604"/>
      <c r="AG622" s="604"/>
      <c r="AH622" s="604"/>
      <c r="AI622" s="604"/>
      <c r="AJ622" s="604"/>
      <c r="AK622" s="604"/>
      <c r="AL622" s="604"/>
      <c r="AM622" s="604"/>
      <c r="AN622" s="604"/>
    </row>
    <row r="623" spans="1:40" ht="15.75" hidden="1" customHeight="1">
      <c r="A623" s="650">
        <v>45040</v>
      </c>
      <c r="B623" s="612"/>
      <c r="C623" s="611" t="s">
        <v>64</v>
      </c>
      <c r="D623" s="608"/>
      <c r="E623" s="518"/>
      <c r="F623" s="518"/>
      <c r="G623" s="518"/>
      <c r="H623" s="518"/>
      <c r="I623" s="518"/>
      <c r="J623" s="518"/>
      <c r="K623" s="518"/>
      <c r="L623" s="518"/>
      <c r="M623" s="518"/>
      <c r="N623" s="518"/>
      <c r="O623" s="518"/>
      <c r="P623" s="518"/>
      <c r="Q623" s="518"/>
      <c r="R623" s="518"/>
      <c r="S623" s="518"/>
      <c r="T623" s="518">
        <v>50</v>
      </c>
      <c r="U623" s="518"/>
      <c r="V623" s="518"/>
      <c r="W623" s="518"/>
      <c r="X623" s="518"/>
      <c r="Y623" s="518"/>
      <c r="Z623" s="518"/>
      <c r="AA623" s="604"/>
      <c r="AB623" s="604"/>
      <c r="AC623" s="604"/>
      <c r="AD623" s="604"/>
      <c r="AE623" s="604"/>
      <c r="AF623" s="604"/>
      <c r="AG623" s="604"/>
      <c r="AH623" s="604"/>
      <c r="AI623" s="604"/>
      <c r="AJ623" s="604"/>
      <c r="AK623" s="604"/>
      <c r="AL623" s="604"/>
      <c r="AM623" s="604"/>
      <c r="AN623" s="604"/>
    </row>
    <row r="624" spans="1:40" ht="15.75" hidden="1" customHeight="1">
      <c r="A624" s="650">
        <v>45041</v>
      </c>
      <c r="B624" s="615"/>
      <c r="C624" s="614" t="s">
        <v>387</v>
      </c>
      <c r="D624" s="608"/>
      <c r="E624" s="518"/>
      <c r="F624" s="518"/>
      <c r="G624" s="518"/>
      <c r="H624" s="518"/>
      <c r="I624" s="518"/>
      <c r="J624" s="518"/>
      <c r="K624" s="518"/>
      <c r="L624" s="518"/>
      <c r="M624" s="518"/>
      <c r="N624" s="518"/>
      <c r="O624" s="518"/>
      <c r="P624" s="518"/>
      <c r="Q624" s="518"/>
      <c r="R624" s="518"/>
      <c r="S624" s="518">
        <v>0.18</v>
      </c>
      <c r="T624" s="518"/>
      <c r="U624" s="518"/>
      <c r="V624" s="518"/>
      <c r="W624" s="518"/>
      <c r="X624" s="518"/>
      <c r="Y624" s="518"/>
      <c r="Z624" s="518"/>
      <c r="AA624" s="604"/>
      <c r="AB624" s="604"/>
      <c r="AC624" s="604"/>
      <c r="AD624" s="604"/>
      <c r="AE624" s="604"/>
      <c r="AF624" s="604"/>
      <c r="AG624" s="604"/>
      <c r="AH624" s="604"/>
      <c r="AI624" s="604"/>
      <c r="AJ624" s="604"/>
      <c r="AK624" s="604"/>
      <c r="AL624" s="604"/>
      <c r="AM624" s="604"/>
      <c r="AN624" s="604"/>
    </row>
    <row r="625" spans="1:40" ht="15.75" hidden="1" customHeight="1">
      <c r="A625" s="650">
        <v>45044</v>
      </c>
      <c r="B625" s="615"/>
      <c r="C625" s="614" t="s">
        <v>260</v>
      </c>
      <c r="D625" s="608"/>
      <c r="E625" s="518">
        <v>580.05999999999995</v>
      </c>
      <c r="F625" s="518"/>
      <c r="G625" s="518"/>
      <c r="H625" s="518"/>
      <c r="I625" s="518"/>
      <c r="J625" s="518"/>
      <c r="K625" s="518"/>
      <c r="L625" s="518"/>
      <c r="M625" s="518"/>
      <c r="N625" s="518"/>
      <c r="O625" s="518"/>
      <c r="P625" s="518"/>
      <c r="Q625" s="518"/>
      <c r="R625" s="518"/>
      <c r="S625" s="518"/>
      <c r="T625" s="518"/>
      <c r="U625" s="518"/>
      <c r="V625" s="518"/>
      <c r="W625" s="518"/>
      <c r="X625" s="518"/>
      <c r="Y625" s="518"/>
      <c r="Z625" s="518"/>
      <c r="AA625" s="604"/>
      <c r="AB625" s="604"/>
      <c r="AC625" s="604"/>
      <c r="AD625" s="604"/>
      <c r="AE625" s="604"/>
      <c r="AF625" s="604"/>
      <c r="AG625" s="604"/>
      <c r="AH625" s="604"/>
      <c r="AI625" s="604"/>
      <c r="AJ625" s="604"/>
      <c r="AK625" s="604"/>
      <c r="AL625" s="604"/>
      <c r="AM625" s="604"/>
      <c r="AN625" s="604"/>
    </row>
    <row r="626" spans="1:40" ht="15.75" hidden="1" customHeight="1">
      <c r="A626" s="650">
        <v>45046</v>
      </c>
      <c r="B626" s="612"/>
      <c r="C626" s="611" t="s">
        <v>366</v>
      </c>
      <c r="D626" s="608"/>
      <c r="E626" s="518"/>
      <c r="F626" s="518"/>
      <c r="G626" s="518"/>
      <c r="H626" s="518"/>
      <c r="I626" s="518"/>
      <c r="J626" s="518"/>
      <c r="K626" s="518"/>
      <c r="L626" s="518"/>
      <c r="M626" s="518"/>
      <c r="N626" s="518"/>
      <c r="O626" s="518"/>
      <c r="P626" s="518"/>
      <c r="Q626" s="518"/>
      <c r="R626" s="518"/>
      <c r="S626" s="518">
        <v>20.7</v>
      </c>
      <c r="T626" s="518"/>
      <c r="U626" s="518"/>
      <c r="V626" s="518"/>
      <c r="W626" s="518"/>
      <c r="X626" s="518"/>
      <c r="Y626" s="518"/>
      <c r="Z626" s="518"/>
      <c r="AA626" s="604"/>
      <c r="AB626" s="604"/>
      <c r="AC626" s="604"/>
      <c r="AD626" s="604"/>
      <c r="AE626" s="604"/>
      <c r="AF626" s="604"/>
      <c r="AG626" s="604"/>
      <c r="AH626" s="604"/>
      <c r="AI626" s="604"/>
      <c r="AJ626" s="604"/>
      <c r="AK626" s="604"/>
      <c r="AL626" s="604"/>
      <c r="AM626" s="604"/>
      <c r="AN626" s="604"/>
    </row>
    <row r="627" spans="1:40" ht="15.75" hidden="1" customHeight="1">
      <c r="A627" s="650">
        <v>45046</v>
      </c>
      <c r="B627" s="612"/>
      <c r="C627" s="611" t="s">
        <v>344</v>
      </c>
      <c r="D627" s="608"/>
      <c r="E627" s="518"/>
      <c r="F627" s="518"/>
      <c r="G627" s="518"/>
      <c r="H627" s="518"/>
      <c r="I627" s="518"/>
      <c r="J627" s="518"/>
      <c r="K627" s="518"/>
      <c r="L627" s="518"/>
      <c r="M627" s="518"/>
      <c r="N627" s="518"/>
      <c r="O627" s="518"/>
      <c r="P627" s="518"/>
      <c r="Q627" s="518"/>
      <c r="R627" s="518"/>
      <c r="S627" s="518">
        <v>2.97</v>
      </c>
      <c r="T627" s="518"/>
      <c r="U627" s="518"/>
      <c r="V627" s="518"/>
      <c r="W627" s="518"/>
      <c r="X627" s="518"/>
      <c r="Y627" s="518"/>
      <c r="Z627" s="518"/>
      <c r="AA627" s="604"/>
      <c r="AB627" s="604"/>
      <c r="AC627" s="604"/>
      <c r="AD627" s="604"/>
      <c r="AE627" s="604"/>
      <c r="AF627" s="604"/>
      <c r="AG627" s="604"/>
      <c r="AH627" s="604"/>
      <c r="AI627" s="604"/>
      <c r="AJ627" s="604"/>
      <c r="AK627" s="604"/>
      <c r="AL627" s="604"/>
      <c r="AM627" s="604"/>
      <c r="AN627" s="604"/>
    </row>
    <row r="628" spans="1:40" ht="15.75" hidden="1" customHeight="1">
      <c r="A628" s="651"/>
      <c r="B628" s="616"/>
      <c r="C628" s="616"/>
      <c r="D628" s="616"/>
      <c r="E628" s="616"/>
      <c r="F628" s="616"/>
      <c r="G628" s="616"/>
      <c r="H628" s="616"/>
      <c r="I628" s="616"/>
      <c r="J628" s="616"/>
      <c r="K628" s="616"/>
      <c r="L628" s="518"/>
      <c r="M628" s="518"/>
      <c r="N628" s="518"/>
      <c r="O628" s="518"/>
      <c r="P628" s="518"/>
      <c r="Q628" s="518"/>
      <c r="R628" s="518"/>
      <c r="S628" s="518"/>
      <c r="T628" s="518"/>
      <c r="U628" s="518"/>
      <c r="V628" s="518"/>
      <c r="W628" s="518"/>
      <c r="X628" s="518"/>
      <c r="Y628" s="518"/>
      <c r="Z628" s="518"/>
      <c r="AA628" s="604"/>
      <c r="AB628" s="604"/>
      <c r="AC628" s="604"/>
      <c r="AD628" s="604"/>
      <c r="AE628" s="604"/>
      <c r="AF628" s="604"/>
      <c r="AG628" s="604"/>
      <c r="AH628" s="604"/>
      <c r="AI628" s="604"/>
      <c r="AJ628" s="604"/>
      <c r="AK628" s="604"/>
      <c r="AL628" s="604"/>
      <c r="AM628" s="604"/>
      <c r="AN628" s="604"/>
    </row>
    <row r="629" spans="1:40" ht="15.75" hidden="1" customHeight="1">
      <c r="A629" s="650"/>
      <c r="B629" s="620"/>
      <c r="C629" s="621"/>
      <c r="D629" s="622"/>
      <c r="E629" s="623"/>
      <c r="F629" s="623"/>
      <c r="G629" s="623"/>
      <c r="H629" s="623"/>
      <c r="I629" s="623"/>
      <c r="J629" s="623"/>
      <c r="K629" s="623"/>
      <c r="L629" s="623"/>
      <c r="M629" s="623"/>
      <c r="N629" s="623"/>
      <c r="O629" s="623"/>
      <c r="P629" s="623"/>
      <c r="Q629" s="623"/>
      <c r="R629" s="623"/>
      <c r="S629" s="623"/>
      <c r="T629" s="623"/>
      <c r="U629" s="623"/>
      <c r="V629" s="623"/>
      <c r="W629" s="623"/>
      <c r="X629" s="623"/>
      <c r="Y629" s="623"/>
      <c r="Z629" s="623"/>
      <c r="AA629" s="518"/>
      <c r="AB629" s="518"/>
      <c r="AC629" s="518"/>
      <c r="AD629" s="518"/>
      <c r="AE629" s="518"/>
      <c r="AF629" s="518"/>
      <c r="AG629" s="518"/>
      <c r="AH629" s="518"/>
      <c r="AI629" s="518"/>
      <c r="AJ629" s="518"/>
      <c r="AK629" s="518"/>
      <c r="AL629" s="518"/>
      <c r="AM629" s="518"/>
      <c r="AN629" s="518"/>
    </row>
    <row r="630" spans="1:40" ht="15.75" hidden="1" customHeight="1">
      <c r="A630" s="650"/>
      <c r="B630" s="596"/>
      <c r="C630" s="624"/>
      <c r="D630" s="608"/>
      <c r="E630" s="518"/>
      <c r="F630" s="518"/>
      <c r="G630" s="608"/>
      <c r="H630" s="518"/>
      <c r="I630" s="518"/>
      <c r="J630" s="518"/>
      <c r="K630" s="518"/>
      <c r="L630" s="518"/>
      <c r="M630" s="518"/>
      <c r="N630" s="518"/>
      <c r="O630" s="518"/>
      <c r="P630" s="518"/>
      <c r="Q630" s="518"/>
      <c r="R630" s="518"/>
      <c r="S630" s="518"/>
      <c r="T630" s="518"/>
      <c r="U630" s="518"/>
      <c r="V630" s="518"/>
      <c r="W630" s="518"/>
      <c r="X630" s="518"/>
      <c r="Y630" s="518"/>
      <c r="Z630" s="518"/>
      <c r="AA630" s="604"/>
      <c r="AB630" s="604"/>
      <c r="AC630" s="604"/>
      <c r="AD630" s="604"/>
      <c r="AE630" s="604"/>
      <c r="AF630" s="604"/>
      <c r="AG630" s="604"/>
      <c r="AH630" s="604"/>
      <c r="AI630" s="604"/>
      <c r="AJ630" s="604"/>
      <c r="AK630" s="604"/>
      <c r="AL630" s="604"/>
      <c r="AM630" s="604"/>
      <c r="AN630" s="604"/>
    </row>
    <row r="631" spans="1:40" ht="15.75" hidden="1" customHeight="1">
      <c r="A631" s="650">
        <v>45028</v>
      </c>
      <c r="B631" s="596"/>
      <c r="C631" s="624" t="s">
        <v>207</v>
      </c>
      <c r="D631" s="608"/>
      <c r="E631" s="518"/>
      <c r="F631" s="518"/>
      <c r="G631" s="608"/>
      <c r="H631" s="518"/>
      <c r="I631" s="518"/>
      <c r="J631" s="518"/>
      <c r="K631" s="518"/>
      <c r="L631" s="518"/>
      <c r="M631" s="518">
        <v>26.57</v>
      </c>
      <c r="N631" s="518"/>
      <c r="O631" s="518"/>
      <c r="P631" s="518"/>
      <c r="Q631" s="518"/>
      <c r="R631" s="518"/>
      <c r="S631" s="518"/>
      <c r="T631" s="518"/>
      <c r="U631" s="518"/>
      <c r="V631" s="518"/>
      <c r="W631" s="518"/>
      <c r="X631" s="518"/>
      <c r="Y631" s="518"/>
      <c r="Z631" s="518"/>
      <c r="AA631" s="604"/>
      <c r="AB631" s="604"/>
      <c r="AC631" s="604"/>
      <c r="AD631" s="604"/>
      <c r="AE631" s="604"/>
      <c r="AF631" s="604"/>
      <c r="AG631" s="604"/>
      <c r="AH631" s="604"/>
      <c r="AI631" s="604"/>
      <c r="AJ631" s="604"/>
      <c r="AK631" s="604"/>
      <c r="AL631" s="604"/>
      <c r="AM631" s="604"/>
      <c r="AN631" s="604"/>
    </row>
    <row r="632" spans="1:40" ht="15.75" hidden="1" customHeight="1">
      <c r="A632" s="650">
        <v>45033</v>
      </c>
      <c r="B632" s="596"/>
      <c r="C632" s="624" t="s">
        <v>178</v>
      </c>
      <c r="D632" s="608"/>
      <c r="E632" s="518"/>
      <c r="F632" s="518"/>
      <c r="G632" s="608"/>
      <c r="H632" s="518"/>
      <c r="I632" s="518"/>
      <c r="J632" s="518"/>
      <c r="K632" s="518"/>
      <c r="L632" s="518"/>
      <c r="M632" s="518"/>
      <c r="N632" s="518"/>
      <c r="O632" s="518">
        <f>$B$615*14.48</f>
        <v>16.39800632</v>
      </c>
      <c r="P632" s="518"/>
      <c r="Q632" s="518"/>
      <c r="R632" s="518"/>
      <c r="S632" s="518"/>
      <c r="T632" s="518"/>
      <c r="U632" s="518"/>
      <c r="V632" s="518"/>
      <c r="W632" s="518"/>
      <c r="X632" s="518"/>
      <c r="Y632" s="518"/>
      <c r="Z632" s="518"/>
      <c r="AA632" s="604"/>
      <c r="AB632" s="604"/>
      <c r="AC632" s="604"/>
      <c r="AD632" s="604"/>
      <c r="AE632" s="604"/>
      <c r="AF632" s="604"/>
      <c r="AG632" s="604"/>
      <c r="AH632" s="604"/>
      <c r="AI632" s="604"/>
      <c r="AJ632" s="604"/>
      <c r="AK632" s="604"/>
      <c r="AL632" s="604"/>
      <c r="AM632" s="604"/>
      <c r="AN632" s="604"/>
    </row>
    <row r="633" spans="1:40" ht="15.75" hidden="1" customHeight="1">
      <c r="A633" s="650">
        <v>45040</v>
      </c>
      <c r="B633" s="596"/>
      <c r="C633" s="624" t="s">
        <v>178</v>
      </c>
      <c r="D633" s="608"/>
      <c r="E633" s="518"/>
      <c r="F633" s="518"/>
      <c r="G633" s="608"/>
      <c r="H633" s="518"/>
      <c r="I633" s="518"/>
      <c r="J633" s="518"/>
      <c r="K633" s="518"/>
      <c r="L633" s="518"/>
      <c r="M633" s="518"/>
      <c r="N633" s="518"/>
      <c r="O633" s="518">
        <f>$B$615*17.06</f>
        <v>19.319750540000001</v>
      </c>
      <c r="P633" s="518"/>
      <c r="Q633" s="518"/>
      <c r="R633" s="518"/>
      <c r="S633" s="518"/>
      <c r="T633" s="518"/>
      <c r="U633" s="518"/>
      <c r="V633" s="518"/>
      <c r="W633" s="518"/>
      <c r="X633" s="518"/>
      <c r="Y633" s="518"/>
      <c r="Z633" s="518"/>
      <c r="AA633" s="604"/>
      <c r="AB633" s="604"/>
      <c r="AC633" s="604"/>
      <c r="AD633" s="604"/>
      <c r="AE633" s="604"/>
      <c r="AF633" s="604"/>
      <c r="AG633" s="604"/>
      <c r="AH633" s="604"/>
      <c r="AI633" s="604"/>
      <c r="AJ633" s="604"/>
      <c r="AK633" s="604"/>
      <c r="AL633" s="604"/>
      <c r="AM633" s="604"/>
      <c r="AN633" s="604"/>
    </row>
    <row r="634" spans="1:40" ht="15.75" hidden="1" customHeight="1">
      <c r="A634" s="650">
        <v>45043</v>
      </c>
      <c r="B634" s="634" t="s">
        <v>388</v>
      </c>
      <c r="C634" s="624" t="s">
        <v>389</v>
      </c>
      <c r="D634" s="608"/>
      <c r="E634" s="518">
        <v>2500</v>
      </c>
      <c r="F634" s="518"/>
      <c r="G634" s="608"/>
      <c r="H634" s="518"/>
      <c r="I634" s="518"/>
      <c r="J634" s="518"/>
      <c r="K634" s="518"/>
      <c r="L634" s="518"/>
      <c r="M634" s="518"/>
      <c r="N634" s="518"/>
      <c r="O634" s="518"/>
      <c r="P634" s="518"/>
      <c r="Q634" s="518"/>
      <c r="R634" s="518"/>
      <c r="S634" s="518"/>
      <c r="T634" s="518"/>
      <c r="U634" s="518"/>
      <c r="V634" s="518"/>
      <c r="W634" s="518"/>
      <c r="X634" s="518"/>
      <c r="Y634" s="518"/>
      <c r="Z634" s="518"/>
      <c r="AA634" s="604"/>
      <c r="AB634" s="604"/>
      <c r="AC634" s="604"/>
      <c r="AD634" s="604"/>
      <c r="AE634" s="604"/>
      <c r="AF634" s="604"/>
      <c r="AG634" s="604"/>
      <c r="AH634" s="604"/>
      <c r="AI634" s="604"/>
      <c r="AJ634" s="604"/>
      <c r="AK634" s="604"/>
      <c r="AL634" s="604"/>
      <c r="AM634" s="604"/>
      <c r="AN634" s="604"/>
    </row>
    <row r="635" spans="1:40" ht="15.75" hidden="1" customHeight="1">
      <c r="A635" s="650">
        <v>45043</v>
      </c>
      <c r="B635" s="596"/>
      <c r="C635" s="624" t="s">
        <v>207</v>
      </c>
      <c r="D635" s="608"/>
      <c r="E635" s="518"/>
      <c r="F635" s="518"/>
      <c r="G635" s="608"/>
      <c r="H635" s="518"/>
      <c r="I635" s="518"/>
      <c r="J635" s="518"/>
      <c r="K635" s="518"/>
      <c r="L635" s="518"/>
      <c r="M635" s="518">
        <v>43.59</v>
      </c>
      <c r="N635" s="518"/>
      <c r="O635" s="518"/>
      <c r="P635" s="518"/>
      <c r="Q635" s="518"/>
      <c r="R635" s="518"/>
      <c r="S635" s="518"/>
      <c r="T635" s="518"/>
      <c r="U635" s="518"/>
      <c r="V635" s="518"/>
      <c r="W635" s="518"/>
      <c r="X635" s="518"/>
      <c r="Y635" s="518"/>
      <c r="Z635" s="518"/>
      <c r="AA635" s="604"/>
      <c r="AB635" s="604"/>
      <c r="AC635" s="604"/>
      <c r="AD635" s="604"/>
      <c r="AE635" s="604"/>
      <c r="AF635" s="604"/>
      <c r="AG635" s="604"/>
      <c r="AH635" s="604"/>
      <c r="AI635" s="604"/>
      <c r="AJ635" s="604"/>
      <c r="AK635" s="604"/>
      <c r="AL635" s="604"/>
      <c r="AM635" s="604"/>
      <c r="AN635" s="604"/>
    </row>
    <row r="636" spans="1:40" ht="15.75" hidden="1" customHeight="1">
      <c r="A636" s="650">
        <v>45044</v>
      </c>
      <c r="B636" s="634"/>
      <c r="C636" s="624" t="s">
        <v>390</v>
      </c>
      <c r="D636" s="608"/>
      <c r="E636" s="518"/>
      <c r="F636" s="518"/>
      <c r="G636" s="608"/>
      <c r="H636" s="518"/>
      <c r="I636" s="518"/>
      <c r="J636" s="518"/>
      <c r="K636" s="518"/>
      <c r="L636" s="518"/>
      <c r="M636" s="518">
        <v>13</v>
      </c>
      <c r="N636" s="518"/>
      <c r="O636" s="518"/>
      <c r="P636" s="518"/>
      <c r="Q636" s="518"/>
      <c r="R636" s="518"/>
      <c r="S636" s="518"/>
      <c r="T636" s="518"/>
      <c r="U636" s="518"/>
      <c r="V636" s="518"/>
      <c r="W636" s="518"/>
      <c r="X636" s="518"/>
      <c r="Y636" s="518"/>
      <c r="Z636" s="518"/>
      <c r="AA636" s="604"/>
      <c r="AB636" s="604"/>
      <c r="AC636" s="604"/>
      <c r="AD636" s="604"/>
      <c r="AE636" s="604"/>
      <c r="AF636" s="604"/>
      <c r="AG636" s="604"/>
      <c r="AH636" s="604"/>
      <c r="AI636" s="604"/>
      <c r="AJ636" s="604"/>
      <c r="AK636" s="604"/>
      <c r="AL636" s="604"/>
      <c r="AM636" s="604"/>
      <c r="AN636" s="604"/>
    </row>
    <row r="637" spans="1:40" ht="15.75" hidden="1" customHeight="1">
      <c r="A637" s="650">
        <v>45044</v>
      </c>
      <c r="B637" s="634" t="s">
        <v>391</v>
      </c>
      <c r="C637" s="633" t="s">
        <v>392</v>
      </c>
      <c r="D637" s="608">
        <v>5200</v>
      </c>
      <c r="E637" s="518"/>
      <c r="F637" s="518"/>
      <c r="G637" s="608"/>
      <c r="H637" s="518"/>
      <c r="I637" s="518"/>
      <c r="J637" s="518"/>
      <c r="K637" s="518"/>
      <c r="L637" s="518"/>
      <c r="M637" s="518"/>
      <c r="N637" s="518"/>
      <c r="O637" s="518"/>
      <c r="P637" s="518"/>
      <c r="Q637" s="518"/>
      <c r="R637" s="518"/>
      <c r="S637" s="518"/>
      <c r="T637" s="518"/>
      <c r="U637" s="518"/>
      <c r="V637" s="518"/>
      <c r="W637" s="518"/>
      <c r="X637" s="518"/>
      <c r="Y637" s="518"/>
      <c r="Z637" s="518"/>
      <c r="AA637" s="604"/>
      <c r="AB637" s="604"/>
      <c r="AC637" s="604"/>
      <c r="AD637" s="604"/>
      <c r="AE637" s="604"/>
      <c r="AF637" s="604"/>
      <c r="AG637" s="604"/>
      <c r="AH637" s="604"/>
      <c r="AI637" s="604"/>
      <c r="AJ637" s="604"/>
      <c r="AK637" s="604"/>
      <c r="AL637" s="604"/>
      <c r="AM637" s="604"/>
      <c r="AN637" s="604"/>
    </row>
    <row r="638" spans="1:40" ht="15.75" hidden="1" customHeight="1">
      <c r="A638" s="650">
        <v>45044</v>
      </c>
      <c r="B638" s="596"/>
      <c r="C638" s="624" t="s">
        <v>208</v>
      </c>
      <c r="D638" s="608"/>
      <c r="E638" s="518"/>
      <c r="F638" s="518"/>
      <c r="G638" s="608"/>
      <c r="H638" s="518"/>
      <c r="I638" s="518"/>
      <c r="J638" s="518"/>
      <c r="K638" s="518"/>
      <c r="L638" s="518"/>
      <c r="M638" s="518"/>
      <c r="N638" s="518"/>
      <c r="O638" s="518"/>
      <c r="P638" s="518"/>
      <c r="Q638" s="518"/>
      <c r="R638" s="518"/>
      <c r="S638" s="518">
        <v>2.97</v>
      </c>
      <c r="T638" s="518"/>
      <c r="U638" s="518"/>
      <c r="V638" s="518"/>
      <c r="W638" s="518"/>
      <c r="X638" s="518"/>
      <c r="Y638" s="518"/>
      <c r="Z638" s="518"/>
      <c r="AA638" s="604"/>
      <c r="AB638" s="604"/>
      <c r="AC638" s="604"/>
      <c r="AD638" s="604"/>
      <c r="AE638" s="604"/>
      <c r="AF638" s="604"/>
      <c r="AG638" s="604"/>
      <c r="AH638" s="604"/>
      <c r="AI638" s="604"/>
      <c r="AJ638" s="604"/>
      <c r="AK638" s="604"/>
      <c r="AL638" s="604"/>
      <c r="AM638" s="604"/>
      <c r="AN638" s="604"/>
    </row>
    <row r="639" spans="1:40" ht="15.75" hidden="1" customHeight="1">
      <c r="A639" s="650">
        <v>45046</v>
      </c>
      <c r="B639" s="596"/>
      <c r="C639" s="624" t="s">
        <v>320</v>
      </c>
      <c r="D639" s="608"/>
      <c r="E639" s="518"/>
      <c r="F639" s="518"/>
      <c r="G639" s="608"/>
      <c r="H639" s="518"/>
      <c r="I639" s="518"/>
      <c r="J639" s="518"/>
      <c r="K639" s="518">
        <f>9.26+9.32+9.19+9.23</f>
        <v>37</v>
      </c>
      <c r="L639" s="518"/>
      <c r="M639" s="518"/>
      <c r="N639" s="518"/>
      <c r="O639" s="518"/>
      <c r="P639" s="518"/>
      <c r="Q639" s="518"/>
      <c r="R639" s="518"/>
      <c r="S639" s="518"/>
      <c r="T639" s="518"/>
      <c r="U639" s="518"/>
      <c r="V639" s="518"/>
      <c r="W639" s="518"/>
      <c r="X639" s="518"/>
      <c r="Y639" s="518"/>
      <c r="Z639" s="518"/>
      <c r="AA639" s="604"/>
      <c r="AB639" s="604"/>
      <c r="AC639" s="604"/>
      <c r="AD639" s="604"/>
      <c r="AE639" s="604"/>
      <c r="AF639" s="604"/>
      <c r="AG639" s="604"/>
      <c r="AH639" s="604"/>
      <c r="AI639" s="604"/>
      <c r="AJ639" s="604"/>
      <c r="AK639" s="604"/>
      <c r="AL639" s="604"/>
      <c r="AM639" s="604"/>
      <c r="AN639" s="604"/>
    </row>
    <row r="640" spans="1:40" ht="15.75" hidden="1" customHeight="1">
      <c r="A640" s="650">
        <v>45046</v>
      </c>
      <c r="B640" s="596"/>
      <c r="C640" s="624" t="s">
        <v>364</v>
      </c>
      <c r="D640" s="608"/>
      <c r="E640" s="518"/>
      <c r="F640" s="518"/>
      <c r="G640" s="608"/>
      <c r="H640" s="518"/>
      <c r="I640" s="518"/>
      <c r="J640" s="616"/>
      <c r="K640" s="518">
        <f>11.43+11.41+11.41+11.34</f>
        <v>45.59</v>
      </c>
      <c r="L640" s="518"/>
      <c r="M640" s="518"/>
      <c r="N640" s="518"/>
      <c r="O640" s="518"/>
      <c r="P640" s="518"/>
      <c r="Q640" s="518"/>
      <c r="R640" s="518"/>
      <c r="S640" s="518"/>
      <c r="T640" s="518"/>
      <c r="U640" s="518"/>
      <c r="V640" s="518"/>
      <c r="W640" s="518"/>
      <c r="X640" s="518"/>
      <c r="Y640" s="518"/>
      <c r="Z640" s="518"/>
      <c r="AA640" s="604"/>
      <c r="AB640" s="604"/>
      <c r="AC640" s="604"/>
      <c r="AD640" s="604"/>
      <c r="AE640" s="604"/>
      <c r="AF640" s="604"/>
      <c r="AG640" s="604"/>
      <c r="AH640" s="604"/>
      <c r="AI640" s="604"/>
      <c r="AJ640" s="604"/>
      <c r="AK640" s="604"/>
      <c r="AL640" s="604"/>
      <c r="AM640" s="604"/>
      <c r="AN640" s="604"/>
    </row>
    <row r="641" spans="1:40" ht="15.75" hidden="1" customHeight="1" thickBot="1">
      <c r="A641" s="650"/>
      <c r="B641" s="596"/>
      <c r="C641" s="624"/>
      <c r="D641" s="608"/>
      <c r="E641" s="518"/>
      <c r="F641" s="518"/>
      <c r="G641" s="608"/>
      <c r="H641" s="518"/>
      <c r="I641" s="518"/>
      <c r="J641" s="518"/>
      <c r="K641" s="518"/>
      <c r="L641" s="518"/>
      <c r="M641" s="518"/>
      <c r="N641" s="518"/>
      <c r="O641" s="518"/>
      <c r="P641" s="518"/>
      <c r="Q641" s="518"/>
      <c r="R641" s="518"/>
      <c r="S641" s="518"/>
      <c r="T641" s="518"/>
      <c r="U641" s="518"/>
      <c r="V641" s="518"/>
      <c r="W641" s="518"/>
      <c r="X641" s="518"/>
      <c r="Y641" s="518"/>
      <c r="Z641" s="518"/>
      <c r="AA641" s="604"/>
      <c r="AB641" s="604"/>
      <c r="AC641" s="604"/>
      <c r="AD641" s="604"/>
      <c r="AE641" s="604"/>
      <c r="AF641" s="604"/>
      <c r="AG641" s="604"/>
      <c r="AH641" s="604"/>
      <c r="AI641" s="604"/>
      <c r="AJ641" s="604"/>
      <c r="AK641" s="604"/>
      <c r="AL641" s="604"/>
      <c r="AM641" s="604"/>
      <c r="AN641" s="604"/>
    </row>
    <row r="642" spans="1:40" ht="15.75" hidden="1" customHeight="1" thickTop="1">
      <c r="A642" s="652"/>
      <c r="B642" s="626">
        <v>45047</v>
      </c>
      <c r="C642" s="627"/>
      <c r="D642" s="601"/>
      <c r="E642" s="602"/>
      <c r="F642" s="602"/>
      <c r="G642" s="602"/>
      <c r="H642" s="602"/>
      <c r="I642" s="602"/>
      <c r="J642" s="602"/>
      <c r="K642" s="602"/>
      <c r="L642" s="602"/>
      <c r="M642" s="602"/>
      <c r="N642" s="602"/>
      <c r="O642" s="602"/>
      <c r="P642" s="602"/>
      <c r="Q642" s="602"/>
      <c r="R642" s="602"/>
      <c r="S642" s="602"/>
      <c r="T642" s="602"/>
      <c r="U642" s="602"/>
      <c r="V642" s="602"/>
      <c r="W642" s="602"/>
      <c r="X642" s="602"/>
      <c r="Y642" s="602"/>
      <c r="Z642" s="602"/>
      <c r="AA642" s="604"/>
      <c r="AB642" s="604"/>
      <c r="AC642" s="604"/>
      <c r="AD642" s="604"/>
      <c r="AE642" s="604"/>
      <c r="AF642" s="604"/>
      <c r="AG642" s="604"/>
      <c r="AH642" s="604"/>
      <c r="AI642" s="604"/>
      <c r="AJ642" s="604"/>
      <c r="AK642" s="604"/>
      <c r="AL642" s="604"/>
      <c r="AM642" s="604"/>
      <c r="AN642" s="604"/>
    </row>
    <row r="643" spans="1:40" ht="15.75" hidden="1" customHeight="1">
      <c r="A643" s="650"/>
      <c r="B643" s="596"/>
      <c r="C643" s="624"/>
      <c r="D643" s="608"/>
      <c r="E643" s="518"/>
      <c r="F643" s="518"/>
      <c r="G643" s="518"/>
      <c r="H643" s="518"/>
      <c r="I643" s="518"/>
      <c r="J643" s="518"/>
      <c r="K643" s="518"/>
      <c r="L643" s="518"/>
      <c r="M643" s="518"/>
      <c r="N643" s="518"/>
      <c r="O643" s="518"/>
      <c r="P643" s="518"/>
      <c r="Q643" s="518"/>
      <c r="R643" s="518"/>
      <c r="S643" s="518"/>
      <c r="T643" s="518"/>
      <c r="U643" s="518"/>
      <c r="V643" s="518"/>
      <c r="W643" s="518"/>
      <c r="X643" s="518"/>
      <c r="Y643" s="518"/>
      <c r="Z643" s="518"/>
      <c r="AA643" s="604"/>
      <c r="AB643" s="604"/>
      <c r="AC643" s="604"/>
      <c r="AD643" s="604"/>
      <c r="AE643" s="604"/>
      <c r="AF643" s="604"/>
      <c r="AG643" s="604"/>
      <c r="AH643" s="604"/>
      <c r="AI643" s="604"/>
      <c r="AJ643" s="604"/>
      <c r="AK643" s="604"/>
      <c r="AL643" s="604"/>
      <c r="AM643" s="604"/>
      <c r="AN643" s="604"/>
    </row>
    <row r="644" spans="1:40" ht="15.75" hidden="1" customHeight="1">
      <c r="A644" s="650">
        <v>45048</v>
      </c>
      <c r="B644" s="606"/>
      <c r="C644" s="607" t="s">
        <v>62</v>
      </c>
      <c r="D644" s="608"/>
      <c r="E644" s="518"/>
      <c r="F644" s="518"/>
      <c r="G644" s="518"/>
      <c r="H644" s="518"/>
      <c r="I644" s="518"/>
      <c r="J644" s="518"/>
      <c r="K644" s="518"/>
      <c r="L644" s="518"/>
      <c r="M644" s="518"/>
      <c r="N644" s="518"/>
      <c r="O644" s="518"/>
      <c r="P644" s="518"/>
      <c r="Q644" s="518"/>
      <c r="R644" s="518"/>
      <c r="S644" s="518"/>
      <c r="T644" s="518"/>
      <c r="U644" s="518"/>
      <c r="V644" s="518">
        <v>1036.55</v>
      </c>
      <c r="W644" s="518"/>
      <c r="X644" s="518"/>
      <c r="Y644" s="518"/>
      <c r="Z644" s="518"/>
      <c r="AA644" s="604"/>
      <c r="AB644" s="604"/>
      <c r="AC644" s="604"/>
      <c r="AD644" s="604"/>
      <c r="AE644" s="604"/>
      <c r="AF644" s="604"/>
      <c r="AG644" s="604"/>
      <c r="AH644" s="604"/>
      <c r="AI644" s="604"/>
      <c r="AJ644" s="604"/>
      <c r="AK644" s="604"/>
      <c r="AL644" s="604"/>
      <c r="AM644" s="604"/>
      <c r="AN644" s="604"/>
    </row>
    <row r="645" spans="1:40" ht="15.75" hidden="1" customHeight="1">
      <c r="A645" s="650">
        <v>45048</v>
      </c>
      <c r="B645" s="612"/>
      <c r="C645" s="611" t="s">
        <v>63</v>
      </c>
      <c r="D645" s="608"/>
      <c r="E645" s="518"/>
      <c r="F645" s="518"/>
      <c r="G645" s="518"/>
      <c r="H645" s="518"/>
      <c r="I645" s="518"/>
      <c r="J645" s="518"/>
      <c r="K645" s="518"/>
      <c r="L645" s="518"/>
      <c r="M645" s="518"/>
      <c r="N645" s="518"/>
      <c r="O645" s="518"/>
      <c r="P645" s="518"/>
      <c r="Q645" s="518"/>
      <c r="R645" s="518"/>
      <c r="S645" s="518"/>
      <c r="T645" s="518">
        <v>283.77</v>
      </c>
      <c r="U645" s="518"/>
      <c r="V645" s="518"/>
      <c r="W645" s="518"/>
      <c r="X645" s="518"/>
      <c r="Y645" s="518"/>
      <c r="Z645" s="518"/>
      <c r="AA645" s="604"/>
      <c r="AB645" s="604"/>
      <c r="AC645" s="604"/>
      <c r="AD645" s="604"/>
      <c r="AE645" s="604"/>
      <c r="AF645" s="604"/>
      <c r="AG645" s="604"/>
      <c r="AH645" s="604"/>
      <c r="AI645" s="604"/>
      <c r="AJ645" s="604"/>
      <c r="AK645" s="604"/>
      <c r="AL645" s="604"/>
      <c r="AM645" s="604"/>
      <c r="AN645" s="604"/>
    </row>
    <row r="646" spans="1:40" ht="15.75" hidden="1" customHeight="1">
      <c r="A646" s="650">
        <v>45048</v>
      </c>
      <c r="B646" s="610">
        <f>'Conversion rates'!B20</f>
        <v>1.1469689999999999</v>
      </c>
      <c r="C646" s="611" t="s">
        <v>276</v>
      </c>
      <c r="D646" s="608"/>
      <c r="E646" s="518"/>
      <c r="F646" s="518"/>
      <c r="G646" s="518"/>
      <c r="H646" s="518"/>
      <c r="I646" s="518"/>
      <c r="J646" s="518"/>
      <c r="K646" s="518"/>
      <c r="L646" s="518"/>
      <c r="M646" s="518"/>
      <c r="N646" s="518"/>
      <c r="O646" s="518"/>
      <c r="P646" s="518"/>
      <c r="Q646" s="518"/>
      <c r="R646" s="518"/>
      <c r="S646" s="518"/>
      <c r="T646" s="518">
        <v>80</v>
      </c>
      <c r="U646" s="518"/>
      <c r="V646" s="518"/>
      <c r="W646" s="518"/>
      <c r="X646" s="518"/>
      <c r="Y646" s="518"/>
      <c r="Z646" s="518"/>
      <c r="AA646" s="604"/>
      <c r="AB646" s="604"/>
      <c r="AC646" s="604"/>
      <c r="AD646" s="604"/>
      <c r="AE646" s="604"/>
      <c r="AF646" s="604"/>
      <c r="AG646" s="604"/>
      <c r="AH646" s="604"/>
      <c r="AI646" s="604"/>
      <c r="AJ646" s="604"/>
      <c r="AK646" s="604"/>
      <c r="AL646" s="604"/>
      <c r="AM646" s="604"/>
      <c r="AN646" s="604"/>
    </row>
    <row r="647" spans="1:40" ht="15.75" hidden="1" customHeight="1">
      <c r="A647" s="650">
        <v>45049</v>
      </c>
      <c r="B647" s="615"/>
      <c r="C647" s="614" t="s">
        <v>194</v>
      </c>
      <c r="D647" s="608"/>
      <c r="E647" s="518"/>
      <c r="F647" s="518"/>
      <c r="G647" s="518"/>
      <c r="H647" s="518"/>
      <c r="I647" s="518"/>
      <c r="J647" s="518"/>
      <c r="K647" s="518"/>
      <c r="L647" s="518"/>
      <c r="M647" s="518"/>
      <c r="N647" s="518"/>
      <c r="O647" s="518"/>
      <c r="P647" s="518"/>
      <c r="Q647" s="518"/>
      <c r="R647" s="518"/>
      <c r="S647" s="518">
        <v>9.26</v>
      </c>
      <c r="T647" s="518"/>
      <c r="U647" s="518"/>
      <c r="V647" s="518"/>
      <c r="W647" s="518"/>
      <c r="X647" s="518"/>
      <c r="Y647" s="518"/>
      <c r="Z647" s="518"/>
      <c r="AA647" s="604"/>
      <c r="AB647" s="604"/>
      <c r="AC647" s="604"/>
      <c r="AD647" s="604"/>
      <c r="AE647" s="604"/>
      <c r="AF647" s="604"/>
      <c r="AG647" s="604"/>
      <c r="AH647" s="604"/>
      <c r="AI647" s="604"/>
      <c r="AJ647" s="604"/>
      <c r="AK647" s="604"/>
      <c r="AL647" s="604"/>
      <c r="AM647" s="604"/>
      <c r="AN647" s="604"/>
    </row>
    <row r="648" spans="1:40" ht="15.75" hidden="1" customHeight="1">
      <c r="A648" s="650">
        <v>45058</v>
      </c>
      <c r="B648" s="612" t="s">
        <v>310</v>
      </c>
      <c r="C648" s="614" t="s">
        <v>393</v>
      </c>
      <c r="D648" s="608"/>
      <c r="E648" s="518"/>
      <c r="F648" s="518"/>
      <c r="G648" s="518"/>
      <c r="H648" s="518"/>
      <c r="I648" s="518"/>
      <c r="J648" s="518"/>
      <c r="K648" s="518"/>
      <c r="L648" s="518"/>
      <c r="M648" s="616"/>
      <c r="N648" s="518">
        <f>800*B646</f>
        <v>917.57519999999988</v>
      </c>
      <c r="O648" s="518"/>
      <c r="P648" s="518"/>
      <c r="Q648" s="518"/>
      <c r="R648" s="518"/>
      <c r="S648" s="518"/>
      <c r="T648" s="518"/>
      <c r="U648" s="518"/>
      <c r="V648" s="518"/>
      <c r="W648" s="518"/>
      <c r="X648" s="518"/>
      <c r="Y648" s="518"/>
      <c r="Z648" s="518"/>
      <c r="AA648" s="604"/>
      <c r="AB648" s="604"/>
      <c r="AC648" s="604"/>
      <c r="AD648" s="604"/>
      <c r="AE648" s="604"/>
      <c r="AF648" s="604"/>
      <c r="AG648" s="604"/>
      <c r="AH648" s="604"/>
      <c r="AI648" s="604"/>
      <c r="AJ648" s="604"/>
      <c r="AK648" s="604"/>
      <c r="AL648" s="604"/>
      <c r="AM648" s="604"/>
      <c r="AN648" s="604"/>
    </row>
    <row r="649" spans="1:40" ht="15.75" hidden="1" customHeight="1">
      <c r="A649" s="650">
        <v>45061</v>
      </c>
      <c r="B649" s="612"/>
      <c r="C649" s="611" t="s">
        <v>394</v>
      </c>
      <c r="D649" s="608"/>
      <c r="E649" s="518"/>
      <c r="F649" s="518"/>
      <c r="G649" s="518"/>
      <c r="H649" s="518"/>
      <c r="I649" s="518"/>
      <c r="J649" s="518"/>
      <c r="K649" s="518"/>
      <c r="L649" s="518"/>
      <c r="M649" s="518"/>
      <c r="N649" s="518"/>
      <c r="O649" s="518"/>
      <c r="P649" s="518"/>
      <c r="Q649" s="518"/>
      <c r="R649" s="518"/>
      <c r="S649" s="518"/>
      <c r="T649" s="518">
        <v>18</v>
      </c>
      <c r="U649" s="518"/>
      <c r="V649" s="518"/>
      <c r="W649" s="518"/>
      <c r="X649" s="518"/>
      <c r="Y649" s="518"/>
      <c r="Z649" s="518"/>
      <c r="AA649" s="604"/>
      <c r="AB649" s="604"/>
      <c r="AC649" s="604"/>
      <c r="AD649" s="604"/>
      <c r="AE649" s="604"/>
      <c r="AF649" s="604"/>
      <c r="AG649" s="604"/>
      <c r="AH649" s="604"/>
      <c r="AI649" s="604"/>
      <c r="AJ649" s="604"/>
      <c r="AK649" s="604"/>
      <c r="AL649" s="604"/>
      <c r="AM649" s="604"/>
      <c r="AN649" s="604"/>
    </row>
    <row r="650" spans="1:40" ht="15.75" hidden="1" customHeight="1">
      <c r="A650" s="650">
        <v>45061</v>
      </c>
      <c r="B650" s="613"/>
      <c r="C650" s="611" t="s">
        <v>168</v>
      </c>
      <c r="D650" s="608"/>
      <c r="E650" s="518"/>
      <c r="F650" s="518"/>
      <c r="G650" s="518"/>
      <c r="H650" s="518"/>
      <c r="I650" s="518"/>
      <c r="J650" s="518"/>
      <c r="K650" s="518"/>
      <c r="L650" s="518"/>
      <c r="M650" s="518"/>
      <c r="N650" s="518"/>
      <c r="O650" s="518"/>
      <c r="P650" s="518"/>
      <c r="Q650" s="518"/>
      <c r="R650" s="518"/>
      <c r="S650" s="518"/>
      <c r="T650" s="518">
        <v>1608.68</v>
      </c>
      <c r="U650" s="518"/>
      <c r="V650" s="518"/>
      <c r="W650" s="518"/>
      <c r="X650" s="518"/>
      <c r="Y650" s="518"/>
      <c r="Z650" s="518"/>
      <c r="AA650" s="604"/>
      <c r="AB650" s="604"/>
      <c r="AC650" s="604"/>
      <c r="AD650" s="604"/>
      <c r="AE650" s="604"/>
      <c r="AF650" s="604"/>
      <c r="AG650" s="604"/>
      <c r="AH650" s="604"/>
      <c r="AI650" s="604"/>
      <c r="AJ650" s="604"/>
      <c r="AK650" s="604"/>
      <c r="AL650" s="604"/>
      <c r="AM650" s="604"/>
      <c r="AN650" s="604"/>
    </row>
    <row r="651" spans="1:40" ht="15.75" hidden="1" customHeight="1">
      <c r="A651" s="650">
        <v>45061</v>
      </c>
      <c r="B651" s="615"/>
      <c r="C651" s="611" t="s">
        <v>341</v>
      </c>
      <c r="D651" s="608"/>
      <c r="E651" s="518"/>
      <c r="F651" s="518"/>
      <c r="G651" s="518"/>
      <c r="H651" s="518">
        <v>823.78</v>
      </c>
      <c r="I651" s="518"/>
      <c r="J651" s="518"/>
      <c r="K651" s="518"/>
      <c r="L651" s="518"/>
      <c r="M651" s="518"/>
      <c r="N651" s="518"/>
      <c r="O651" s="518"/>
      <c r="P651" s="518"/>
      <c r="Q651" s="518"/>
      <c r="R651" s="518"/>
      <c r="S651" s="518"/>
      <c r="T651" s="518"/>
      <c r="U651" s="518"/>
      <c r="V651" s="518"/>
      <c r="W651" s="518"/>
      <c r="X651" s="518"/>
      <c r="Y651" s="518"/>
      <c r="Z651" s="518"/>
      <c r="AA651" s="604"/>
      <c r="AB651" s="604"/>
      <c r="AC651" s="604"/>
      <c r="AD651" s="604"/>
      <c r="AE651" s="604"/>
      <c r="AF651" s="604"/>
      <c r="AG651" s="604"/>
      <c r="AH651" s="604"/>
      <c r="AI651" s="604"/>
      <c r="AJ651" s="604"/>
      <c r="AK651" s="604"/>
      <c r="AL651" s="604"/>
      <c r="AM651" s="604"/>
      <c r="AN651" s="604"/>
    </row>
    <row r="652" spans="1:40" ht="15.75" hidden="1" customHeight="1">
      <c r="A652" s="650">
        <v>45063</v>
      </c>
      <c r="B652" s="613"/>
      <c r="C652" s="611" t="s">
        <v>111</v>
      </c>
      <c r="D652" s="608"/>
      <c r="E652" s="518"/>
      <c r="F652" s="518"/>
      <c r="G652" s="518"/>
      <c r="H652" s="518"/>
      <c r="I652" s="518"/>
      <c r="J652" s="518"/>
      <c r="K652" s="518">
        <v>29.99</v>
      </c>
      <c r="L652" s="518"/>
      <c r="M652" s="528"/>
      <c r="N652" s="518"/>
      <c r="O652" s="518"/>
      <c r="P652" s="518"/>
      <c r="Q652" s="518"/>
      <c r="R652" s="518"/>
      <c r="S652" s="518"/>
      <c r="U652" s="518"/>
      <c r="V652" s="518"/>
      <c r="W652" s="518"/>
      <c r="X652" s="518"/>
      <c r="Y652" s="518"/>
      <c r="Z652" s="518"/>
      <c r="AA652" s="604"/>
      <c r="AB652" s="604"/>
      <c r="AC652" s="604"/>
      <c r="AD652" s="604"/>
      <c r="AE652" s="604"/>
      <c r="AF652" s="604"/>
      <c r="AG652" s="604"/>
      <c r="AH652" s="604"/>
      <c r="AI652" s="604"/>
      <c r="AJ652" s="604"/>
      <c r="AK652" s="604"/>
      <c r="AL652" s="604"/>
      <c r="AM652" s="604"/>
      <c r="AN652" s="604"/>
    </row>
    <row r="653" spans="1:40" ht="15.75" hidden="1" customHeight="1">
      <c r="A653" s="650">
        <v>45065</v>
      </c>
      <c r="B653" s="613"/>
      <c r="C653" s="611" t="s">
        <v>78</v>
      </c>
      <c r="D653" s="608"/>
      <c r="E653" s="518"/>
      <c r="F653" s="518"/>
      <c r="G653" s="518"/>
      <c r="H653" s="518"/>
      <c r="I653" s="518"/>
      <c r="J653" s="518">
        <v>20.85</v>
      </c>
      <c r="K653" s="518"/>
      <c r="L653" s="518"/>
      <c r="M653" s="518"/>
      <c r="N653" s="518"/>
      <c r="O653" s="518"/>
      <c r="P653" s="518"/>
      <c r="Q653" s="518"/>
      <c r="R653" s="518"/>
      <c r="S653" s="518"/>
      <c r="T653" s="518"/>
      <c r="U653" s="518"/>
      <c r="V653" s="518"/>
      <c r="W653" s="518"/>
      <c r="X653" s="518"/>
      <c r="Y653" s="518"/>
      <c r="Z653" s="518"/>
      <c r="AA653" s="604"/>
      <c r="AB653" s="604"/>
      <c r="AC653" s="604"/>
      <c r="AD653" s="604"/>
      <c r="AE653" s="604"/>
      <c r="AF653" s="604"/>
      <c r="AG653" s="604"/>
      <c r="AH653" s="604"/>
      <c r="AI653" s="604"/>
      <c r="AJ653" s="604"/>
      <c r="AK653" s="604"/>
      <c r="AL653" s="604"/>
      <c r="AM653" s="604"/>
      <c r="AN653" s="604"/>
    </row>
    <row r="654" spans="1:40" ht="15.75" hidden="1" customHeight="1">
      <c r="A654" s="650">
        <v>45077</v>
      </c>
      <c r="B654" s="615"/>
      <c r="C654" s="611" t="s">
        <v>344</v>
      </c>
      <c r="D654" s="608"/>
      <c r="E654" s="518"/>
      <c r="F654" s="518"/>
      <c r="G654" s="518"/>
      <c r="H654" s="518"/>
      <c r="I654" s="518"/>
      <c r="J654" s="518"/>
      <c r="K654" s="518"/>
      <c r="L654" s="518"/>
      <c r="M654" s="518"/>
      <c r="N654" s="518"/>
      <c r="O654" s="518"/>
      <c r="P654" s="518"/>
      <c r="Q654" s="518"/>
      <c r="R654" s="518"/>
      <c r="S654" s="518">
        <v>1.75</v>
      </c>
      <c r="T654" s="518"/>
      <c r="U654" s="518"/>
      <c r="V654" s="518"/>
      <c r="W654" s="518"/>
      <c r="X654" s="518"/>
      <c r="Y654" s="518"/>
      <c r="Z654" s="518"/>
      <c r="AA654" s="604"/>
      <c r="AB654" s="604"/>
      <c r="AC654" s="604"/>
      <c r="AD654" s="604"/>
      <c r="AE654" s="604"/>
      <c r="AF654" s="604"/>
      <c r="AG654" s="604"/>
      <c r="AH654" s="604"/>
      <c r="AI654" s="604"/>
      <c r="AJ654" s="604"/>
      <c r="AK654" s="604"/>
      <c r="AL654" s="604"/>
      <c r="AM654" s="604"/>
      <c r="AN654" s="604"/>
    </row>
    <row r="655" spans="1:40" ht="15.75" hidden="1" customHeight="1">
      <c r="A655" s="650">
        <v>45077</v>
      </c>
      <c r="B655" s="615"/>
      <c r="C655" s="614" t="s">
        <v>260</v>
      </c>
      <c r="D655" s="608"/>
      <c r="E655" s="518">
        <v>580.05999999999995</v>
      </c>
      <c r="F655" s="518"/>
      <c r="G655" s="518"/>
      <c r="H655" s="518"/>
      <c r="I655" s="518"/>
      <c r="J655" s="518"/>
      <c r="K655" s="518"/>
      <c r="L655" s="518"/>
      <c r="M655" s="518"/>
      <c r="N655" s="518"/>
      <c r="O655" s="518"/>
      <c r="P655" s="518"/>
      <c r="Q655" s="518"/>
      <c r="R655" s="518"/>
      <c r="S655" s="518"/>
      <c r="T655" s="518"/>
      <c r="U655" s="518"/>
      <c r="V655" s="518"/>
      <c r="W655" s="518"/>
      <c r="X655" s="518"/>
      <c r="Y655" s="518"/>
      <c r="Z655" s="518"/>
      <c r="AA655" s="604"/>
      <c r="AB655" s="604"/>
      <c r="AC655" s="604"/>
      <c r="AD655" s="604"/>
      <c r="AE655" s="604"/>
      <c r="AF655" s="604"/>
      <c r="AG655" s="604"/>
      <c r="AH655" s="604"/>
      <c r="AI655" s="604"/>
      <c r="AJ655" s="604"/>
      <c r="AK655" s="604"/>
      <c r="AL655" s="604"/>
      <c r="AM655" s="604"/>
      <c r="AN655" s="604"/>
    </row>
    <row r="656" spans="1:40" ht="15.75" hidden="1" customHeight="1">
      <c r="A656" s="651"/>
      <c r="B656" s="616"/>
      <c r="C656" s="616"/>
      <c r="D656" s="616"/>
      <c r="E656" s="616"/>
      <c r="F656" s="616"/>
      <c r="G656" s="616"/>
      <c r="H656" s="616"/>
      <c r="I656" s="616"/>
      <c r="J656" s="616"/>
      <c r="K656" s="616"/>
      <c r="L656" s="616"/>
      <c r="M656" s="518"/>
      <c r="N656" s="518"/>
      <c r="O656" s="518"/>
      <c r="P656" s="518"/>
      <c r="Q656" s="518"/>
      <c r="R656" s="518"/>
      <c r="S656" s="518"/>
      <c r="T656" s="518"/>
      <c r="U656" s="518"/>
      <c r="V656" s="518"/>
      <c r="W656" s="518"/>
      <c r="X656" s="518"/>
      <c r="Y656" s="518"/>
      <c r="Z656" s="518"/>
      <c r="AA656" s="604"/>
      <c r="AB656" s="604"/>
      <c r="AC656" s="604"/>
      <c r="AD656" s="604"/>
      <c r="AE656" s="604"/>
      <c r="AF656" s="604"/>
      <c r="AG656" s="604"/>
      <c r="AH656" s="604"/>
      <c r="AI656" s="604"/>
      <c r="AJ656" s="604"/>
      <c r="AK656" s="604"/>
      <c r="AL656" s="604"/>
      <c r="AM656" s="604"/>
      <c r="AN656" s="604"/>
    </row>
    <row r="657" spans="1:40" ht="15.75" hidden="1" customHeight="1">
      <c r="A657" s="650"/>
      <c r="B657" s="620"/>
      <c r="C657" s="621"/>
      <c r="D657" s="622"/>
      <c r="E657" s="623"/>
      <c r="F657" s="623"/>
      <c r="G657" s="623"/>
      <c r="H657" s="623"/>
      <c r="I657" s="623"/>
      <c r="J657" s="623"/>
      <c r="K657" s="623"/>
      <c r="L657" s="623"/>
      <c r="M657" s="623"/>
      <c r="N657" s="623"/>
      <c r="O657" s="623"/>
      <c r="P657" s="623"/>
      <c r="Q657" s="623"/>
      <c r="R657" s="623"/>
      <c r="S657" s="623"/>
      <c r="T657" s="518"/>
      <c r="U657" s="518"/>
      <c r="V657" s="518"/>
      <c r="W657" s="518"/>
      <c r="X657" s="518"/>
      <c r="Y657" s="518"/>
      <c r="Z657" s="518"/>
      <c r="AA657" s="604"/>
      <c r="AB657" s="604"/>
      <c r="AC657" s="604"/>
      <c r="AD657" s="604"/>
      <c r="AE657" s="604"/>
      <c r="AF657" s="604"/>
      <c r="AG657" s="604"/>
      <c r="AH657" s="604"/>
      <c r="AI657" s="604"/>
      <c r="AJ657" s="604"/>
      <c r="AK657" s="604"/>
      <c r="AL657" s="604"/>
      <c r="AM657" s="604"/>
      <c r="AN657" s="604"/>
    </row>
    <row r="658" spans="1:40" ht="15.75" hidden="1" customHeight="1">
      <c r="A658" s="650">
        <v>45048</v>
      </c>
      <c r="B658" s="634"/>
      <c r="C658" s="624" t="s">
        <v>395</v>
      </c>
      <c r="D658" s="608"/>
      <c r="E658" s="518"/>
      <c r="F658" s="518"/>
      <c r="G658" s="608"/>
      <c r="H658" s="518"/>
      <c r="I658" s="518"/>
      <c r="J658" s="518"/>
      <c r="K658" s="518"/>
      <c r="L658" s="518"/>
      <c r="M658" s="518"/>
      <c r="N658" s="518"/>
      <c r="O658" s="518"/>
      <c r="P658" s="518">
        <v>8.74</v>
      </c>
      <c r="Q658" s="518"/>
      <c r="R658" s="518"/>
      <c r="S658" s="518"/>
      <c r="T658" s="518"/>
      <c r="U658" s="518"/>
      <c r="V658" s="518"/>
      <c r="W658" s="518"/>
      <c r="X658" s="518"/>
      <c r="Y658" s="518"/>
      <c r="Z658" s="518"/>
      <c r="AA658" s="604"/>
      <c r="AB658" s="604"/>
      <c r="AC658" s="604"/>
      <c r="AD658" s="604"/>
      <c r="AE658" s="604"/>
      <c r="AF658" s="604"/>
      <c r="AG658" s="604"/>
      <c r="AH658" s="604"/>
      <c r="AI658" s="604"/>
      <c r="AJ658" s="604"/>
      <c r="AK658" s="604"/>
      <c r="AL658" s="604"/>
      <c r="AM658" s="604"/>
      <c r="AN658" s="604"/>
    </row>
    <row r="659" spans="1:40" ht="15.75" hidden="1" customHeight="1">
      <c r="A659" s="650">
        <v>45050</v>
      </c>
      <c r="B659" s="634"/>
      <c r="C659" s="624" t="s">
        <v>180</v>
      </c>
      <c r="D659" s="608"/>
      <c r="E659" s="518"/>
      <c r="F659" s="518"/>
      <c r="G659" s="608"/>
      <c r="H659" s="518"/>
      <c r="I659" s="518"/>
      <c r="J659" s="518"/>
      <c r="K659" s="518"/>
      <c r="L659" s="518"/>
      <c r="M659" s="518"/>
      <c r="N659" s="518"/>
      <c r="O659" s="518">
        <v>153.25</v>
      </c>
      <c r="P659" s="518"/>
      <c r="Q659" s="518"/>
      <c r="R659" s="518"/>
      <c r="S659" s="518"/>
      <c r="T659" s="518"/>
      <c r="U659" s="518"/>
      <c r="V659" s="518"/>
      <c r="W659" s="518"/>
      <c r="X659" s="518"/>
      <c r="Y659" s="518"/>
      <c r="Z659" s="518"/>
      <c r="AA659" s="604"/>
      <c r="AB659" s="604"/>
      <c r="AC659" s="604"/>
      <c r="AD659" s="604"/>
      <c r="AE659" s="604"/>
      <c r="AF659" s="604"/>
      <c r="AG659" s="604"/>
      <c r="AH659" s="604"/>
      <c r="AI659" s="604"/>
      <c r="AJ659" s="604"/>
      <c r="AK659" s="604"/>
      <c r="AL659" s="604"/>
      <c r="AM659" s="604"/>
      <c r="AN659" s="604"/>
    </row>
    <row r="660" spans="1:40" ht="15.75" hidden="1" customHeight="1">
      <c r="A660" s="650">
        <v>45054</v>
      </c>
      <c r="B660" s="634"/>
      <c r="C660" s="624" t="s">
        <v>396</v>
      </c>
      <c r="D660" s="608"/>
      <c r="E660" s="518"/>
      <c r="F660" s="518"/>
      <c r="G660" s="608"/>
      <c r="H660" s="518"/>
      <c r="I660" s="518"/>
      <c r="J660" s="518"/>
      <c r="K660" s="518"/>
      <c r="L660" s="518">
        <v>159.88</v>
      </c>
      <c r="M660" s="518"/>
      <c r="N660" s="518"/>
      <c r="O660" s="518"/>
      <c r="P660" s="518"/>
      <c r="Q660" s="518"/>
      <c r="R660" s="518"/>
      <c r="S660" s="518"/>
      <c r="T660" s="518"/>
      <c r="U660" s="518"/>
      <c r="V660" s="518"/>
      <c r="W660" s="518"/>
      <c r="X660" s="518"/>
      <c r="Y660" s="518"/>
      <c r="Z660" s="518"/>
      <c r="AA660" s="604"/>
      <c r="AB660" s="604"/>
      <c r="AC660" s="604"/>
      <c r="AD660" s="604"/>
      <c r="AE660" s="604"/>
      <c r="AF660" s="604"/>
      <c r="AG660" s="604"/>
      <c r="AH660" s="604"/>
      <c r="AI660" s="604"/>
      <c r="AJ660" s="604"/>
      <c r="AK660" s="604"/>
      <c r="AL660" s="604"/>
      <c r="AM660" s="604"/>
      <c r="AN660" s="604"/>
    </row>
    <row r="661" spans="1:40" ht="15.75" hidden="1" customHeight="1">
      <c r="A661" s="650">
        <v>45057</v>
      </c>
      <c r="B661" s="596"/>
      <c r="C661" s="624" t="s">
        <v>397</v>
      </c>
      <c r="D661" s="608"/>
      <c r="E661" s="518"/>
      <c r="F661" s="518">
        <v>522</v>
      </c>
      <c r="G661" s="608"/>
      <c r="H661" s="518"/>
      <c r="I661" s="518"/>
      <c r="J661" s="518"/>
      <c r="K661" s="518"/>
      <c r="L661" s="518"/>
      <c r="M661" s="518"/>
      <c r="N661" s="518"/>
      <c r="O661" s="518"/>
      <c r="P661" s="518"/>
      <c r="Q661" s="518"/>
      <c r="R661" s="518"/>
      <c r="S661" s="518"/>
      <c r="T661" s="518"/>
      <c r="U661" s="518"/>
      <c r="V661" s="518"/>
      <c r="W661" s="518"/>
      <c r="X661" s="518"/>
      <c r="Y661" s="518"/>
      <c r="Z661" s="518"/>
      <c r="AA661" s="604"/>
      <c r="AB661" s="604"/>
      <c r="AC661" s="604"/>
      <c r="AD661" s="604"/>
      <c r="AE661" s="604"/>
      <c r="AF661" s="604"/>
      <c r="AG661" s="604"/>
      <c r="AH661" s="604"/>
      <c r="AI661" s="604"/>
      <c r="AJ661" s="604"/>
      <c r="AK661" s="604"/>
      <c r="AL661" s="604"/>
      <c r="AM661" s="604"/>
      <c r="AN661" s="604"/>
    </row>
    <row r="662" spans="1:40" ht="15.75" hidden="1" customHeight="1">
      <c r="A662" s="650">
        <v>45058</v>
      </c>
      <c r="B662" s="634"/>
      <c r="C662" s="624" t="s">
        <v>398</v>
      </c>
      <c r="D662" s="608"/>
      <c r="E662" s="518"/>
      <c r="F662" s="518"/>
      <c r="G662" s="608"/>
      <c r="H662" s="518"/>
      <c r="I662" s="518"/>
      <c r="J662" s="518"/>
      <c r="K662" s="518"/>
      <c r="L662" s="518"/>
      <c r="M662" s="518"/>
      <c r="N662" s="518">
        <v>279.3</v>
      </c>
      <c r="O662" s="518"/>
      <c r="P662" s="518"/>
      <c r="Q662" s="518"/>
      <c r="R662" s="518"/>
      <c r="S662" s="518"/>
      <c r="T662" s="518"/>
      <c r="U662" s="518"/>
      <c r="V662" s="518"/>
      <c r="W662" s="518"/>
      <c r="X662" s="518"/>
      <c r="Y662" s="518"/>
      <c r="Z662" s="518"/>
      <c r="AA662" s="604"/>
      <c r="AB662" s="604"/>
      <c r="AC662" s="604"/>
      <c r="AD662" s="604"/>
      <c r="AE662" s="604"/>
      <c r="AF662" s="604"/>
      <c r="AG662" s="604"/>
      <c r="AH662" s="604"/>
      <c r="AI662" s="604"/>
      <c r="AJ662" s="604"/>
      <c r="AK662" s="604"/>
      <c r="AL662" s="604"/>
      <c r="AM662" s="604"/>
      <c r="AN662" s="604"/>
    </row>
    <row r="663" spans="1:40" ht="15.75" hidden="1" customHeight="1">
      <c r="A663" s="650">
        <v>45061</v>
      </c>
      <c r="B663" s="634"/>
      <c r="C663" s="624" t="s">
        <v>270</v>
      </c>
      <c r="D663" s="608"/>
      <c r="E663" s="518"/>
      <c r="F663" s="518">
        <v>20.52</v>
      </c>
      <c r="G663" s="608"/>
      <c r="H663" s="518"/>
      <c r="I663" s="518"/>
      <c r="J663" s="518"/>
      <c r="K663" s="518"/>
      <c r="L663" s="518"/>
      <c r="M663" s="518"/>
      <c r="N663" s="518"/>
      <c r="O663" s="518"/>
      <c r="P663" s="518"/>
      <c r="Q663" s="518"/>
      <c r="R663" s="518"/>
      <c r="S663" s="518"/>
      <c r="T663" s="518"/>
      <c r="U663" s="518"/>
      <c r="V663" s="518"/>
      <c r="W663" s="518"/>
      <c r="X663" s="518"/>
      <c r="Y663" s="518"/>
      <c r="Z663" s="518"/>
      <c r="AA663" s="604"/>
      <c r="AB663" s="604"/>
      <c r="AC663" s="604"/>
      <c r="AD663" s="604"/>
      <c r="AE663" s="604"/>
      <c r="AF663" s="604"/>
      <c r="AG663" s="604"/>
      <c r="AH663" s="604"/>
      <c r="AI663" s="604"/>
      <c r="AJ663" s="604"/>
      <c r="AK663" s="604"/>
      <c r="AL663" s="604"/>
      <c r="AM663" s="604"/>
      <c r="AN663" s="604"/>
    </row>
    <row r="664" spans="1:40" ht="15.75" hidden="1" customHeight="1">
      <c r="A664" s="650">
        <v>45061</v>
      </c>
      <c r="B664" s="634"/>
      <c r="C664" s="624" t="s">
        <v>399</v>
      </c>
      <c r="D664" s="608"/>
      <c r="E664" s="518"/>
      <c r="F664" s="518"/>
      <c r="G664" s="608"/>
      <c r="H664" s="518"/>
      <c r="I664" s="518"/>
      <c r="J664" s="518"/>
      <c r="K664" s="518"/>
      <c r="L664" s="518"/>
      <c r="M664" s="518"/>
      <c r="N664" s="518"/>
      <c r="O664" s="518"/>
      <c r="P664" s="518"/>
      <c r="Q664" s="518"/>
      <c r="R664" s="518"/>
      <c r="S664" s="518"/>
      <c r="T664" s="518"/>
      <c r="U664" s="518"/>
      <c r="V664" s="518"/>
      <c r="W664" s="518"/>
      <c r="X664" s="518"/>
      <c r="Y664" s="518"/>
      <c r="Z664" s="518"/>
      <c r="AA664" s="604"/>
      <c r="AB664" s="604"/>
      <c r="AC664" s="604"/>
      <c r="AD664" s="604"/>
      <c r="AE664" s="604"/>
      <c r="AF664" s="604"/>
      <c r="AG664" s="604"/>
      <c r="AH664" s="604"/>
      <c r="AI664" s="604"/>
      <c r="AJ664" s="604"/>
      <c r="AK664" s="604"/>
      <c r="AL664" s="604"/>
      <c r="AM664" s="604"/>
      <c r="AN664" s="604"/>
    </row>
    <row r="665" spans="1:40" ht="15.75" hidden="1" customHeight="1">
      <c r="A665" s="650">
        <v>45061</v>
      </c>
      <c r="B665" s="634"/>
      <c r="C665" s="624" t="s">
        <v>82</v>
      </c>
      <c r="D665" s="608"/>
      <c r="E665" s="518"/>
      <c r="F665" s="518"/>
      <c r="G665" s="608"/>
      <c r="H665" s="518"/>
      <c r="I665" s="518"/>
      <c r="J665" s="518"/>
      <c r="K665" s="518"/>
      <c r="L665" s="518">
        <v>37</v>
      </c>
      <c r="M665" s="518"/>
      <c r="N665" s="518"/>
      <c r="O665" s="518"/>
      <c r="P665" s="518"/>
      <c r="Q665" s="518"/>
      <c r="R665" s="518"/>
      <c r="S665" s="518"/>
      <c r="T665" s="518"/>
      <c r="U665" s="518"/>
      <c r="V665" s="518"/>
      <c r="W665" s="518"/>
      <c r="X665" s="518"/>
      <c r="Y665" s="518"/>
      <c r="Z665" s="518"/>
      <c r="AA665" s="604"/>
      <c r="AB665" s="604"/>
      <c r="AC665" s="604"/>
      <c r="AD665" s="604"/>
      <c r="AE665" s="604"/>
      <c r="AF665" s="604"/>
      <c r="AG665" s="604"/>
      <c r="AH665" s="604"/>
      <c r="AI665" s="604"/>
      <c r="AJ665" s="604"/>
      <c r="AK665" s="604"/>
      <c r="AL665" s="604"/>
      <c r="AM665" s="604"/>
      <c r="AN665" s="604"/>
    </row>
    <row r="666" spans="1:40" ht="15.75" hidden="1" customHeight="1">
      <c r="A666" s="650">
        <v>45074</v>
      </c>
      <c r="B666" s="634"/>
      <c r="C666" s="624" t="s">
        <v>208</v>
      </c>
      <c r="D666" s="608"/>
      <c r="E666" s="518"/>
      <c r="F666" s="518"/>
      <c r="G666" s="608"/>
      <c r="H666" s="518"/>
      <c r="I666" s="518"/>
      <c r="J666" s="518"/>
      <c r="K666" s="518"/>
      <c r="L666" s="518"/>
      <c r="M666" s="518"/>
      <c r="N666" s="518"/>
      <c r="O666" s="518"/>
      <c r="P666" s="518"/>
      <c r="Q666" s="518"/>
      <c r="R666" s="518"/>
      <c r="S666" s="518">
        <v>1.75</v>
      </c>
      <c r="T666" s="518"/>
      <c r="U666" s="518"/>
      <c r="V666" s="518"/>
      <c r="W666" s="518"/>
      <c r="X666" s="518"/>
      <c r="Y666" s="518"/>
      <c r="Z666" s="518"/>
      <c r="AA666" s="604"/>
      <c r="AB666" s="604"/>
      <c r="AC666" s="604"/>
      <c r="AD666" s="604"/>
      <c r="AE666" s="604"/>
      <c r="AF666" s="604"/>
      <c r="AG666" s="604"/>
      <c r="AH666" s="604"/>
      <c r="AI666" s="604"/>
      <c r="AJ666" s="604"/>
      <c r="AK666" s="604"/>
      <c r="AL666" s="604"/>
      <c r="AM666" s="604"/>
      <c r="AN666" s="604"/>
    </row>
    <row r="667" spans="1:40" ht="15.75" hidden="1" customHeight="1">
      <c r="A667" s="650">
        <v>45076</v>
      </c>
      <c r="B667" s="634"/>
      <c r="C667" s="624" t="s">
        <v>364</v>
      </c>
      <c r="D667" s="608"/>
      <c r="E667" s="518"/>
      <c r="F667" s="518"/>
      <c r="G667" s="608"/>
      <c r="H667" s="518"/>
      <c r="I667" s="518"/>
      <c r="J667" s="616"/>
      <c r="K667" s="518">
        <f>11.31+11.34+11.34+11.43</f>
        <v>45.419999999999995</v>
      </c>
      <c r="L667" s="518"/>
      <c r="M667" s="518"/>
      <c r="N667" s="518"/>
      <c r="O667" s="518"/>
      <c r="P667" s="518"/>
      <c r="Q667" s="518"/>
      <c r="R667" s="518"/>
      <c r="S667" s="518"/>
      <c r="T667" s="518"/>
      <c r="U667" s="518"/>
      <c r="V667" s="518"/>
      <c r="W667" s="518"/>
      <c r="X667" s="518"/>
      <c r="Y667" s="518"/>
      <c r="Z667" s="518"/>
      <c r="AA667" s="604"/>
      <c r="AB667" s="604"/>
      <c r="AC667" s="604"/>
      <c r="AD667" s="604"/>
      <c r="AE667" s="604"/>
      <c r="AF667" s="604"/>
      <c r="AG667" s="604"/>
      <c r="AH667" s="604"/>
      <c r="AI667" s="604"/>
      <c r="AJ667" s="604"/>
      <c r="AK667" s="604"/>
      <c r="AL667" s="604"/>
      <c r="AM667" s="604"/>
      <c r="AN667" s="604"/>
    </row>
    <row r="668" spans="1:40" ht="15.75" hidden="1" customHeight="1">
      <c r="A668" s="650">
        <v>45076</v>
      </c>
      <c r="B668" s="634"/>
      <c r="C668" s="624" t="s">
        <v>400</v>
      </c>
      <c r="D668" s="608"/>
      <c r="E668" s="518"/>
      <c r="F668" s="518"/>
      <c r="G668" s="608"/>
      <c r="H668" s="518"/>
      <c r="I668" s="518"/>
      <c r="J668" s="518"/>
      <c r="K668" s="518"/>
      <c r="L668" s="518"/>
      <c r="M668" s="518"/>
      <c r="N668" s="518"/>
      <c r="O668" s="518">
        <v>7.82</v>
      </c>
      <c r="P668" s="518"/>
      <c r="Q668" s="518"/>
      <c r="R668" s="518"/>
      <c r="S668" s="518"/>
      <c r="T668" s="518"/>
      <c r="U668" s="518"/>
      <c r="V668" s="518"/>
      <c r="W668" s="518"/>
      <c r="X668" s="518"/>
      <c r="Y668" s="518"/>
      <c r="Z668" s="518"/>
      <c r="AA668" s="604"/>
      <c r="AB668" s="604"/>
      <c r="AC668" s="604"/>
      <c r="AD668" s="604"/>
      <c r="AE668" s="604"/>
      <c r="AF668" s="604"/>
      <c r="AG668" s="604"/>
      <c r="AH668" s="604"/>
      <c r="AI668" s="604"/>
      <c r="AJ668" s="604"/>
      <c r="AK668" s="604"/>
      <c r="AL668" s="604"/>
      <c r="AM668" s="604"/>
      <c r="AN668" s="604"/>
    </row>
    <row r="669" spans="1:40" ht="15.75" hidden="1" customHeight="1">
      <c r="A669" s="650">
        <v>45077</v>
      </c>
      <c r="B669" s="634"/>
      <c r="C669" s="624" t="s">
        <v>320</v>
      </c>
      <c r="D669" s="608"/>
      <c r="E669" s="518"/>
      <c r="F669" s="518"/>
      <c r="G669" s="608"/>
      <c r="H669" s="518"/>
      <c r="I669" s="518"/>
      <c r="J669" s="518"/>
      <c r="K669" s="518">
        <f>9.21+9.25+9.32+9.38</f>
        <v>37.160000000000004</v>
      </c>
      <c r="L669" s="518"/>
      <c r="M669" s="518"/>
      <c r="N669" s="518"/>
      <c r="O669" s="518"/>
      <c r="P669" s="518"/>
      <c r="Q669" s="518"/>
      <c r="R669" s="518"/>
      <c r="S669" s="518"/>
      <c r="T669" s="518"/>
      <c r="U669" s="518"/>
      <c r="V669" s="518"/>
      <c r="W669" s="518"/>
      <c r="X669" s="518"/>
      <c r="Y669" s="518"/>
      <c r="Z669" s="518"/>
      <c r="AA669" s="604"/>
      <c r="AB669" s="604"/>
      <c r="AC669" s="604"/>
      <c r="AD669" s="604"/>
      <c r="AE669" s="604"/>
      <c r="AF669" s="604"/>
      <c r="AG669" s="604"/>
      <c r="AH669" s="604"/>
      <c r="AI669" s="604"/>
      <c r="AJ669" s="604"/>
      <c r="AK669" s="604"/>
      <c r="AL669" s="604"/>
      <c r="AM669" s="604"/>
      <c r="AN669" s="604"/>
    </row>
    <row r="670" spans="1:40" ht="15.75" hidden="1" customHeight="1" thickBot="1">
      <c r="A670" s="650"/>
      <c r="B670" s="596"/>
      <c r="C670" s="624"/>
      <c r="D670" s="608"/>
      <c r="E670" s="518"/>
      <c r="F670" s="518"/>
      <c r="G670" s="608"/>
      <c r="H670" s="518"/>
      <c r="I670" s="518"/>
      <c r="J670" s="518"/>
      <c r="K670" s="518"/>
      <c r="L670" s="518"/>
      <c r="M670" s="518"/>
      <c r="N670" s="518"/>
      <c r="O670" s="518"/>
      <c r="P670" s="518"/>
      <c r="Q670" s="518"/>
      <c r="R670" s="518"/>
      <c r="S670" s="518"/>
      <c r="T670" s="518"/>
      <c r="U670" s="518"/>
      <c r="V670" s="518"/>
      <c r="W670" s="518"/>
      <c r="X670" s="518"/>
      <c r="Y670" s="518"/>
      <c r="Z670" s="518"/>
      <c r="AA670" s="604"/>
      <c r="AB670" s="604"/>
      <c r="AC670" s="604"/>
      <c r="AD670" s="604"/>
      <c r="AE670" s="604"/>
      <c r="AF670" s="604"/>
      <c r="AG670" s="604"/>
      <c r="AH670" s="604"/>
      <c r="AI670" s="604"/>
      <c r="AJ670" s="604"/>
      <c r="AK670" s="604"/>
      <c r="AL670" s="604"/>
      <c r="AM670" s="604"/>
      <c r="AN670" s="604"/>
    </row>
    <row r="671" spans="1:40" ht="15.75" hidden="1" customHeight="1" thickTop="1">
      <c r="A671" s="652"/>
      <c r="B671" s="626">
        <v>45078</v>
      </c>
      <c r="C671" s="627"/>
      <c r="D671" s="601"/>
      <c r="E671" s="602"/>
      <c r="F671" s="602"/>
      <c r="G671" s="602"/>
      <c r="H671" s="602"/>
      <c r="I671" s="602"/>
      <c r="J671" s="602"/>
      <c r="K671" s="602"/>
      <c r="L671" s="602"/>
      <c r="M671" s="602"/>
      <c r="N671" s="602"/>
      <c r="O671" s="602"/>
      <c r="P671" s="602"/>
      <c r="Q671" s="602"/>
      <c r="R671" s="602"/>
      <c r="S671" s="602"/>
      <c r="T671" s="602"/>
      <c r="U671" s="602"/>
      <c r="V671" s="602"/>
      <c r="W671" s="602"/>
      <c r="X671" s="602"/>
      <c r="Y671" s="602"/>
      <c r="Z671" s="602"/>
      <c r="AA671" s="604"/>
      <c r="AB671" s="604"/>
      <c r="AC671" s="604"/>
      <c r="AD671" s="604"/>
      <c r="AE671" s="604"/>
      <c r="AF671" s="604"/>
      <c r="AG671" s="604"/>
      <c r="AH671" s="604"/>
      <c r="AI671" s="604"/>
      <c r="AJ671" s="604"/>
      <c r="AK671" s="604"/>
      <c r="AL671" s="604"/>
      <c r="AM671" s="604"/>
      <c r="AN671" s="604"/>
    </row>
    <row r="672" spans="1:40" ht="15.75" hidden="1" customHeight="1">
      <c r="A672" s="650"/>
      <c r="B672" s="634"/>
      <c r="C672" s="624"/>
      <c r="D672" s="608"/>
      <c r="E672" s="518"/>
      <c r="F672" s="518"/>
      <c r="G672" s="518"/>
      <c r="H672" s="518"/>
      <c r="I672" s="518"/>
      <c r="J672" s="518"/>
      <c r="K672" s="518"/>
      <c r="L672" s="518"/>
      <c r="M672" s="518"/>
      <c r="N672" s="518"/>
      <c r="O672" s="518"/>
      <c r="P672" s="518"/>
      <c r="Q672" s="518"/>
      <c r="R672" s="518"/>
      <c r="S672" s="518"/>
      <c r="T672" s="518"/>
      <c r="U672" s="518"/>
      <c r="V672" s="518"/>
      <c r="W672" s="518"/>
      <c r="X672" s="518"/>
      <c r="Y672" s="518"/>
      <c r="Z672" s="518"/>
      <c r="AA672" s="604"/>
      <c r="AB672" s="604"/>
      <c r="AC672" s="604"/>
      <c r="AD672" s="604"/>
      <c r="AE672" s="604"/>
      <c r="AF672" s="604"/>
      <c r="AG672" s="604"/>
      <c r="AH672" s="604"/>
      <c r="AI672" s="604"/>
      <c r="AJ672" s="604"/>
      <c r="AK672" s="604"/>
      <c r="AL672" s="604"/>
      <c r="AM672" s="604"/>
      <c r="AN672" s="604"/>
    </row>
    <row r="673" spans="1:40" ht="15.75" hidden="1" customHeight="1">
      <c r="A673" s="650">
        <v>45078</v>
      </c>
      <c r="B673" s="634"/>
      <c r="C673" s="607" t="s">
        <v>62</v>
      </c>
      <c r="D673" s="608"/>
      <c r="E673" s="518"/>
      <c r="F673" s="518"/>
      <c r="G673" s="518"/>
      <c r="H673" s="518"/>
      <c r="I673" s="518"/>
      <c r="J673" s="518"/>
      <c r="K673" s="518"/>
      <c r="L673" s="518"/>
      <c r="M673" s="518"/>
      <c r="N673" s="518"/>
      <c r="O673" s="518"/>
      <c r="P673" s="518"/>
      <c r="Q673" s="518"/>
      <c r="R673" s="518"/>
      <c r="S673" s="518"/>
      <c r="T673" s="518"/>
      <c r="U673" s="518"/>
      <c r="V673" s="518">
        <v>1036.55</v>
      </c>
      <c r="W673" s="518"/>
      <c r="X673" s="518"/>
      <c r="Y673" s="518"/>
      <c r="Z673" s="518"/>
      <c r="AA673" s="604"/>
      <c r="AB673" s="604"/>
      <c r="AC673" s="604"/>
      <c r="AD673" s="604"/>
      <c r="AE673" s="604"/>
      <c r="AF673" s="604"/>
      <c r="AG673" s="604"/>
      <c r="AH673" s="604"/>
      <c r="AI673" s="604"/>
      <c r="AJ673" s="604"/>
      <c r="AK673" s="604"/>
      <c r="AL673" s="604"/>
      <c r="AM673" s="604"/>
      <c r="AN673" s="604"/>
    </row>
    <row r="674" spans="1:40" ht="15.75" hidden="1" customHeight="1">
      <c r="A674" s="650">
        <v>45078</v>
      </c>
      <c r="B674" s="634"/>
      <c r="C674" s="611" t="s">
        <v>63</v>
      </c>
      <c r="D674" s="608"/>
      <c r="E674" s="518"/>
      <c r="F674" s="518"/>
      <c r="G674" s="518"/>
      <c r="H674" s="518"/>
      <c r="I674" s="518"/>
      <c r="J674" s="518"/>
      <c r="K674" s="518"/>
      <c r="L674" s="518"/>
      <c r="M674" s="518"/>
      <c r="N674" s="518"/>
      <c r="O674" s="518"/>
      <c r="P674" s="518"/>
      <c r="Q674" s="518"/>
      <c r="R674" s="518"/>
      <c r="S674" s="518"/>
      <c r="T674" s="518">
        <v>283.77</v>
      </c>
      <c r="U674" s="518"/>
      <c r="V674" s="518"/>
      <c r="W674" s="518"/>
      <c r="X674" s="518"/>
      <c r="Y674" s="518"/>
      <c r="Z674" s="518"/>
      <c r="AA674" s="604"/>
      <c r="AB674" s="604"/>
      <c r="AC674" s="604"/>
      <c r="AD674" s="604"/>
      <c r="AE674" s="604"/>
      <c r="AF674" s="604"/>
      <c r="AG674" s="604"/>
      <c r="AH674" s="604"/>
      <c r="AI674" s="604"/>
      <c r="AJ674" s="604"/>
      <c r="AK674" s="604"/>
      <c r="AL674" s="604"/>
      <c r="AM674" s="604"/>
      <c r="AN674" s="604"/>
    </row>
    <row r="675" spans="1:40" ht="15.75" hidden="1" customHeight="1">
      <c r="A675" s="650">
        <v>45079</v>
      </c>
      <c r="B675" s="610">
        <f>'Conversion rates'!B21</f>
        <v>1.165184</v>
      </c>
      <c r="C675" s="611" t="s">
        <v>276</v>
      </c>
      <c r="D675" s="608"/>
      <c r="E675" s="518"/>
      <c r="F675" s="518"/>
      <c r="G675" s="518"/>
      <c r="H675" s="518"/>
      <c r="I675" s="518"/>
      <c r="J675" s="518"/>
      <c r="K675" s="518"/>
      <c r="L675" s="518"/>
      <c r="M675" s="518"/>
      <c r="N675" s="518"/>
      <c r="O675" s="518"/>
      <c r="P675" s="518"/>
      <c r="Q675" s="518"/>
      <c r="R675" s="518"/>
      <c r="S675" s="518"/>
      <c r="T675" s="518">
        <v>80</v>
      </c>
      <c r="U675" s="518"/>
      <c r="V675" s="518"/>
      <c r="W675" s="518"/>
      <c r="X675" s="518"/>
      <c r="Y675" s="518"/>
      <c r="Z675" s="518"/>
      <c r="AA675" s="604"/>
      <c r="AB675" s="604"/>
      <c r="AC675" s="604"/>
      <c r="AD675" s="604"/>
      <c r="AE675" s="604"/>
      <c r="AF675" s="604"/>
      <c r="AG675" s="604"/>
      <c r="AH675" s="604"/>
      <c r="AI675" s="604"/>
      <c r="AJ675" s="604"/>
      <c r="AK675" s="604"/>
      <c r="AL675" s="604"/>
      <c r="AM675" s="604"/>
      <c r="AN675" s="604"/>
    </row>
    <row r="676" spans="1:40" ht="15.75" hidden="1" customHeight="1">
      <c r="A676" s="650">
        <v>45079</v>
      </c>
      <c r="B676" s="634"/>
      <c r="C676" s="614" t="s">
        <v>194</v>
      </c>
      <c r="D676" s="608"/>
      <c r="E676" s="518"/>
      <c r="F676" s="518"/>
      <c r="G676" s="518"/>
      <c r="H676" s="518"/>
      <c r="I676" s="518"/>
      <c r="J676" s="518"/>
      <c r="K676" s="518"/>
      <c r="L676" s="518"/>
      <c r="M676" s="518"/>
      <c r="N676" s="518"/>
      <c r="O676" s="518"/>
      <c r="P676" s="518"/>
      <c r="Q676" s="518"/>
      <c r="R676" s="518"/>
      <c r="S676" s="518">
        <v>9.26</v>
      </c>
      <c r="T676" s="518"/>
      <c r="U676" s="518"/>
      <c r="V676" s="518"/>
      <c r="W676" s="518"/>
      <c r="X676" s="518"/>
      <c r="Y676" s="518"/>
      <c r="Z676" s="518"/>
      <c r="AA676" s="604"/>
      <c r="AB676" s="604"/>
      <c r="AC676" s="604"/>
      <c r="AD676" s="604"/>
      <c r="AE676" s="604"/>
      <c r="AF676" s="604"/>
      <c r="AG676" s="604"/>
      <c r="AH676" s="604"/>
      <c r="AI676" s="604"/>
      <c r="AJ676" s="604"/>
      <c r="AK676" s="604"/>
      <c r="AL676" s="604"/>
      <c r="AM676" s="604"/>
      <c r="AN676" s="604"/>
    </row>
    <row r="677" spans="1:40" ht="15.75" hidden="1" customHeight="1">
      <c r="A677" s="650">
        <v>45089</v>
      </c>
      <c r="B677" s="634" t="s">
        <v>310</v>
      </c>
      <c r="C677" s="614" t="s">
        <v>401</v>
      </c>
      <c r="D677" s="608"/>
      <c r="E677" s="518"/>
      <c r="F677" s="518"/>
      <c r="G677" s="518"/>
      <c r="H677" s="518"/>
      <c r="I677" s="518"/>
      <c r="J677" s="518"/>
      <c r="K677" s="518"/>
      <c r="L677" s="518"/>
      <c r="M677" s="616"/>
      <c r="N677" s="518">
        <f>800*B665</f>
        <v>0</v>
      </c>
      <c r="O677" s="518"/>
      <c r="P677" s="518"/>
      <c r="Q677" s="518"/>
      <c r="R677" s="518"/>
      <c r="S677" s="518"/>
      <c r="T677" s="518"/>
      <c r="U677" s="518"/>
      <c r="V677" s="518"/>
      <c r="W677" s="518"/>
      <c r="X677" s="518"/>
      <c r="Y677" s="518"/>
      <c r="Z677" s="518"/>
      <c r="AA677" s="604"/>
      <c r="AB677" s="604"/>
      <c r="AC677" s="604"/>
      <c r="AD677" s="604"/>
      <c r="AE677" s="604"/>
      <c r="AF677" s="604"/>
      <c r="AG677" s="604"/>
      <c r="AH677" s="604"/>
      <c r="AI677" s="604"/>
      <c r="AJ677" s="604"/>
      <c r="AK677" s="604"/>
      <c r="AL677" s="604"/>
      <c r="AM677" s="604"/>
      <c r="AN677" s="604"/>
    </row>
    <row r="678" spans="1:40" ht="15.75" hidden="1" customHeight="1">
      <c r="A678" s="650">
        <v>45092</v>
      </c>
      <c r="B678" s="634"/>
      <c r="C678" s="611" t="s">
        <v>394</v>
      </c>
      <c r="D678" s="608"/>
      <c r="E678" s="518"/>
      <c r="F678" s="518"/>
      <c r="G678" s="518"/>
      <c r="H678" s="518"/>
      <c r="I678" s="518"/>
      <c r="J678" s="518"/>
      <c r="K678" s="518"/>
      <c r="L678" s="518"/>
      <c r="M678" s="518"/>
      <c r="N678" s="518"/>
      <c r="O678" s="518"/>
      <c r="P678" s="518"/>
      <c r="Q678" s="518"/>
      <c r="R678" s="518"/>
      <c r="S678" s="518"/>
      <c r="T678" s="518">
        <v>18</v>
      </c>
      <c r="U678" s="518"/>
      <c r="V678" s="518"/>
      <c r="W678" s="518"/>
      <c r="X678" s="518"/>
      <c r="Y678" s="518"/>
      <c r="Z678" s="518"/>
      <c r="AA678" s="604"/>
      <c r="AB678" s="604"/>
      <c r="AC678" s="604"/>
      <c r="AD678" s="604"/>
      <c r="AE678" s="604"/>
      <c r="AF678" s="604"/>
      <c r="AG678" s="604"/>
      <c r="AH678" s="604"/>
      <c r="AI678" s="604"/>
      <c r="AJ678" s="604"/>
      <c r="AK678" s="604"/>
      <c r="AL678" s="604"/>
      <c r="AM678" s="604"/>
      <c r="AN678" s="604"/>
    </row>
    <row r="679" spans="1:40" ht="15.75" hidden="1" customHeight="1">
      <c r="A679" s="650">
        <v>45092</v>
      </c>
      <c r="B679" s="634"/>
      <c r="C679" s="611" t="s">
        <v>341</v>
      </c>
      <c r="D679" s="608"/>
      <c r="E679" s="518"/>
      <c r="F679" s="518"/>
      <c r="G679" s="518"/>
      <c r="H679" s="518">
        <v>823.78</v>
      </c>
      <c r="I679" s="518"/>
      <c r="J679" s="518"/>
      <c r="K679" s="518"/>
      <c r="L679" s="518"/>
      <c r="M679" s="518"/>
      <c r="N679" s="518"/>
      <c r="O679" s="518"/>
      <c r="P679" s="518"/>
      <c r="Q679" s="518"/>
      <c r="R679" s="518"/>
      <c r="S679" s="518"/>
      <c r="T679" s="518"/>
      <c r="U679" s="518"/>
      <c r="V679" s="518"/>
      <c r="W679" s="518"/>
      <c r="X679" s="518"/>
      <c r="Y679" s="518"/>
      <c r="Z679" s="518"/>
      <c r="AA679" s="604"/>
      <c r="AB679" s="604"/>
      <c r="AC679" s="604"/>
      <c r="AD679" s="604"/>
      <c r="AE679" s="604"/>
      <c r="AF679" s="604"/>
      <c r="AG679" s="604"/>
      <c r="AH679" s="604"/>
      <c r="AI679" s="604"/>
      <c r="AJ679" s="604"/>
      <c r="AK679" s="604"/>
      <c r="AL679" s="604"/>
      <c r="AM679" s="604"/>
      <c r="AN679" s="604"/>
    </row>
    <row r="680" spans="1:40" ht="15.75" hidden="1" customHeight="1">
      <c r="A680" s="650">
        <v>45092</v>
      </c>
      <c r="B680" s="634"/>
      <c r="C680" s="611" t="s">
        <v>168</v>
      </c>
      <c r="D680" s="608"/>
      <c r="E680" s="518"/>
      <c r="F680" s="518"/>
      <c r="G680" s="518"/>
      <c r="H680" s="518"/>
      <c r="I680" s="518"/>
      <c r="J680" s="518"/>
      <c r="K680" s="518"/>
      <c r="L680" s="518"/>
      <c r="M680" s="518"/>
      <c r="N680" s="518"/>
      <c r="O680" s="518"/>
      <c r="P680" s="518"/>
      <c r="Q680" s="518"/>
      <c r="R680" s="518"/>
      <c r="S680" s="518"/>
      <c r="T680" s="518">
        <v>1608.68</v>
      </c>
      <c r="U680" s="518"/>
      <c r="V680" s="518"/>
      <c r="W680" s="518"/>
      <c r="X680" s="518"/>
      <c r="Y680" s="518"/>
      <c r="Z680" s="518"/>
      <c r="AA680" s="604"/>
      <c r="AB680" s="604"/>
      <c r="AC680" s="604"/>
      <c r="AD680" s="604"/>
      <c r="AE680" s="604"/>
      <c r="AF680" s="604"/>
      <c r="AG680" s="604"/>
      <c r="AH680" s="604"/>
      <c r="AI680" s="604"/>
      <c r="AJ680" s="604"/>
      <c r="AK680" s="604"/>
      <c r="AL680" s="604"/>
      <c r="AM680" s="604"/>
      <c r="AN680" s="604"/>
    </row>
    <row r="681" spans="1:40" ht="15.75" hidden="1" customHeight="1">
      <c r="A681" s="650">
        <v>45096</v>
      </c>
      <c r="B681" s="634"/>
      <c r="C681" s="611" t="s">
        <v>111</v>
      </c>
      <c r="D681" s="608"/>
      <c r="E681" s="518"/>
      <c r="F681" s="518"/>
      <c r="G681" s="518"/>
      <c r="H681" s="518"/>
      <c r="I681" s="518"/>
      <c r="J681" s="616"/>
      <c r="K681" s="518">
        <v>29.99</v>
      </c>
      <c r="L681" s="518"/>
      <c r="M681" s="518"/>
      <c r="N681" s="518"/>
      <c r="O681" s="518"/>
      <c r="P681" s="518"/>
      <c r="Q681" s="518"/>
      <c r="R681" s="518"/>
      <c r="S681" s="518"/>
      <c r="T681" s="518">
        <v>19.98</v>
      </c>
      <c r="U681" s="518"/>
      <c r="V681" s="518"/>
      <c r="W681" s="518"/>
      <c r="X681" s="518"/>
      <c r="Y681" s="518"/>
      <c r="Z681" s="518"/>
      <c r="AA681" s="604"/>
      <c r="AB681" s="604"/>
      <c r="AC681" s="604"/>
      <c r="AD681" s="604"/>
      <c r="AE681" s="604"/>
      <c r="AF681" s="604"/>
      <c r="AG681" s="604"/>
      <c r="AH681" s="604"/>
      <c r="AI681" s="604"/>
      <c r="AJ681" s="604"/>
      <c r="AK681" s="604"/>
      <c r="AL681" s="604"/>
      <c r="AM681" s="604"/>
      <c r="AN681" s="604"/>
    </row>
    <row r="682" spans="1:40" ht="15.75" hidden="1" customHeight="1">
      <c r="A682" s="650">
        <v>45098</v>
      </c>
      <c r="B682" s="634"/>
      <c r="C682" s="611" t="s">
        <v>78</v>
      </c>
      <c r="D682" s="608"/>
      <c r="E682" s="518"/>
      <c r="F682" s="518"/>
      <c r="G682" s="518"/>
      <c r="H682" s="518"/>
      <c r="I682" s="518"/>
      <c r="J682" s="518">
        <v>25.94</v>
      </c>
      <c r="K682" s="518"/>
      <c r="L682" s="518"/>
      <c r="M682" s="518"/>
      <c r="N682" s="518"/>
      <c r="O682" s="518"/>
      <c r="P682" s="518"/>
      <c r="Q682" s="518"/>
      <c r="R682" s="518"/>
      <c r="S682" s="518"/>
      <c r="T682" s="518"/>
      <c r="U682" s="518"/>
      <c r="V682" s="518"/>
      <c r="W682" s="518"/>
      <c r="X682" s="518"/>
      <c r="Y682" s="518"/>
      <c r="Z682" s="518"/>
      <c r="AA682" s="604"/>
      <c r="AB682" s="604"/>
      <c r="AC682" s="604"/>
      <c r="AD682" s="604"/>
      <c r="AE682" s="604"/>
      <c r="AF682" s="604"/>
      <c r="AG682" s="604"/>
      <c r="AH682" s="604"/>
      <c r="AI682" s="604"/>
      <c r="AJ682" s="604"/>
      <c r="AK682" s="604"/>
      <c r="AL682" s="604"/>
      <c r="AM682" s="604"/>
      <c r="AN682" s="604"/>
    </row>
    <row r="683" spans="1:40" ht="15.75" hidden="1" customHeight="1">
      <c r="A683" s="650">
        <v>45103</v>
      </c>
      <c r="B683" s="634"/>
      <c r="C683" s="611" t="s">
        <v>402</v>
      </c>
      <c r="D683" s="616"/>
      <c r="E683" s="616"/>
      <c r="F683" s="616"/>
      <c r="G683" s="616"/>
      <c r="H683" s="616"/>
      <c r="I683" s="616"/>
      <c r="J683" s="616"/>
      <c r="K683" s="616"/>
      <c r="L683" s="518"/>
      <c r="M683" s="518">
        <v>49</v>
      </c>
      <c r="N683" s="518"/>
      <c r="O683" s="518"/>
      <c r="P683" s="518"/>
      <c r="Q683" s="518"/>
      <c r="R683" s="518"/>
      <c r="S683" s="518"/>
      <c r="T683" s="518"/>
      <c r="U683" s="518"/>
      <c r="V683" s="518"/>
      <c r="W683" s="518"/>
      <c r="X683" s="518"/>
      <c r="Y683" s="518"/>
      <c r="Z683" s="518"/>
      <c r="AA683" s="604"/>
      <c r="AB683" s="604"/>
      <c r="AC683" s="604"/>
      <c r="AD683" s="604"/>
      <c r="AE683" s="604"/>
      <c r="AF683" s="604"/>
      <c r="AG683" s="604"/>
      <c r="AH683" s="604"/>
      <c r="AI683" s="604"/>
      <c r="AJ683" s="604"/>
      <c r="AK683" s="604"/>
      <c r="AL683" s="604"/>
      <c r="AM683" s="604"/>
      <c r="AN683" s="604"/>
    </row>
    <row r="684" spans="1:40" ht="15.75" hidden="1" customHeight="1">
      <c r="A684" s="650">
        <v>45103</v>
      </c>
      <c r="B684" s="634"/>
      <c r="C684" s="614" t="s">
        <v>387</v>
      </c>
      <c r="D684" s="608"/>
      <c r="E684" s="518"/>
      <c r="F684" s="518"/>
      <c r="G684" s="518"/>
      <c r="H684" s="518"/>
      <c r="I684" s="518"/>
      <c r="J684" s="518"/>
      <c r="K684" s="518"/>
      <c r="L684" s="518"/>
      <c r="M684" s="518"/>
      <c r="N684" s="518"/>
      <c r="O684" s="518"/>
      <c r="P684" s="518"/>
      <c r="Q684" s="518"/>
      <c r="R684" s="518"/>
      <c r="S684" s="518">
        <v>0.18</v>
      </c>
      <c r="T684" s="518"/>
      <c r="U684" s="518"/>
      <c r="V684" s="518"/>
      <c r="W684" s="518"/>
      <c r="X684" s="518"/>
      <c r="Y684" s="518"/>
      <c r="Z684" s="518"/>
      <c r="AA684" s="604"/>
      <c r="AB684" s="604"/>
      <c r="AC684" s="604"/>
      <c r="AD684" s="604"/>
      <c r="AE684" s="604"/>
      <c r="AF684" s="604"/>
      <c r="AG684" s="604"/>
      <c r="AH684" s="604"/>
      <c r="AI684" s="604"/>
      <c r="AJ684" s="604"/>
      <c r="AK684" s="604"/>
      <c r="AL684" s="604"/>
      <c r="AM684" s="604"/>
      <c r="AN684" s="604"/>
    </row>
    <row r="685" spans="1:40" ht="15.75" hidden="1" customHeight="1">
      <c r="A685" s="650">
        <v>45107</v>
      </c>
      <c r="B685" s="634"/>
      <c r="C685" s="614" t="s">
        <v>260</v>
      </c>
      <c r="D685" s="608"/>
      <c r="E685" s="518">
        <v>580.05999999999995</v>
      </c>
      <c r="F685" s="518"/>
      <c r="G685" s="518"/>
      <c r="H685" s="518"/>
      <c r="I685" s="518"/>
      <c r="J685" s="518"/>
      <c r="K685" s="518"/>
      <c r="L685" s="518"/>
      <c r="M685" s="518"/>
      <c r="N685" s="518"/>
      <c r="O685" s="518"/>
      <c r="P685" s="518"/>
      <c r="Q685" s="518"/>
      <c r="R685" s="518"/>
      <c r="S685" s="518"/>
      <c r="T685" s="518"/>
      <c r="U685" s="518"/>
      <c r="V685" s="518"/>
      <c r="W685" s="518"/>
      <c r="X685" s="518"/>
      <c r="Y685" s="518"/>
      <c r="Z685" s="518"/>
      <c r="AA685" s="604"/>
      <c r="AB685" s="604"/>
      <c r="AC685" s="604"/>
      <c r="AD685" s="604"/>
      <c r="AE685" s="604"/>
      <c r="AF685" s="604"/>
      <c r="AG685" s="604"/>
      <c r="AH685" s="604"/>
      <c r="AI685" s="604"/>
      <c r="AJ685" s="604"/>
      <c r="AK685" s="604"/>
      <c r="AL685" s="604"/>
      <c r="AM685" s="604"/>
      <c r="AN685" s="604"/>
    </row>
    <row r="686" spans="1:40" ht="15.75" hidden="1" customHeight="1">
      <c r="A686" s="650">
        <v>45107</v>
      </c>
      <c r="B686" s="634"/>
      <c r="C686" s="611" t="s">
        <v>366</v>
      </c>
      <c r="D686" s="608"/>
      <c r="E686" s="518"/>
      <c r="F686" s="518"/>
      <c r="G686" s="518"/>
      <c r="H686" s="518"/>
      <c r="I686" s="518"/>
      <c r="J686" s="518"/>
      <c r="K686" s="518"/>
      <c r="L686" s="518"/>
      <c r="M686" s="518"/>
      <c r="N686" s="518"/>
      <c r="O686" s="518"/>
      <c r="P686" s="518"/>
      <c r="Q686" s="518"/>
      <c r="R686" s="518"/>
      <c r="S686" s="518">
        <v>20.7</v>
      </c>
      <c r="T686" s="518"/>
      <c r="U686" s="518"/>
      <c r="V686" s="518"/>
      <c r="W686" s="518"/>
      <c r="X686" s="518"/>
      <c r="Y686" s="518"/>
      <c r="Z686" s="518"/>
      <c r="AA686" s="604"/>
      <c r="AB686" s="604"/>
      <c r="AC686" s="604"/>
      <c r="AD686" s="604"/>
      <c r="AE686" s="604"/>
      <c r="AF686" s="604"/>
      <c r="AG686" s="604"/>
      <c r="AH686" s="604"/>
      <c r="AI686" s="604"/>
      <c r="AJ686" s="604"/>
      <c r="AK686" s="604"/>
      <c r="AL686" s="604"/>
      <c r="AM686" s="604"/>
      <c r="AN686" s="604"/>
    </row>
    <row r="687" spans="1:40" ht="15.75" hidden="1" customHeight="1">
      <c r="A687" s="650">
        <v>45107</v>
      </c>
      <c r="B687" s="634"/>
      <c r="C687" s="611" t="s">
        <v>344</v>
      </c>
      <c r="D687" s="608"/>
      <c r="E687" s="518"/>
      <c r="F687" s="518"/>
      <c r="G687" s="518"/>
      <c r="H687" s="518"/>
      <c r="I687" s="518"/>
      <c r="J687" s="518"/>
      <c r="K687" s="518"/>
      <c r="L687" s="518"/>
      <c r="M687" s="616"/>
      <c r="N687" s="518"/>
      <c r="O687" s="518"/>
      <c r="P687" s="518"/>
      <c r="Q687" s="518"/>
      <c r="R687" s="518"/>
      <c r="S687" s="518">
        <v>16.09</v>
      </c>
      <c r="T687" s="518"/>
      <c r="U687" s="518"/>
      <c r="V687" s="518"/>
      <c r="W687" s="518"/>
      <c r="X687" s="518"/>
      <c r="Y687" s="518"/>
      <c r="Z687" s="518"/>
      <c r="AA687" s="604"/>
      <c r="AB687" s="604"/>
      <c r="AC687" s="604"/>
      <c r="AD687" s="604"/>
      <c r="AE687" s="604"/>
      <c r="AF687" s="604"/>
      <c r="AG687" s="604"/>
      <c r="AH687" s="604"/>
      <c r="AI687" s="604"/>
      <c r="AJ687" s="604"/>
      <c r="AK687" s="604"/>
      <c r="AL687" s="604"/>
      <c r="AM687" s="604"/>
      <c r="AN687" s="604"/>
    </row>
    <row r="688" spans="1:40" ht="15.75" hidden="1" customHeight="1">
      <c r="A688" s="651"/>
      <c r="B688" s="634"/>
      <c r="C688" s="616"/>
      <c r="D688" s="616"/>
      <c r="E688" s="616"/>
      <c r="F688" s="616"/>
      <c r="G688" s="616"/>
      <c r="H688" s="616"/>
      <c r="I688" s="616"/>
      <c r="J688" s="616"/>
      <c r="K688" s="616"/>
      <c r="L688" s="518"/>
      <c r="M688" s="518"/>
      <c r="N688" s="518"/>
      <c r="O688" s="518"/>
      <c r="P688" s="518"/>
      <c r="Q688" s="518"/>
      <c r="R688" s="518"/>
      <c r="S688" s="518"/>
      <c r="T688" s="518"/>
      <c r="U688" s="518"/>
      <c r="V688" s="518"/>
      <c r="W688" s="518"/>
      <c r="X688" s="518"/>
      <c r="Y688" s="518"/>
      <c r="Z688" s="518"/>
      <c r="AA688" s="604"/>
      <c r="AB688" s="604"/>
      <c r="AC688" s="604"/>
      <c r="AD688" s="604"/>
      <c r="AE688" s="604"/>
      <c r="AF688" s="604"/>
      <c r="AG688" s="604"/>
      <c r="AH688" s="604"/>
      <c r="AI688" s="604"/>
      <c r="AJ688" s="604"/>
      <c r="AK688" s="604"/>
      <c r="AL688" s="604"/>
      <c r="AM688" s="604"/>
      <c r="AN688" s="604"/>
    </row>
    <row r="689" spans="1:40" ht="15.75" hidden="1" customHeight="1">
      <c r="A689" s="650"/>
      <c r="B689" s="621"/>
      <c r="C689" s="621"/>
      <c r="D689" s="622"/>
      <c r="E689" s="623"/>
      <c r="F689" s="623"/>
      <c r="G689" s="623"/>
      <c r="H689" s="623"/>
      <c r="I689" s="623"/>
      <c r="J689" s="623"/>
      <c r="K689" s="623"/>
      <c r="L689" s="623"/>
      <c r="M689" s="623"/>
      <c r="N689" s="623"/>
      <c r="O689" s="623"/>
      <c r="P689" s="623"/>
      <c r="Q689" s="623"/>
      <c r="R689" s="623"/>
      <c r="S689" s="623"/>
      <c r="T689" s="518"/>
      <c r="U689" s="518"/>
      <c r="V689" s="518"/>
      <c r="W689" s="518"/>
      <c r="X689" s="518"/>
      <c r="Y689" s="518"/>
      <c r="Z689" s="518"/>
      <c r="AA689" s="604"/>
      <c r="AB689" s="604"/>
      <c r="AC689" s="604"/>
      <c r="AD689" s="604"/>
      <c r="AE689" s="604"/>
      <c r="AF689" s="604"/>
      <c r="AG689" s="604"/>
      <c r="AH689" s="604"/>
      <c r="AI689" s="604"/>
      <c r="AJ689" s="604"/>
      <c r="AK689" s="604"/>
      <c r="AL689" s="604"/>
      <c r="AM689" s="604"/>
      <c r="AN689" s="604"/>
    </row>
    <row r="690" spans="1:40" ht="15.75" hidden="1" customHeight="1">
      <c r="A690" s="650">
        <v>45078</v>
      </c>
      <c r="B690" s="634"/>
      <c r="C690" s="624" t="s">
        <v>403</v>
      </c>
      <c r="D690" s="608"/>
      <c r="E690" s="518"/>
      <c r="F690" s="518"/>
      <c r="G690" s="608"/>
      <c r="H690" s="518"/>
      <c r="I690" s="518"/>
      <c r="J690" s="518"/>
      <c r="K690" s="518"/>
      <c r="L690" s="518"/>
      <c r="M690" s="518"/>
      <c r="N690" s="518"/>
      <c r="O690" s="518">
        <v>94</v>
      </c>
      <c r="P690" s="518"/>
      <c r="Q690" s="518"/>
      <c r="R690" s="518"/>
      <c r="S690" s="518"/>
      <c r="T690" s="518"/>
      <c r="U690" s="518"/>
      <c r="V690" s="518"/>
      <c r="W690" s="518"/>
      <c r="X690" s="518"/>
      <c r="Y690" s="518"/>
      <c r="Z690" s="518"/>
      <c r="AA690" s="604"/>
      <c r="AB690" s="604"/>
      <c r="AC690" s="604"/>
      <c r="AD690" s="604"/>
      <c r="AE690" s="604"/>
      <c r="AF690" s="604"/>
      <c r="AG690" s="604"/>
      <c r="AH690" s="604"/>
      <c r="AI690" s="604"/>
      <c r="AJ690" s="604"/>
      <c r="AK690" s="604"/>
      <c r="AL690" s="604"/>
      <c r="AM690" s="604"/>
      <c r="AN690" s="604"/>
    </row>
    <row r="691" spans="1:40" ht="15.75" hidden="1" customHeight="1">
      <c r="A691" s="650">
        <v>45079</v>
      </c>
      <c r="B691" s="634"/>
      <c r="C691" s="624" t="s">
        <v>316</v>
      </c>
      <c r="D691" s="608"/>
      <c r="E691" s="518"/>
      <c r="F691" s="518"/>
      <c r="G691" s="608"/>
      <c r="H691" s="518"/>
      <c r="I691" s="518"/>
      <c r="J691" s="518"/>
      <c r="K691" s="518"/>
      <c r="L691" s="518"/>
      <c r="M691" s="518">
        <v>49</v>
      </c>
      <c r="N691" s="518"/>
      <c r="O691" s="518"/>
      <c r="P691" s="518"/>
      <c r="Q691" s="518"/>
      <c r="R691" s="518"/>
      <c r="S691" s="518"/>
      <c r="T691" s="518"/>
      <c r="U691" s="518"/>
      <c r="V691" s="518"/>
      <c r="W691" s="518"/>
      <c r="X691" s="518"/>
      <c r="Y691" s="518"/>
      <c r="Z691" s="518"/>
      <c r="AA691" s="604"/>
      <c r="AB691" s="604"/>
      <c r="AC691" s="604"/>
      <c r="AD691" s="604"/>
      <c r="AE691" s="604"/>
      <c r="AF691" s="604"/>
      <c r="AG691" s="604"/>
      <c r="AH691" s="604"/>
      <c r="AI691" s="604"/>
      <c r="AJ691" s="604"/>
      <c r="AK691" s="604"/>
      <c r="AL691" s="604"/>
      <c r="AM691" s="604"/>
      <c r="AN691" s="604"/>
    </row>
    <row r="692" spans="1:40" ht="15.75" hidden="1" customHeight="1">
      <c r="A692" s="650">
        <v>45082</v>
      </c>
      <c r="B692" s="634"/>
      <c r="C692" s="653" t="s">
        <v>396</v>
      </c>
      <c r="D692" s="608"/>
      <c r="E692" s="518"/>
      <c r="F692" s="518"/>
      <c r="G692" s="608"/>
      <c r="H692" s="518"/>
      <c r="I692" s="518"/>
      <c r="J692" s="518"/>
      <c r="K692" s="518"/>
      <c r="L692" s="518">
        <v>192.64</v>
      </c>
      <c r="M692" s="518"/>
      <c r="N692" s="518"/>
      <c r="O692" s="518"/>
      <c r="P692" s="518"/>
      <c r="Q692" s="518"/>
      <c r="R692" s="518"/>
      <c r="S692" s="518"/>
      <c r="T692" s="518"/>
      <c r="U692" s="518"/>
      <c r="V692" s="518"/>
      <c r="W692" s="518"/>
      <c r="X692" s="518"/>
      <c r="Y692" s="518"/>
      <c r="Z692" s="518"/>
      <c r="AA692" s="604"/>
      <c r="AB692" s="604"/>
      <c r="AC692" s="604"/>
      <c r="AD692" s="604"/>
      <c r="AE692" s="604"/>
      <c r="AF692" s="604"/>
      <c r="AG692" s="604"/>
      <c r="AH692" s="604"/>
      <c r="AI692" s="604"/>
      <c r="AJ692" s="604"/>
      <c r="AK692" s="604"/>
      <c r="AL692" s="604"/>
      <c r="AM692" s="604"/>
      <c r="AN692" s="604"/>
    </row>
    <row r="693" spans="1:40" ht="15.75" hidden="1" customHeight="1">
      <c r="A693" s="650">
        <v>45084</v>
      </c>
      <c r="B693" s="634"/>
      <c r="C693" s="653" t="s">
        <v>82</v>
      </c>
      <c r="D693" s="608"/>
      <c r="E693" s="518"/>
      <c r="F693" s="518"/>
      <c r="G693" s="608"/>
      <c r="H693" s="518"/>
      <c r="I693" s="518"/>
      <c r="J693" s="518"/>
      <c r="K693" s="518"/>
      <c r="L693" s="518">
        <v>37</v>
      </c>
      <c r="M693" s="518"/>
      <c r="N693" s="518"/>
      <c r="O693" s="518"/>
      <c r="P693" s="518"/>
      <c r="Q693" s="518"/>
      <c r="R693" s="518"/>
      <c r="S693" s="518"/>
      <c r="T693" s="518"/>
      <c r="U693" s="518"/>
      <c r="V693" s="518"/>
      <c r="W693" s="518"/>
      <c r="X693" s="518"/>
      <c r="Y693" s="518"/>
      <c r="Z693" s="518"/>
      <c r="AA693" s="604"/>
      <c r="AB693" s="604"/>
      <c r="AC693" s="604"/>
      <c r="AD693" s="604"/>
      <c r="AE693" s="604"/>
      <c r="AF693" s="604"/>
      <c r="AG693" s="604"/>
      <c r="AH693" s="604"/>
      <c r="AI693" s="604"/>
      <c r="AJ693" s="604"/>
      <c r="AK693" s="604"/>
      <c r="AL693" s="604"/>
      <c r="AM693" s="604"/>
      <c r="AN693" s="604"/>
    </row>
    <row r="694" spans="1:40" ht="15.75" hidden="1" customHeight="1">
      <c r="A694" s="650">
        <v>45085</v>
      </c>
      <c r="B694" s="634"/>
      <c r="C694" s="624" t="s">
        <v>182</v>
      </c>
      <c r="D694" s="608"/>
      <c r="E694" s="518"/>
      <c r="F694" s="518">
        <v>1305</v>
      </c>
      <c r="G694" s="608"/>
      <c r="H694" s="518"/>
      <c r="I694" s="518"/>
      <c r="J694" s="518"/>
      <c r="K694" s="518"/>
      <c r="L694" s="518"/>
      <c r="M694" s="518"/>
      <c r="N694" s="518"/>
      <c r="O694" s="518"/>
      <c r="P694" s="518"/>
      <c r="Q694" s="518"/>
      <c r="R694" s="518"/>
      <c r="S694" s="518"/>
      <c r="T694" s="518"/>
      <c r="U694" s="518"/>
      <c r="V694" s="518"/>
      <c r="W694" s="518"/>
      <c r="X694" s="518"/>
      <c r="Y694" s="518"/>
      <c r="Z694" s="518"/>
      <c r="AA694" s="604"/>
      <c r="AB694" s="604"/>
      <c r="AC694" s="604"/>
      <c r="AD694" s="604"/>
      <c r="AE694" s="604"/>
      <c r="AF694" s="604"/>
      <c r="AG694" s="604"/>
      <c r="AH694" s="604"/>
      <c r="AI694" s="604"/>
      <c r="AJ694" s="604"/>
      <c r="AK694" s="604"/>
      <c r="AL694" s="604"/>
      <c r="AM694" s="604"/>
      <c r="AN694" s="604"/>
    </row>
    <row r="695" spans="1:40" ht="15.75" hidden="1" customHeight="1">
      <c r="A695" s="650">
        <v>45086</v>
      </c>
      <c r="B695" s="634" t="s">
        <v>404</v>
      </c>
      <c r="C695" s="624" t="s">
        <v>219</v>
      </c>
      <c r="D695" s="608">
        <v>270</v>
      </c>
      <c r="E695" s="518"/>
      <c r="F695" s="518"/>
      <c r="G695" s="608"/>
      <c r="H695" s="518"/>
      <c r="I695" s="518"/>
      <c r="J695" s="518"/>
      <c r="K695" s="518"/>
      <c r="L695" s="518"/>
      <c r="M695" s="518"/>
      <c r="N695" s="518"/>
      <c r="O695" s="518"/>
      <c r="P695" s="518"/>
      <c r="Q695" s="518"/>
      <c r="R695" s="518"/>
      <c r="S695" s="518"/>
      <c r="T695" s="518"/>
      <c r="U695" s="518"/>
      <c r="V695" s="518"/>
      <c r="W695" s="518"/>
      <c r="X695" s="518"/>
      <c r="Y695" s="518"/>
      <c r="Z695" s="518"/>
      <c r="AA695" s="604"/>
      <c r="AB695" s="604"/>
      <c r="AC695" s="604"/>
      <c r="AD695" s="604"/>
      <c r="AE695" s="604"/>
      <c r="AF695" s="604"/>
      <c r="AG695" s="604"/>
      <c r="AH695" s="604"/>
      <c r="AI695" s="604"/>
      <c r="AJ695" s="604"/>
      <c r="AK695" s="604"/>
      <c r="AL695" s="604"/>
      <c r="AM695" s="604"/>
      <c r="AN695" s="604"/>
    </row>
    <row r="696" spans="1:40" ht="15.75" hidden="1" customHeight="1">
      <c r="A696" s="650">
        <v>45089</v>
      </c>
      <c r="B696" s="634" t="s">
        <v>405</v>
      </c>
      <c r="C696" s="624" t="s">
        <v>406</v>
      </c>
      <c r="D696" s="608">
        <v>3100</v>
      </c>
      <c r="E696" s="518"/>
      <c r="F696" s="518"/>
      <c r="G696" s="608"/>
      <c r="H696" s="518"/>
      <c r="I696" s="518"/>
      <c r="J696" s="518"/>
      <c r="K696" s="518"/>
      <c r="L696" s="518"/>
      <c r="M696" s="518"/>
      <c r="N696" s="518"/>
      <c r="O696" s="518"/>
      <c r="P696" s="518"/>
      <c r="Q696" s="518"/>
      <c r="R696" s="518"/>
      <c r="S696" s="518"/>
      <c r="T696" s="518"/>
      <c r="U696" s="518"/>
      <c r="V696" s="518"/>
      <c r="W696" s="518"/>
      <c r="X696" s="518"/>
      <c r="Y696" s="518"/>
      <c r="Z696" s="518"/>
      <c r="AA696" s="604"/>
      <c r="AB696" s="604"/>
      <c r="AC696" s="604"/>
      <c r="AD696" s="604"/>
      <c r="AE696" s="604"/>
      <c r="AF696" s="604"/>
      <c r="AG696" s="604"/>
      <c r="AH696" s="604"/>
      <c r="AI696" s="604"/>
      <c r="AJ696" s="604"/>
      <c r="AK696" s="604"/>
      <c r="AL696" s="604"/>
      <c r="AM696" s="604"/>
      <c r="AN696" s="604"/>
    </row>
    <row r="697" spans="1:40" ht="15.75" hidden="1" customHeight="1">
      <c r="A697" s="650">
        <v>45092</v>
      </c>
      <c r="B697" s="634"/>
      <c r="C697" s="624" t="s">
        <v>82</v>
      </c>
      <c r="D697" s="608"/>
      <c r="E697" s="518"/>
      <c r="F697" s="518"/>
      <c r="G697" s="608"/>
      <c r="H697" s="518"/>
      <c r="I697" s="518"/>
      <c r="J697" s="518"/>
      <c r="K697" s="518"/>
      <c r="L697" s="518">
        <v>257.73</v>
      </c>
      <c r="M697" s="518"/>
      <c r="N697" s="518"/>
      <c r="O697" s="518"/>
      <c r="P697" s="518"/>
      <c r="Q697" s="518"/>
      <c r="R697" s="518"/>
      <c r="S697" s="518"/>
      <c r="T697" s="518"/>
      <c r="U697" s="518"/>
      <c r="V697" s="518"/>
      <c r="W697" s="518"/>
      <c r="X697" s="518"/>
      <c r="Y697" s="518"/>
      <c r="Z697" s="518"/>
      <c r="AA697" s="604"/>
      <c r="AB697" s="604"/>
      <c r="AC697" s="604"/>
      <c r="AD697" s="604"/>
      <c r="AE697" s="604"/>
      <c r="AF697" s="604"/>
      <c r="AG697" s="604"/>
      <c r="AH697" s="604"/>
      <c r="AI697" s="604"/>
      <c r="AJ697" s="604"/>
      <c r="AK697" s="604"/>
      <c r="AL697" s="604"/>
      <c r="AM697" s="604"/>
      <c r="AN697" s="604"/>
    </row>
    <row r="698" spans="1:40" ht="15.75" hidden="1" customHeight="1">
      <c r="A698" s="650">
        <v>45097</v>
      </c>
      <c r="B698" s="634" t="s">
        <v>407</v>
      </c>
      <c r="C698" s="624" t="s">
        <v>408</v>
      </c>
      <c r="D698" s="608"/>
      <c r="E698" s="518">
        <v>375</v>
      </c>
      <c r="F698" s="518"/>
      <c r="G698" s="608"/>
      <c r="H698" s="518"/>
      <c r="I698" s="518"/>
      <c r="J698" s="518"/>
      <c r="K698" s="518"/>
      <c r="L698" s="518"/>
      <c r="M698" s="518"/>
      <c r="N698" s="518"/>
      <c r="O698" s="518"/>
      <c r="P698" s="518"/>
      <c r="Q698" s="518"/>
      <c r="R698" s="518"/>
      <c r="S698" s="518"/>
      <c r="T698" s="518"/>
      <c r="U698" s="518"/>
      <c r="V698" s="518"/>
      <c r="W698" s="518"/>
      <c r="X698" s="518"/>
      <c r="Y698" s="518"/>
      <c r="Z698" s="518"/>
      <c r="AA698" s="604"/>
      <c r="AB698" s="604"/>
      <c r="AC698" s="604"/>
      <c r="AD698" s="604"/>
      <c r="AE698" s="604"/>
      <c r="AF698" s="604"/>
      <c r="AG698" s="604"/>
      <c r="AH698" s="604"/>
      <c r="AI698" s="604"/>
      <c r="AJ698" s="604"/>
      <c r="AK698" s="604"/>
      <c r="AL698" s="604"/>
      <c r="AM698" s="604"/>
      <c r="AN698" s="604"/>
    </row>
    <row r="699" spans="1:40" ht="15.75" hidden="1" customHeight="1">
      <c r="A699" s="650">
        <v>45097</v>
      </c>
      <c r="B699" s="634" t="s">
        <v>409</v>
      </c>
      <c r="C699" s="624" t="s">
        <v>410</v>
      </c>
      <c r="D699" s="608"/>
      <c r="E699" s="518">
        <v>2310</v>
      </c>
      <c r="F699" s="518"/>
      <c r="G699" s="608"/>
      <c r="H699" s="518"/>
      <c r="I699" s="518"/>
      <c r="J699" s="518"/>
      <c r="K699" s="518"/>
      <c r="L699" s="518"/>
      <c r="M699" s="518"/>
      <c r="N699" s="518"/>
      <c r="O699" s="518"/>
      <c r="P699" s="518"/>
      <c r="Q699" s="518"/>
      <c r="R699" s="518"/>
      <c r="S699" s="518"/>
      <c r="T699" s="518"/>
      <c r="U699" s="518"/>
      <c r="V699" s="518"/>
      <c r="W699" s="518"/>
      <c r="X699" s="518"/>
      <c r="Y699" s="518"/>
      <c r="Z699" s="518"/>
      <c r="AA699" s="604"/>
      <c r="AB699" s="604"/>
      <c r="AC699" s="604"/>
      <c r="AD699" s="604"/>
      <c r="AE699" s="604"/>
      <c r="AF699" s="604"/>
      <c r="AG699" s="604"/>
      <c r="AH699" s="604"/>
      <c r="AI699" s="604"/>
      <c r="AJ699" s="604"/>
      <c r="AK699" s="604"/>
      <c r="AL699" s="604"/>
      <c r="AM699" s="604"/>
      <c r="AN699" s="604"/>
    </row>
    <row r="700" spans="1:40" ht="15.75" hidden="1" customHeight="1">
      <c r="A700" s="650">
        <v>45098</v>
      </c>
      <c r="B700" s="634"/>
      <c r="C700" s="624" t="s">
        <v>207</v>
      </c>
      <c r="D700" s="608"/>
      <c r="E700" s="518"/>
      <c r="F700" s="518"/>
      <c r="G700" s="608"/>
      <c r="H700" s="518"/>
      <c r="I700" s="518"/>
      <c r="J700" s="518"/>
      <c r="K700" s="518">
        <v>28.68</v>
      </c>
      <c r="L700" s="518"/>
      <c r="M700" s="518"/>
      <c r="N700" s="518"/>
      <c r="O700" s="518"/>
      <c r="P700" s="518"/>
      <c r="Q700" s="518"/>
      <c r="R700" s="518"/>
      <c r="S700" s="518"/>
      <c r="T700" s="518"/>
      <c r="U700" s="518"/>
      <c r="V700" s="518"/>
      <c r="W700" s="518"/>
      <c r="X700" s="518"/>
      <c r="Y700" s="518"/>
      <c r="Z700" s="518"/>
      <c r="AA700" s="604"/>
      <c r="AB700" s="604"/>
      <c r="AC700" s="604"/>
      <c r="AD700" s="604"/>
      <c r="AE700" s="604"/>
      <c r="AF700" s="604"/>
      <c r="AG700" s="604"/>
      <c r="AH700" s="604"/>
      <c r="AI700" s="604"/>
      <c r="AJ700" s="604"/>
      <c r="AK700" s="604"/>
      <c r="AL700" s="604"/>
      <c r="AM700" s="604"/>
      <c r="AN700" s="604"/>
    </row>
    <row r="701" spans="1:40" ht="15.75" hidden="1" customHeight="1">
      <c r="A701" s="650">
        <v>45099</v>
      </c>
      <c r="B701" s="634"/>
      <c r="C701" s="624" t="s">
        <v>411</v>
      </c>
      <c r="D701" s="608"/>
      <c r="E701" s="518"/>
      <c r="F701" s="518"/>
      <c r="G701" s="608"/>
      <c r="H701" s="518"/>
      <c r="I701" s="518"/>
      <c r="J701" s="518"/>
      <c r="K701" s="518"/>
      <c r="L701" s="518"/>
      <c r="M701" s="518"/>
      <c r="N701" s="518"/>
      <c r="O701" s="518">
        <v>187.13</v>
      </c>
      <c r="P701" s="518"/>
      <c r="Q701" s="518"/>
      <c r="R701" s="518"/>
      <c r="S701" s="518"/>
      <c r="T701" s="518"/>
      <c r="U701" s="518"/>
      <c r="V701" s="518"/>
      <c r="W701" s="518"/>
      <c r="X701" s="518"/>
      <c r="Y701" s="518"/>
      <c r="Z701" s="518"/>
      <c r="AA701" s="604"/>
      <c r="AB701" s="604"/>
      <c r="AC701" s="604"/>
      <c r="AD701" s="604"/>
      <c r="AE701" s="604"/>
      <c r="AF701" s="604"/>
      <c r="AG701" s="604"/>
      <c r="AH701" s="604"/>
      <c r="AI701" s="604"/>
      <c r="AJ701" s="604"/>
      <c r="AK701" s="604"/>
      <c r="AL701" s="604"/>
      <c r="AM701" s="604"/>
      <c r="AN701" s="604"/>
    </row>
    <row r="702" spans="1:40" ht="15.75" hidden="1" customHeight="1">
      <c r="A702" s="650">
        <v>45099</v>
      </c>
      <c r="B702" s="634" t="s">
        <v>412</v>
      </c>
      <c r="C702" s="624" t="s">
        <v>413</v>
      </c>
      <c r="D702" s="608">
        <v>1950</v>
      </c>
      <c r="E702" s="518"/>
      <c r="F702" s="518"/>
      <c r="G702" s="608"/>
      <c r="H702" s="518"/>
      <c r="I702" s="518"/>
      <c r="J702" s="518"/>
      <c r="K702" s="518"/>
      <c r="L702" s="518"/>
      <c r="M702" s="518"/>
      <c r="N702" s="518"/>
      <c r="O702" s="518"/>
      <c r="P702" s="518"/>
      <c r="Q702" s="518"/>
      <c r="R702" s="518"/>
      <c r="S702" s="518"/>
      <c r="T702" s="518"/>
      <c r="U702" s="518"/>
      <c r="V702" s="518"/>
      <c r="W702" s="518"/>
      <c r="X702" s="518"/>
      <c r="Y702" s="518"/>
      <c r="Z702" s="518"/>
      <c r="AA702" s="604"/>
      <c r="AB702" s="604"/>
      <c r="AC702" s="604"/>
      <c r="AD702" s="604"/>
      <c r="AE702" s="604"/>
      <c r="AF702" s="604"/>
      <c r="AG702" s="604"/>
      <c r="AH702" s="604"/>
      <c r="AI702" s="604"/>
      <c r="AJ702" s="604"/>
      <c r="AK702" s="604"/>
      <c r="AL702" s="604"/>
      <c r="AM702" s="604"/>
      <c r="AN702" s="604"/>
    </row>
    <row r="703" spans="1:40" ht="15.75" hidden="1" customHeight="1">
      <c r="A703" s="650">
        <v>45099</v>
      </c>
      <c r="B703" s="634" t="s">
        <v>414</v>
      </c>
      <c r="C703" s="624" t="s">
        <v>219</v>
      </c>
      <c r="D703" s="608">
        <v>665</v>
      </c>
      <c r="E703" s="518"/>
      <c r="F703" s="518"/>
      <c r="G703" s="608"/>
      <c r="H703" s="518"/>
      <c r="I703" s="518"/>
      <c r="J703" s="518"/>
      <c r="K703" s="518"/>
      <c r="L703" s="518"/>
      <c r="M703" s="518"/>
      <c r="N703" s="518"/>
      <c r="O703" s="518"/>
      <c r="P703" s="518"/>
      <c r="Q703" s="518"/>
      <c r="R703" s="518"/>
      <c r="S703" s="518"/>
      <c r="T703" s="518"/>
      <c r="U703" s="518"/>
      <c r="V703" s="518"/>
      <c r="W703" s="518"/>
      <c r="X703" s="518"/>
      <c r="Y703" s="518"/>
      <c r="Z703" s="518"/>
      <c r="AA703" s="604"/>
      <c r="AB703" s="604"/>
      <c r="AC703" s="604"/>
      <c r="AD703" s="604"/>
      <c r="AE703" s="604"/>
      <c r="AF703" s="604"/>
      <c r="AG703" s="604"/>
      <c r="AH703" s="604"/>
      <c r="AI703" s="604"/>
      <c r="AJ703" s="604"/>
      <c r="AK703" s="604"/>
      <c r="AL703" s="604"/>
      <c r="AM703" s="604"/>
      <c r="AN703" s="604"/>
    </row>
    <row r="704" spans="1:40" ht="15.75" hidden="1" customHeight="1">
      <c r="A704" s="650">
        <v>45099</v>
      </c>
      <c r="B704" s="634" t="s">
        <v>415</v>
      </c>
      <c r="C704" s="624" t="s">
        <v>219</v>
      </c>
      <c r="D704" s="608">
        <v>540</v>
      </c>
      <c r="E704" s="518"/>
      <c r="F704" s="518"/>
      <c r="G704" s="608"/>
      <c r="H704" s="518"/>
      <c r="I704" s="518"/>
      <c r="J704" s="518"/>
      <c r="K704" s="518"/>
      <c r="L704" s="518"/>
      <c r="M704" s="518"/>
      <c r="N704" s="518"/>
      <c r="O704" s="518"/>
      <c r="P704" s="518"/>
      <c r="Q704" s="518"/>
      <c r="R704" s="518"/>
      <c r="S704" s="518"/>
      <c r="T704" s="518"/>
      <c r="U704" s="518"/>
      <c r="V704" s="518"/>
      <c r="W704" s="518"/>
      <c r="X704" s="518"/>
      <c r="Y704" s="518"/>
      <c r="Z704" s="518"/>
      <c r="AA704" s="604"/>
      <c r="AB704" s="604"/>
      <c r="AC704" s="604"/>
      <c r="AD704" s="604"/>
      <c r="AE704" s="604"/>
      <c r="AF704" s="604"/>
      <c r="AG704" s="604"/>
      <c r="AH704" s="604"/>
      <c r="AI704" s="604"/>
      <c r="AJ704" s="604"/>
      <c r="AK704" s="604"/>
      <c r="AL704" s="604"/>
      <c r="AM704" s="604"/>
      <c r="AN704" s="604"/>
    </row>
    <row r="705" spans="1:40" ht="15.75" hidden="1" customHeight="1">
      <c r="A705" s="650">
        <v>45100</v>
      </c>
      <c r="B705" s="634"/>
      <c r="C705" s="624" t="s">
        <v>416</v>
      </c>
      <c r="D705" s="608"/>
      <c r="E705" s="518"/>
      <c r="F705" s="518"/>
      <c r="G705" s="608"/>
      <c r="H705" s="518"/>
      <c r="I705" s="518"/>
      <c r="J705" s="518"/>
      <c r="K705" s="518"/>
      <c r="L705" s="518"/>
      <c r="M705" s="518"/>
      <c r="N705" s="518"/>
      <c r="O705" s="518">
        <f>9.27+0.59</f>
        <v>9.86</v>
      </c>
      <c r="P705" s="518"/>
      <c r="Q705" s="518"/>
      <c r="R705" s="518"/>
      <c r="S705" s="518"/>
      <c r="T705" s="518"/>
      <c r="U705" s="518"/>
      <c r="V705" s="518"/>
      <c r="W705" s="518"/>
      <c r="X705" s="518"/>
      <c r="Y705" s="518"/>
      <c r="Z705" s="518"/>
      <c r="AA705" s="604"/>
      <c r="AB705" s="604"/>
      <c r="AC705" s="604"/>
      <c r="AD705" s="604"/>
      <c r="AE705" s="604"/>
      <c r="AF705" s="604"/>
      <c r="AG705" s="604"/>
      <c r="AH705" s="604"/>
      <c r="AI705" s="604"/>
      <c r="AJ705" s="604"/>
      <c r="AK705" s="604"/>
      <c r="AL705" s="604"/>
      <c r="AM705" s="604"/>
      <c r="AN705" s="604"/>
    </row>
    <row r="706" spans="1:40" ht="15.75" hidden="1" customHeight="1">
      <c r="A706" s="650">
        <v>45103</v>
      </c>
      <c r="B706" s="634"/>
      <c r="C706" s="624" t="s">
        <v>417</v>
      </c>
      <c r="D706" s="608"/>
      <c r="E706" s="518"/>
      <c r="F706" s="518"/>
      <c r="G706" s="608"/>
      <c r="H706" s="518"/>
      <c r="I706" s="518"/>
      <c r="J706" s="518"/>
      <c r="K706" s="518"/>
      <c r="L706" s="518">
        <v>2099.39</v>
      </c>
      <c r="M706" s="518"/>
      <c r="N706" s="518"/>
      <c r="O706" s="518"/>
      <c r="P706" s="518"/>
      <c r="Q706" s="518"/>
      <c r="R706" s="518"/>
      <c r="S706" s="518"/>
      <c r="T706" s="518"/>
      <c r="U706" s="518"/>
      <c r="V706" s="518"/>
      <c r="W706" s="518"/>
      <c r="X706" s="518"/>
      <c r="Y706" s="518"/>
      <c r="Z706" s="518"/>
      <c r="AA706" s="604"/>
      <c r="AB706" s="604"/>
      <c r="AC706" s="604"/>
      <c r="AD706" s="604"/>
      <c r="AE706" s="604"/>
      <c r="AF706" s="604"/>
      <c r="AG706" s="604"/>
      <c r="AH706" s="604"/>
      <c r="AI706" s="604"/>
      <c r="AJ706" s="604"/>
      <c r="AK706" s="604"/>
      <c r="AL706" s="604"/>
      <c r="AM706" s="604"/>
      <c r="AN706" s="604"/>
    </row>
    <row r="707" spans="1:40" ht="15.75" hidden="1" customHeight="1">
      <c r="A707" s="650">
        <v>45104</v>
      </c>
      <c r="B707" s="634"/>
      <c r="C707" s="624" t="s">
        <v>418</v>
      </c>
      <c r="D707" s="608"/>
      <c r="E707" s="518"/>
      <c r="F707" s="518"/>
      <c r="G707" s="608"/>
      <c r="H707" s="518">
        <v>56.5</v>
      </c>
      <c r="I707" s="518"/>
      <c r="J707" s="518"/>
      <c r="K707" s="518"/>
      <c r="L707" s="518"/>
      <c r="M707" s="518"/>
      <c r="N707" s="518"/>
      <c r="O707" s="518"/>
      <c r="P707" s="518"/>
      <c r="Q707" s="518"/>
      <c r="R707" s="518"/>
      <c r="S707" s="518"/>
      <c r="T707" s="518"/>
      <c r="U707" s="518"/>
      <c r="V707" s="518"/>
      <c r="W707" s="518"/>
      <c r="X707" s="518"/>
      <c r="Y707" s="518"/>
      <c r="Z707" s="518"/>
      <c r="AA707" s="604"/>
      <c r="AB707" s="604"/>
      <c r="AC707" s="604"/>
      <c r="AD707" s="604"/>
      <c r="AE707" s="604"/>
      <c r="AF707" s="604"/>
      <c r="AG707" s="604"/>
      <c r="AH707" s="604"/>
      <c r="AI707" s="604"/>
      <c r="AJ707" s="604"/>
      <c r="AK707" s="604"/>
      <c r="AL707" s="604"/>
      <c r="AM707" s="604"/>
      <c r="AN707" s="604"/>
    </row>
    <row r="708" spans="1:40" ht="15.75" hidden="1" customHeight="1">
      <c r="A708" s="650">
        <v>45105</v>
      </c>
      <c r="B708" s="634"/>
      <c r="C708" s="624" t="s">
        <v>320</v>
      </c>
      <c r="D708" s="608"/>
      <c r="E708" s="518"/>
      <c r="F708" s="518"/>
      <c r="G708" s="608"/>
      <c r="H708" s="518"/>
      <c r="I708" s="518"/>
      <c r="J708" s="518"/>
      <c r="K708" s="518">
        <f>37.53</f>
        <v>37.53</v>
      </c>
      <c r="L708" s="518"/>
      <c r="M708" s="518"/>
      <c r="N708" s="518"/>
      <c r="O708" s="518"/>
      <c r="P708" s="518"/>
      <c r="Q708" s="518"/>
      <c r="R708" s="518"/>
      <c r="S708" s="518"/>
      <c r="T708" s="518"/>
      <c r="U708" s="518"/>
      <c r="V708" s="518"/>
      <c r="W708" s="518"/>
      <c r="X708" s="518"/>
      <c r="Y708" s="518"/>
      <c r="Z708" s="518"/>
      <c r="AA708" s="604"/>
      <c r="AB708" s="604"/>
      <c r="AC708" s="604"/>
      <c r="AD708" s="604"/>
      <c r="AE708" s="604"/>
      <c r="AF708" s="604"/>
      <c r="AG708" s="604"/>
      <c r="AH708" s="604"/>
      <c r="AI708" s="604"/>
      <c r="AJ708" s="604"/>
      <c r="AK708" s="604"/>
      <c r="AL708" s="604"/>
      <c r="AM708" s="604"/>
      <c r="AN708" s="604"/>
    </row>
    <row r="709" spans="1:40" ht="15.75" hidden="1" customHeight="1">
      <c r="A709" s="650">
        <v>45105</v>
      </c>
      <c r="B709" s="634"/>
      <c r="C709" s="624" t="s">
        <v>364</v>
      </c>
      <c r="D709" s="608"/>
      <c r="E709" s="518"/>
      <c r="F709" s="518"/>
      <c r="G709" s="608"/>
      <c r="H709" s="518"/>
      <c r="I709" s="518"/>
      <c r="J709" s="616"/>
      <c r="K709" s="518">
        <v>46.09</v>
      </c>
      <c r="L709" s="518"/>
      <c r="M709" s="518"/>
      <c r="N709" s="518"/>
      <c r="O709" s="518"/>
      <c r="P709" s="518"/>
      <c r="Q709" s="518"/>
      <c r="R709" s="518"/>
      <c r="S709" s="518"/>
      <c r="T709" s="518"/>
      <c r="U709" s="518"/>
      <c r="V709" s="518"/>
      <c r="W709" s="518"/>
      <c r="X709" s="518"/>
      <c r="Y709" s="518"/>
      <c r="Z709" s="518"/>
      <c r="AA709" s="604"/>
      <c r="AB709" s="604"/>
      <c r="AC709" s="604"/>
      <c r="AD709" s="604"/>
      <c r="AE709" s="604"/>
      <c r="AF709" s="604"/>
      <c r="AG709" s="604"/>
      <c r="AH709" s="604"/>
      <c r="AI709" s="604"/>
      <c r="AJ709" s="604"/>
      <c r="AK709" s="604"/>
      <c r="AL709" s="604"/>
      <c r="AM709" s="604"/>
      <c r="AN709" s="604"/>
    </row>
    <row r="710" spans="1:40" ht="15.75" hidden="1" customHeight="1">
      <c r="A710" s="650">
        <v>45105</v>
      </c>
      <c r="B710" s="634"/>
      <c r="C710" s="624" t="s">
        <v>208</v>
      </c>
      <c r="D710" s="608"/>
      <c r="E710" s="518"/>
      <c r="F710" s="518"/>
      <c r="G710" s="608"/>
      <c r="H710" s="518"/>
      <c r="I710" s="518"/>
      <c r="J710" s="518"/>
      <c r="K710" s="518"/>
      <c r="L710" s="518"/>
      <c r="M710" s="518"/>
      <c r="N710" s="518"/>
      <c r="O710" s="518"/>
      <c r="P710" s="518"/>
      <c r="Q710" s="518"/>
      <c r="R710" s="518"/>
      <c r="S710" s="518">
        <v>15.88</v>
      </c>
      <c r="T710" s="518"/>
      <c r="U710" s="518"/>
      <c r="V710" s="518"/>
      <c r="W710" s="518"/>
      <c r="X710" s="518"/>
      <c r="Y710" s="518"/>
      <c r="Z710" s="518"/>
      <c r="AA710" s="604"/>
      <c r="AB710" s="604"/>
      <c r="AC710" s="604"/>
      <c r="AD710" s="604"/>
      <c r="AE710" s="604"/>
      <c r="AF710" s="604"/>
      <c r="AG710" s="604"/>
      <c r="AH710" s="604"/>
      <c r="AI710" s="604"/>
      <c r="AJ710" s="604"/>
      <c r="AK710" s="604"/>
      <c r="AL710" s="604"/>
      <c r="AM710" s="604"/>
      <c r="AN710" s="604"/>
    </row>
    <row r="711" spans="1:40" ht="15.75" hidden="1" customHeight="1">
      <c r="A711" s="650">
        <v>45106</v>
      </c>
      <c r="B711" s="634"/>
      <c r="C711" s="624" t="s">
        <v>207</v>
      </c>
      <c r="D711" s="608"/>
      <c r="E711" s="518"/>
      <c r="F711" s="518"/>
      <c r="G711" s="608"/>
      <c r="H711" s="518"/>
      <c r="I711" s="518"/>
      <c r="J711" s="518"/>
      <c r="K711" s="518"/>
      <c r="L711" s="518"/>
      <c r="M711" s="518">
        <v>95.98</v>
      </c>
      <c r="N711" s="518"/>
      <c r="O711" s="518"/>
      <c r="P711" s="518"/>
      <c r="Q711" s="518"/>
      <c r="R711" s="518"/>
      <c r="S711" s="518"/>
      <c r="T711" s="518"/>
      <c r="U711" s="518"/>
      <c r="V711" s="518"/>
      <c r="W711" s="518"/>
      <c r="X711" s="518"/>
      <c r="Y711" s="518"/>
      <c r="Z711" s="518"/>
      <c r="AA711" s="604"/>
      <c r="AB711" s="604"/>
      <c r="AC711" s="604"/>
      <c r="AD711" s="604"/>
      <c r="AE711" s="604"/>
      <c r="AF711" s="604"/>
      <c r="AG711" s="604"/>
      <c r="AH711" s="604"/>
      <c r="AI711" s="604"/>
      <c r="AJ711" s="604"/>
      <c r="AK711" s="604"/>
      <c r="AL711" s="604"/>
      <c r="AM711" s="604"/>
      <c r="AN711" s="604"/>
    </row>
    <row r="712" spans="1:40" ht="15.75" hidden="1" customHeight="1">
      <c r="A712" s="650">
        <v>45106</v>
      </c>
      <c r="B712" s="634"/>
      <c r="C712" s="624" t="s">
        <v>207</v>
      </c>
      <c r="D712" s="608"/>
      <c r="E712" s="518"/>
      <c r="F712" s="518"/>
      <c r="G712" s="608"/>
      <c r="H712" s="518"/>
      <c r="I712" s="518"/>
      <c r="J712" s="518"/>
      <c r="K712" s="518"/>
      <c r="L712" s="518"/>
      <c r="M712" s="518">
        <v>80.19</v>
      </c>
      <c r="N712" s="518"/>
      <c r="O712" s="518"/>
      <c r="P712" s="518"/>
      <c r="Q712" s="518"/>
      <c r="R712" s="518"/>
      <c r="S712" s="518"/>
      <c r="T712" s="518"/>
      <c r="U712" s="518"/>
      <c r="V712" s="518"/>
      <c r="W712" s="518"/>
      <c r="X712" s="518"/>
      <c r="Y712" s="518"/>
      <c r="Z712" s="518"/>
      <c r="AA712" s="604"/>
      <c r="AB712" s="604"/>
      <c r="AC712" s="604"/>
      <c r="AD712" s="604"/>
      <c r="AE712" s="604"/>
      <c r="AF712" s="604"/>
      <c r="AG712" s="604"/>
      <c r="AH712" s="604"/>
      <c r="AI712" s="604"/>
      <c r="AJ712" s="604"/>
      <c r="AK712" s="604"/>
      <c r="AL712" s="604"/>
      <c r="AM712" s="604"/>
      <c r="AN712" s="604"/>
    </row>
    <row r="713" spans="1:40" ht="15.75" hidden="1" customHeight="1">
      <c r="A713" s="650"/>
      <c r="B713" s="634"/>
      <c r="C713" s="624"/>
      <c r="D713" s="608"/>
      <c r="E713" s="518"/>
      <c r="F713" s="518"/>
      <c r="G713" s="608"/>
      <c r="H713" s="518"/>
      <c r="I713" s="518"/>
      <c r="J713" s="518"/>
      <c r="K713" s="518"/>
      <c r="L713" s="518"/>
      <c r="M713" s="518"/>
      <c r="N713" s="518"/>
      <c r="O713" s="518"/>
      <c r="P713" s="518"/>
      <c r="Q713" s="518"/>
      <c r="R713" s="518"/>
      <c r="S713" s="518"/>
      <c r="T713" s="518"/>
      <c r="U713" s="518"/>
      <c r="V713" s="518"/>
      <c r="W713" s="518"/>
      <c r="X713" s="518"/>
      <c r="Y713" s="518"/>
      <c r="Z713" s="518"/>
      <c r="AA713" s="604"/>
      <c r="AB713" s="604"/>
      <c r="AC713" s="604"/>
      <c r="AD713" s="604"/>
      <c r="AE713" s="604"/>
      <c r="AF713" s="604"/>
      <c r="AG713" s="604"/>
      <c r="AH713" s="604"/>
      <c r="AI713" s="604"/>
      <c r="AJ713" s="604"/>
      <c r="AK713" s="604"/>
      <c r="AL713" s="604"/>
      <c r="AM713" s="604"/>
      <c r="AN713" s="604"/>
    </row>
    <row r="714" spans="1:40" ht="15.75" hidden="1" customHeight="1">
      <c r="A714" s="650"/>
      <c r="B714" s="634"/>
      <c r="C714" s="624"/>
      <c r="D714" s="608"/>
      <c r="E714" s="518"/>
      <c r="F714" s="518"/>
      <c r="G714" s="608"/>
      <c r="H714" s="518"/>
      <c r="I714" s="518"/>
      <c r="J714" s="518"/>
      <c r="K714" s="518"/>
      <c r="L714" s="518"/>
      <c r="M714" s="518"/>
      <c r="N714" s="518"/>
      <c r="O714" s="518"/>
      <c r="P714" s="518"/>
      <c r="Q714" s="518"/>
      <c r="R714" s="518"/>
      <c r="S714" s="518"/>
      <c r="T714" s="518"/>
      <c r="U714" s="518"/>
      <c r="V714" s="518"/>
      <c r="W714" s="518"/>
      <c r="X714" s="518"/>
      <c r="Y714" s="518"/>
      <c r="Z714" s="518"/>
      <c r="AA714" s="604"/>
      <c r="AB714" s="604"/>
      <c r="AC714" s="604"/>
      <c r="AD714" s="604"/>
      <c r="AE714" s="604"/>
      <c r="AF714" s="604"/>
      <c r="AG714" s="604"/>
      <c r="AH714" s="604"/>
      <c r="AI714" s="604"/>
      <c r="AJ714" s="604"/>
      <c r="AK714" s="604"/>
      <c r="AL714" s="604"/>
      <c r="AM714" s="604"/>
      <c r="AN714" s="604"/>
    </row>
    <row r="715" spans="1:40" ht="15.75" hidden="1" customHeight="1">
      <c r="A715" s="650"/>
      <c r="B715" s="634"/>
      <c r="C715" s="624"/>
      <c r="D715" s="608"/>
      <c r="E715" s="518"/>
      <c r="F715" s="518"/>
      <c r="G715" s="608"/>
      <c r="H715" s="518"/>
      <c r="I715" s="518"/>
      <c r="J715" s="518"/>
      <c r="K715" s="518"/>
      <c r="L715" s="518"/>
      <c r="M715" s="518"/>
      <c r="N715" s="518"/>
      <c r="O715" s="518"/>
      <c r="P715" s="518"/>
      <c r="Q715" s="518"/>
      <c r="R715" s="518"/>
      <c r="S715" s="518"/>
      <c r="T715" s="518"/>
      <c r="U715" s="518"/>
      <c r="V715" s="518"/>
      <c r="W715" s="518"/>
      <c r="X715" s="518"/>
      <c r="Y715" s="518"/>
      <c r="Z715" s="518"/>
      <c r="AA715" s="604"/>
      <c r="AB715" s="604"/>
      <c r="AC715" s="604"/>
      <c r="AD715" s="604"/>
      <c r="AE715" s="604"/>
      <c r="AF715" s="604"/>
      <c r="AG715" s="604"/>
      <c r="AH715" s="604"/>
      <c r="AI715" s="604"/>
      <c r="AJ715" s="604"/>
      <c r="AK715" s="604"/>
      <c r="AL715" s="604"/>
      <c r="AM715" s="604"/>
      <c r="AN715" s="604"/>
    </row>
    <row r="716" spans="1:40" ht="15.75" hidden="1" customHeight="1" thickBot="1">
      <c r="A716" s="650"/>
      <c r="B716" s="634"/>
      <c r="C716" s="654"/>
      <c r="D716" s="608"/>
      <c r="E716" s="518"/>
      <c r="F716" s="518"/>
      <c r="G716" s="608"/>
      <c r="H716" s="518"/>
      <c r="I716" s="518"/>
      <c r="J716" s="518"/>
      <c r="K716" s="518"/>
      <c r="L716" s="518"/>
      <c r="M716" s="518"/>
      <c r="N716" s="518"/>
      <c r="O716" s="518"/>
      <c r="P716" s="518"/>
      <c r="Q716" s="518"/>
      <c r="R716" s="518"/>
      <c r="S716" s="518"/>
      <c r="T716" s="518"/>
      <c r="U716" s="518"/>
      <c r="V716" s="518"/>
      <c r="W716" s="518"/>
      <c r="X716" s="518"/>
      <c r="Y716" s="518"/>
      <c r="Z716" s="518"/>
      <c r="AA716" s="604"/>
      <c r="AB716" s="604"/>
      <c r="AC716" s="604"/>
      <c r="AD716" s="604"/>
      <c r="AE716" s="604"/>
      <c r="AF716" s="604"/>
      <c r="AG716" s="604"/>
      <c r="AH716" s="604"/>
      <c r="AI716" s="604"/>
      <c r="AJ716" s="604"/>
      <c r="AK716" s="604"/>
      <c r="AL716" s="604"/>
      <c r="AM716" s="604"/>
      <c r="AN716" s="604"/>
    </row>
    <row r="717" spans="1:40" ht="15.75" hidden="1" customHeight="1" thickTop="1">
      <c r="A717" s="652"/>
      <c r="B717" s="655">
        <v>45108</v>
      </c>
      <c r="C717" s="627"/>
      <c r="D717" s="601"/>
      <c r="E717" s="602"/>
      <c r="F717" s="602"/>
      <c r="G717" s="602"/>
      <c r="H717" s="602"/>
      <c r="I717" s="602"/>
      <c r="J717" s="602"/>
      <c r="K717" s="602"/>
      <c r="L717" s="602"/>
      <c r="M717" s="602"/>
      <c r="N717" s="602"/>
      <c r="O717" s="602"/>
      <c r="P717" s="602"/>
      <c r="Q717" s="602"/>
      <c r="R717" s="602"/>
      <c r="S717" s="602"/>
      <c r="T717" s="602"/>
      <c r="U717" s="602"/>
      <c r="V717" s="602"/>
      <c r="W717" s="602"/>
      <c r="X717" s="602"/>
      <c r="Y717" s="602"/>
      <c r="Z717" s="602"/>
      <c r="AA717" s="604"/>
      <c r="AB717" s="604"/>
      <c r="AC717" s="604"/>
      <c r="AD717" s="604"/>
      <c r="AE717" s="604"/>
      <c r="AF717" s="604"/>
      <c r="AG717" s="604"/>
      <c r="AH717" s="604"/>
      <c r="AI717" s="604"/>
      <c r="AJ717" s="604"/>
      <c r="AK717" s="604"/>
      <c r="AL717" s="604"/>
      <c r="AM717" s="604"/>
      <c r="AN717" s="604"/>
    </row>
    <row r="718" spans="1:40" ht="15.75" hidden="1" customHeight="1">
      <c r="A718" s="650"/>
      <c r="B718" s="596"/>
      <c r="C718" s="624"/>
      <c r="D718" s="608"/>
      <c r="E718" s="518"/>
      <c r="F718" s="518"/>
      <c r="G718" s="518"/>
      <c r="H718" s="518"/>
      <c r="I718" s="518"/>
      <c r="J718" s="518"/>
      <c r="K718" s="518"/>
      <c r="L718" s="518"/>
      <c r="M718" s="518"/>
      <c r="N718" s="518"/>
      <c r="O718" s="518"/>
      <c r="P718" s="518"/>
      <c r="Q718" s="518"/>
      <c r="R718" s="518"/>
      <c r="S718" s="518"/>
      <c r="T718" s="518"/>
      <c r="U718" s="518"/>
      <c r="V718" s="518"/>
      <c r="W718" s="518"/>
      <c r="X718" s="518"/>
      <c r="Y718" s="518"/>
      <c r="Z718" s="518"/>
      <c r="AA718" s="604"/>
      <c r="AB718" s="604"/>
      <c r="AC718" s="604"/>
      <c r="AD718" s="604"/>
      <c r="AE718" s="604"/>
      <c r="AF718" s="604"/>
      <c r="AG718" s="604"/>
      <c r="AH718" s="604"/>
      <c r="AI718" s="604"/>
      <c r="AJ718" s="604"/>
      <c r="AK718" s="604"/>
      <c r="AL718" s="604"/>
      <c r="AM718" s="604"/>
      <c r="AN718" s="604"/>
    </row>
    <row r="719" spans="1:40" ht="15.75" hidden="1" customHeight="1">
      <c r="A719" s="650">
        <v>45110</v>
      </c>
      <c r="B719" s="606"/>
      <c r="C719" s="607" t="s">
        <v>62</v>
      </c>
      <c r="D719" s="608"/>
      <c r="E719" s="518"/>
      <c r="F719" s="518"/>
      <c r="G719" s="518"/>
      <c r="H719" s="518"/>
      <c r="I719" s="518"/>
      <c r="J719" s="518"/>
      <c r="K719" s="518"/>
      <c r="L719" s="518"/>
      <c r="M719" s="518"/>
      <c r="N719" s="518"/>
      <c r="O719" s="518"/>
      <c r="P719" s="518"/>
      <c r="Q719" s="518"/>
      <c r="R719" s="518"/>
      <c r="S719" s="518"/>
      <c r="T719" s="518"/>
      <c r="U719" s="518"/>
      <c r="V719" s="518">
        <v>1036.55</v>
      </c>
      <c r="W719" s="518"/>
      <c r="X719" s="518"/>
      <c r="Y719" s="518"/>
      <c r="Z719" s="518"/>
      <c r="AA719" s="604"/>
      <c r="AB719" s="604"/>
      <c r="AC719" s="604"/>
      <c r="AD719" s="604"/>
      <c r="AE719" s="604"/>
      <c r="AF719" s="604"/>
      <c r="AG719" s="604"/>
      <c r="AH719" s="604"/>
      <c r="AI719" s="604"/>
      <c r="AJ719" s="604"/>
      <c r="AK719" s="604"/>
      <c r="AL719" s="604"/>
      <c r="AM719" s="604"/>
      <c r="AN719" s="604"/>
    </row>
    <row r="720" spans="1:40" ht="15.75" hidden="1" customHeight="1">
      <c r="A720" s="650">
        <v>45110</v>
      </c>
      <c r="B720" s="612"/>
      <c r="C720" s="611" t="s">
        <v>63</v>
      </c>
      <c r="D720" s="608"/>
      <c r="E720" s="518"/>
      <c r="F720" s="518"/>
      <c r="G720" s="518"/>
      <c r="H720" s="518"/>
      <c r="I720" s="518"/>
      <c r="J720" s="518"/>
      <c r="K720" s="518"/>
      <c r="L720" s="518"/>
      <c r="M720" s="518"/>
      <c r="N720" s="518"/>
      <c r="O720" s="518"/>
      <c r="P720" s="518"/>
      <c r="Q720" s="518"/>
      <c r="R720" s="518"/>
      <c r="S720" s="518"/>
      <c r="T720" s="518">
        <v>283.77</v>
      </c>
      <c r="U720" s="518"/>
      <c r="V720" s="518"/>
      <c r="W720" s="518"/>
      <c r="X720" s="518"/>
      <c r="Y720" s="518"/>
      <c r="Z720" s="518"/>
      <c r="AA720" s="604"/>
      <c r="AB720" s="604"/>
      <c r="AC720" s="604"/>
      <c r="AD720" s="604"/>
      <c r="AE720" s="604"/>
      <c r="AF720" s="604"/>
      <c r="AG720" s="604"/>
      <c r="AH720" s="604"/>
      <c r="AI720" s="604"/>
      <c r="AJ720" s="604"/>
      <c r="AK720" s="604"/>
      <c r="AL720" s="604"/>
      <c r="AM720" s="604"/>
      <c r="AN720" s="604"/>
    </row>
    <row r="721" spans="1:40" ht="15.75" hidden="1" customHeight="1">
      <c r="A721" s="650">
        <v>45110</v>
      </c>
      <c r="B721" s="610">
        <f>'Conversion rates'!B22</f>
        <v>1.165076</v>
      </c>
      <c r="C721" s="611" t="s">
        <v>276</v>
      </c>
      <c r="D721" s="608"/>
      <c r="E721" s="518"/>
      <c r="F721" s="518"/>
      <c r="G721" s="518"/>
      <c r="H721" s="518"/>
      <c r="I721" s="518"/>
      <c r="J721" s="518"/>
      <c r="K721" s="518"/>
      <c r="L721" s="518"/>
      <c r="M721" s="518"/>
      <c r="N721" s="518"/>
      <c r="O721" s="518"/>
      <c r="P721" s="518"/>
      <c r="Q721" s="518"/>
      <c r="R721" s="518"/>
      <c r="S721" s="518"/>
      <c r="T721" s="518">
        <v>80</v>
      </c>
      <c r="U721" s="518"/>
      <c r="V721" s="518"/>
      <c r="W721" s="518"/>
      <c r="X721" s="518"/>
      <c r="Y721" s="518"/>
      <c r="Z721" s="518"/>
      <c r="AA721" s="604"/>
      <c r="AB721" s="604"/>
      <c r="AC721" s="604"/>
      <c r="AD721" s="604"/>
      <c r="AE721" s="604"/>
      <c r="AF721" s="604"/>
      <c r="AG721" s="604"/>
      <c r="AH721" s="604"/>
      <c r="AI721" s="604"/>
      <c r="AJ721" s="604"/>
      <c r="AK721" s="604"/>
      <c r="AL721" s="604"/>
      <c r="AM721" s="604"/>
      <c r="AN721" s="604"/>
    </row>
    <row r="722" spans="1:40" ht="15.75" hidden="1" customHeight="1">
      <c r="A722" s="650">
        <v>45120</v>
      </c>
      <c r="B722" s="612" t="s">
        <v>310</v>
      </c>
      <c r="C722" s="614" t="s">
        <v>419</v>
      </c>
      <c r="D722" s="608"/>
      <c r="E722" s="518"/>
      <c r="F722" s="518"/>
      <c r="G722" s="518"/>
      <c r="H722" s="518"/>
      <c r="I722" s="518"/>
      <c r="J722" s="518"/>
      <c r="K722" s="518"/>
      <c r="L722" s="518"/>
      <c r="M722" s="616"/>
      <c r="N722" s="518">
        <f>800*B721</f>
        <v>932.06079999999997</v>
      </c>
      <c r="O722" s="518"/>
      <c r="P722" s="518"/>
      <c r="Q722" s="518"/>
      <c r="R722" s="518"/>
      <c r="S722" s="518"/>
      <c r="T722" s="518"/>
      <c r="U722" s="518"/>
      <c r="V722" s="518"/>
      <c r="W722" s="518"/>
      <c r="X722" s="518"/>
      <c r="Y722" s="518"/>
      <c r="Z722" s="518"/>
      <c r="AA722" s="604"/>
      <c r="AB722" s="604"/>
      <c r="AC722" s="604"/>
      <c r="AD722" s="604"/>
      <c r="AE722" s="604"/>
      <c r="AF722" s="604"/>
      <c r="AG722" s="604"/>
      <c r="AH722" s="604"/>
      <c r="AI722" s="604"/>
      <c r="AJ722" s="604"/>
      <c r="AK722" s="604"/>
      <c r="AL722" s="604"/>
      <c r="AM722" s="604"/>
      <c r="AN722" s="604"/>
    </row>
    <row r="723" spans="1:40" ht="15.75" hidden="1" customHeight="1">
      <c r="A723" s="650">
        <v>45124</v>
      </c>
      <c r="B723" s="612"/>
      <c r="C723" s="611" t="s">
        <v>420</v>
      </c>
      <c r="D723" s="608"/>
      <c r="E723" s="518"/>
      <c r="F723" s="518"/>
      <c r="G723" s="518"/>
      <c r="H723" s="518"/>
      <c r="I723" s="518"/>
      <c r="J723" s="518"/>
      <c r="K723" s="518"/>
      <c r="L723" s="518"/>
      <c r="M723" s="518"/>
      <c r="N723" s="518"/>
      <c r="O723" s="518"/>
      <c r="P723" s="518"/>
      <c r="Q723" s="518"/>
      <c r="R723" s="518"/>
      <c r="S723" s="518"/>
      <c r="T723" s="518">
        <v>18</v>
      </c>
      <c r="U723" s="518"/>
      <c r="V723" s="518"/>
      <c r="W723" s="518"/>
      <c r="X723" s="518"/>
      <c r="Y723" s="518"/>
      <c r="Z723" s="518"/>
      <c r="AA723" s="604"/>
      <c r="AB723" s="604"/>
      <c r="AC723" s="604"/>
      <c r="AD723" s="604"/>
      <c r="AE723" s="604"/>
      <c r="AF723" s="604"/>
      <c r="AG723" s="604"/>
      <c r="AH723" s="604"/>
      <c r="AI723" s="604"/>
      <c r="AJ723" s="604"/>
      <c r="AK723" s="604"/>
      <c r="AL723" s="604"/>
      <c r="AM723" s="604"/>
      <c r="AN723" s="604"/>
    </row>
    <row r="724" spans="1:40" ht="15.75" hidden="1" customHeight="1">
      <c r="A724" s="650">
        <v>45124</v>
      </c>
      <c r="B724" s="613"/>
      <c r="C724" s="611" t="s">
        <v>168</v>
      </c>
      <c r="D724" s="608"/>
      <c r="E724" s="518"/>
      <c r="F724" s="518"/>
      <c r="G724" s="518"/>
      <c r="H724" s="518"/>
      <c r="I724" s="518"/>
      <c r="J724" s="518"/>
      <c r="K724" s="518"/>
      <c r="L724" s="518"/>
      <c r="M724" s="518"/>
      <c r="N724" s="518"/>
      <c r="O724" s="518"/>
      <c r="P724" s="518"/>
      <c r="Q724" s="518"/>
      <c r="R724" s="518"/>
      <c r="S724" s="518"/>
      <c r="T724" s="518">
        <v>1608.68</v>
      </c>
      <c r="U724" s="518"/>
      <c r="V724" s="518"/>
      <c r="W724" s="518"/>
      <c r="X724" s="518"/>
      <c r="Y724" s="518"/>
      <c r="Z724" s="518"/>
      <c r="AA724" s="604"/>
      <c r="AB724" s="604"/>
      <c r="AC724" s="604"/>
      <c r="AD724" s="604"/>
      <c r="AE724" s="604"/>
      <c r="AF724" s="604"/>
      <c r="AG724" s="604"/>
      <c r="AH724" s="604"/>
      <c r="AI724" s="604"/>
      <c r="AJ724" s="604"/>
      <c r="AK724" s="604"/>
      <c r="AL724" s="604"/>
      <c r="AM724" s="604"/>
      <c r="AN724" s="604"/>
    </row>
    <row r="725" spans="1:40" ht="15.75" hidden="1" customHeight="1">
      <c r="A725" s="650">
        <v>45124</v>
      </c>
      <c r="B725" s="615"/>
      <c r="C725" s="611" t="s">
        <v>341</v>
      </c>
      <c r="D725" s="608"/>
      <c r="E725" s="518"/>
      <c r="F725" s="518"/>
      <c r="G725" s="518"/>
      <c r="H725" s="518"/>
      <c r="I725" s="518"/>
      <c r="J725" s="518"/>
      <c r="K725" s="518"/>
      <c r="L725" s="518"/>
      <c r="M725" s="518"/>
      <c r="N725" s="518"/>
      <c r="O725" s="518"/>
      <c r="P725" s="518"/>
      <c r="Q725" s="518"/>
      <c r="R725" s="518"/>
      <c r="S725" s="518"/>
      <c r="T725" s="518"/>
      <c r="U725" s="518"/>
      <c r="V725" s="518"/>
      <c r="W725" s="518"/>
      <c r="X725" s="518"/>
      <c r="Y725" s="518"/>
      <c r="Z725" s="518"/>
      <c r="AA725" s="604"/>
      <c r="AB725" s="604"/>
      <c r="AC725" s="604"/>
      <c r="AD725" s="604"/>
      <c r="AE725" s="604"/>
      <c r="AF725" s="604"/>
      <c r="AG725" s="604"/>
      <c r="AH725" s="604"/>
      <c r="AI725" s="604"/>
      <c r="AJ725" s="604"/>
      <c r="AK725" s="604"/>
      <c r="AL725" s="604"/>
      <c r="AM725" s="604"/>
      <c r="AN725" s="604"/>
    </row>
    <row r="726" spans="1:40" ht="15.75" hidden="1" customHeight="1">
      <c r="A726" s="650">
        <v>45125</v>
      </c>
      <c r="B726" s="613"/>
      <c r="C726" s="611" t="s">
        <v>111</v>
      </c>
      <c r="D726" s="608"/>
      <c r="E726" s="518"/>
      <c r="F726" s="518"/>
      <c r="G726" s="518"/>
      <c r="H726" s="518"/>
      <c r="I726" s="518"/>
      <c r="J726" s="518"/>
      <c r="K726" s="518">
        <v>29.99</v>
      </c>
      <c r="L726" s="518"/>
      <c r="M726" s="518"/>
      <c r="N726" s="518"/>
      <c r="O726" s="518"/>
      <c r="P726" s="518"/>
      <c r="Q726" s="518"/>
      <c r="R726" s="518"/>
      <c r="S726" s="518"/>
      <c r="T726" s="518">
        <v>19.98</v>
      </c>
      <c r="U726" s="518"/>
      <c r="V726" s="518"/>
      <c r="W726" s="518"/>
      <c r="X726" s="518"/>
      <c r="Y726" s="518"/>
      <c r="Z726" s="518"/>
      <c r="AA726" s="604"/>
      <c r="AB726" s="604"/>
      <c r="AC726" s="604"/>
      <c r="AD726" s="604"/>
      <c r="AE726" s="604"/>
      <c r="AF726" s="604"/>
      <c r="AG726" s="604"/>
      <c r="AH726" s="604"/>
      <c r="AI726" s="604"/>
      <c r="AJ726" s="604"/>
      <c r="AK726" s="604"/>
      <c r="AL726" s="604"/>
      <c r="AM726" s="604"/>
      <c r="AN726" s="604"/>
    </row>
    <row r="727" spans="1:40" ht="15.75" hidden="1" customHeight="1">
      <c r="A727" s="650">
        <v>45126</v>
      </c>
      <c r="B727" s="613"/>
      <c r="C727" s="611" t="s">
        <v>78</v>
      </c>
      <c r="D727" s="608"/>
      <c r="E727" s="518"/>
      <c r="F727" s="518"/>
      <c r="G727" s="518"/>
      <c r="H727" s="518"/>
      <c r="I727" s="518"/>
      <c r="J727" s="518">
        <v>21.78</v>
      </c>
      <c r="K727" s="518"/>
      <c r="L727" s="518"/>
      <c r="M727" s="518"/>
      <c r="N727" s="518"/>
      <c r="O727" s="518"/>
      <c r="P727" s="518"/>
      <c r="Q727" s="518"/>
      <c r="R727" s="518"/>
      <c r="S727" s="518"/>
      <c r="T727" s="518"/>
      <c r="U727" s="518"/>
      <c r="V727" s="518"/>
      <c r="W727" s="518"/>
      <c r="X727" s="518"/>
      <c r="Y727" s="518"/>
      <c r="Z727" s="518"/>
      <c r="AA727" s="604"/>
      <c r="AB727" s="604"/>
      <c r="AC727" s="604"/>
      <c r="AD727" s="604"/>
      <c r="AE727" s="604"/>
      <c r="AF727" s="604"/>
      <c r="AG727" s="604"/>
      <c r="AH727" s="604"/>
      <c r="AI727" s="604"/>
      <c r="AJ727" s="604"/>
      <c r="AK727" s="604"/>
      <c r="AL727" s="604"/>
      <c r="AM727" s="604"/>
      <c r="AN727" s="604"/>
    </row>
    <row r="728" spans="1:40" ht="15.75" hidden="1" customHeight="1">
      <c r="A728" s="650">
        <v>45128</v>
      </c>
      <c r="B728" s="615"/>
      <c r="C728" s="611" t="s">
        <v>344</v>
      </c>
      <c r="D728" s="608"/>
      <c r="E728" s="518"/>
      <c r="F728" s="518"/>
      <c r="G728" s="518"/>
      <c r="H728" s="518"/>
      <c r="I728" s="518"/>
      <c r="J728" s="518"/>
      <c r="K728" s="518"/>
      <c r="L728" s="518"/>
      <c r="M728" s="518"/>
      <c r="N728" s="518"/>
      <c r="O728" s="518"/>
      <c r="P728" s="518"/>
      <c r="Q728" s="518"/>
      <c r="R728" s="518"/>
      <c r="S728" s="518">
        <v>13.47</v>
      </c>
      <c r="T728" s="518"/>
      <c r="U728" s="518"/>
      <c r="V728" s="518"/>
      <c r="W728" s="518"/>
      <c r="X728" s="518"/>
      <c r="Y728" s="518"/>
      <c r="Z728" s="518"/>
      <c r="AA728" s="604"/>
      <c r="AB728" s="604"/>
      <c r="AC728" s="604"/>
      <c r="AD728" s="604"/>
      <c r="AE728" s="604"/>
      <c r="AF728" s="604"/>
      <c r="AG728" s="604"/>
      <c r="AH728" s="604"/>
      <c r="AI728" s="604"/>
      <c r="AJ728" s="604"/>
      <c r="AK728" s="604"/>
      <c r="AL728" s="604"/>
      <c r="AM728" s="604"/>
      <c r="AN728" s="604"/>
    </row>
    <row r="729" spans="1:40" ht="15.75" hidden="1" customHeight="1">
      <c r="A729" s="650">
        <v>45130</v>
      </c>
      <c r="B729" s="615"/>
      <c r="C729" s="611" t="s">
        <v>364</v>
      </c>
      <c r="D729" s="608"/>
      <c r="E729" s="518"/>
      <c r="F729" s="518"/>
      <c r="G729" s="518"/>
      <c r="H729" s="518"/>
      <c r="I729" s="518"/>
      <c r="J729" s="518"/>
      <c r="K729" s="518">
        <f>(11.71+11.71+11.58)</f>
        <v>35</v>
      </c>
      <c r="L729" s="518"/>
      <c r="M729" s="518"/>
      <c r="N729" s="518"/>
      <c r="O729" s="518"/>
      <c r="P729" s="518"/>
      <c r="Q729" s="518"/>
      <c r="R729" s="518"/>
      <c r="S729" s="518"/>
      <c r="T729" s="518"/>
      <c r="U729" s="518"/>
      <c r="V729" s="518"/>
      <c r="W729" s="518"/>
      <c r="X729" s="518"/>
      <c r="Y729" s="518"/>
      <c r="Z729" s="518"/>
      <c r="AA729" s="604"/>
      <c r="AB729" s="604"/>
      <c r="AC729" s="604"/>
      <c r="AD729" s="604"/>
      <c r="AE729" s="604"/>
      <c r="AF729" s="604"/>
      <c r="AG729" s="604"/>
      <c r="AH729" s="604"/>
      <c r="AI729" s="604"/>
      <c r="AJ729" s="604"/>
      <c r="AK729" s="604"/>
      <c r="AL729" s="604"/>
      <c r="AM729" s="604"/>
      <c r="AN729" s="604"/>
    </row>
    <row r="730" spans="1:40" ht="15.75" hidden="1" customHeight="1">
      <c r="A730" s="650">
        <v>45131</v>
      </c>
      <c r="B730" s="615"/>
      <c r="C730" s="614" t="s">
        <v>421</v>
      </c>
      <c r="D730" s="608"/>
      <c r="E730" s="518"/>
      <c r="F730" s="518"/>
      <c r="G730" s="518"/>
      <c r="H730" s="518"/>
      <c r="I730" s="518"/>
      <c r="J730" s="518"/>
      <c r="K730" s="518"/>
      <c r="L730" s="518"/>
      <c r="M730" s="518">
        <v>49</v>
      </c>
      <c r="N730" s="518"/>
      <c r="O730" s="518"/>
      <c r="P730" s="518"/>
      <c r="Q730" s="518"/>
      <c r="R730" s="518"/>
      <c r="S730" s="518"/>
      <c r="T730" s="518"/>
      <c r="U730" s="518"/>
      <c r="V730" s="518"/>
      <c r="W730" s="518"/>
      <c r="X730" s="518"/>
      <c r="Y730" s="518"/>
      <c r="Z730" s="518"/>
      <c r="AA730" s="604"/>
      <c r="AB730" s="604"/>
      <c r="AC730" s="604"/>
      <c r="AD730" s="604"/>
      <c r="AE730" s="604"/>
      <c r="AF730" s="604"/>
      <c r="AG730" s="604"/>
      <c r="AH730" s="604"/>
      <c r="AI730" s="604"/>
      <c r="AJ730" s="604"/>
      <c r="AK730" s="604"/>
      <c r="AL730" s="604"/>
      <c r="AM730" s="604"/>
      <c r="AN730" s="604"/>
    </row>
    <row r="731" spans="1:40" ht="15.75" hidden="1" customHeight="1">
      <c r="A731" s="650">
        <v>45134</v>
      </c>
      <c r="B731" s="615"/>
      <c r="C731" s="611" t="s">
        <v>320</v>
      </c>
      <c r="D731" s="608"/>
      <c r="E731" s="518"/>
      <c r="F731" s="518"/>
      <c r="G731" s="518"/>
      <c r="H731" s="518"/>
      <c r="I731" s="518"/>
      <c r="J731" s="518"/>
      <c r="K731" s="518">
        <v>9.39</v>
      </c>
      <c r="L731" s="518"/>
      <c r="M731" s="518"/>
      <c r="N731" s="518"/>
      <c r="O731" s="518"/>
      <c r="P731" s="518"/>
      <c r="Q731" s="518"/>
      <c r="R731" s="518"/>
      <c r="S731" s="518"/>
      <c r="T731" s="518"/>
      <c r="U731" s="518"/>
      <c r="V731" s="518"/>
      <c r="W731" s="518"/>
      <c r="X731" s="518"/>
      <c r="Y731" s="518"/>
      <c r="Z731" s="518"/>
      <c r="AA731" s="604"/>
      <c r="AB731" s="604"/>
      <c r="AC731" s="604"/>
      <c r="AD731" s="604"/>
      <c r="AE731" s="604"/>
      <c r="AF731" s="604"/>
      <c r="AG731" s="604"/>
      <c r="AH731" s="604"/>
      <c r="AI731" s="604"/>
      <c r="AJ731" s="604"/>
      <c r="AK731" s="604"/>
      <c r="AL731" s="604"/>
      <c r="AM731" s="604"/>
      <c r="AN731" s="604"/>
    </row>
    <row r="732" spans="1:40" ht="15.75" hidden="1" customHeight="1">
      <c r="A732" s="650">
        <v>45138</v>
      </c>
      <c r="B732" s="615"/>
      <c r="C732" s="614" t="s">
        <v>260</v>
      </c>
      <c r="D732" s="608"/>
      <c r="E732" s="518">
        <v>605.5</v>
      </c>
      <c r="F732" s="518"/>
      <c r="G732" s="518"/>
      <c r="H732" s="518"/>
      <c r="I732" s="518"/>
      <c r="J732" s="518"/>
      <c r="K732" s="518"/>
      <c r="L732" s="518"/>
      <c r="M732" s="518"/>
      <c r="N732" s="518"/>
      <c r="O732" s="518"/>
      <c r="P732" s="518"/>
      <c r="Q732" s="518"/>
      <c r="R732" s="518"/>
      <c r="S732" s="518"/>
      <c r="T732" s="518"/>
      <c r="U732" s="518"/>
      <c r="V732" s="518"/>
      <c r="W732" s="518"/>
      <c r="X732" s="518"/>
      <c r="Y732" s="518"/>
      <c r="Z732" s="518"/>
      <c r="AA732" s="604"/>
      <c r="AB732" s="604"/>
      <c r="AC732" s="604"/>
      <c r="AD732" s="604"/>
      <c r="AE732" s="604"/>
      <c r="AF732" s="604"/>
      <c r="AG732" s="604"/>
      <c r="AH732" s="604"/>
      <c r="AI732" s="604"/>
      <c r="AJ732" s="604"/>
      <c r="AK732" s="604"/>
      <c r="AL732" s="604"/>
      <c r="AM732" s="604"/>
      <c r="AN732" s="604"/>
    </row>
    <row r="733" spans="1:40" ht="15.75" hidden="1" customHeight="1">
      <c r="A733" s="650">
        <v>45138</v>
      </c>
      <c r="B733" s="612"/>
      <c r="C733" s="611" t="s">
        <v>366</v>
      </c>
      <c r="D733" s="608"/>
      <c r="E733" s="518"/>
      <c r="F733" s="518"/>
      <c r="G733" s="518"/>
      <c r="H733" s="518"/>
      <c r="I733" s="518"/>
      <c r="J733" s="518"/>
      <c r="K733" s="518"/>
      <c r="L733" s="518"/>
      <c r="M733" s="518"/>
      <c r="N733" s="518"/>
      <c r="O733" s="518"/>
      <c r="P733" s="518"/>
      <c r="Q733" s="518"/>
      <c r="R733" s="518"/>
      <c r="S733" s="518">
        <v>32.799999999999997</v>
      </c>
      <c r="T733" s="518"/>
      <c r="U733" s="518"/>
      <c r="V733" s="518"/>
      <c r="W733" s="518"/>
      <c r="X733" s="518"/>
      <c r="Y733" s="518"/>
      <c r="Z733" s="518"/>
      <c r="AA733" s="604"/>
      <c r="AB733" s="604"/>
      <c r="AC733" s="604"/>
      <c r="AD733" s="604"/>
      <c r="AE733" s="604"/>
      <c r="AF733" s="604"/>
      <c r="AG733" s="604"/>
      <c r="AH733" s="604"/>
      <c r="AI733" s="604"/>
      <c r="AJ733" s="604"/>
      <c r="AK733" s="604"/>
      <c r="AL733" s="604"/>
      <c r="AM733" s="604"/>
      <c r="AN733" s="604"/>
    </row>
    <row r="734" spans="1:40" ht="15.75" hidden="1" customHeight="1">
      <c r="A734" s="650"/>
      <c r="B734" s="620"/>
      <c r="C734" s="621"/>
      <c r="D734" s="622"/>
      <c r="E734" s="623"/>
      <c r="F734" s="623"/>
      <c r="G734" s="623"/>
      <c r="H734" s="623"/>
      <c r="I734" s="623"/>
      <c r="J734" s="623"/>
      <c r="K734" s="623"/>
      <c r="L734" s="623"/>
      <c r="M734" s="623"/>
      <c r="N734" s="623"/>
      <c r="O734" s="623"/>
      <c r="P734" s="623"/>
      <c r="Q734" s="623"/>
      <c r="R734" s="623"/>
      <c r="S734" s="623"/>
      <c r="T734" s="623"/>
      <c r="U734" s="623"/>
      <c r="V734" s="623"/>
      <c r="W734" s="623"/>
      <c r="X734" s="623"/>
      <c r="Y734" s="623"/>
      <c r="Z734" s="623"/>
      <c r="AA734" s="604"/>
      <c r="AB734" s="604"/>
      <c r="AC734" s="604"/>
      <c r="AD734" s="604"/>
      <c r="AE734" s="604"/>
      <c r="AF734" s="604"/>
      <c r="AG734" s="604"/>
      <c r="AH734" s="604"/>
      <c r="AI734" s="604"/>
      <c r="AJ734" s="604"/>
      <c r="AK734" s="604"/>
      <c r="AL734" s="604"/>
      <c r="AM734" s="604"/>
      <c r="AN734" s="604"/>
    </row>
    <row r="735" spans="1:40" ht="15.75" hidden="1" customHeight="1">
      <c r="A735" s="650"/>
      <c r="B735" s="596"/>
      <c r="C735" s="624"/>
      <c r="D735" s="608"/>
      <c r="E735" s="518"/>
      <c r="F735" s="518"/>
      <c r="G735" s="518"/>
      <c r="H735" s="518"/>
      <c r="I735" s="518"/>
      <c r="J735" s="518"/>
      <c r="K735" s="518"/>
      <c r="L735" s="518"/>
      <c r="M735" s="518"/>
      <c r="N735" s="518"/>
      <c r="O735" s="518"/>
      <c r="P735" s="518"/>
      <c r="Q735" s="518"/>
      <c r="R735" s="518"/>
      <c r="S735" s="518"/>
      <c r="T735" s="518"/>
      <c r="U735" s="518"/>
      <c r="V735" s="518"/>
      <c r="W735" s="518"/>
      <c r="X735" s="518"/>
      <c r="Y735" s="518"/>
      <c r="Z735" s="518"/>
      <c r="AA735" s="604"/>
      <c r="AB735" s="604"/>
      <c r="AC735" s="604"/>
      <c r="AD735" s="604"/>
      <c r="AE735" s="604"/>
      <c r="AF735" s="604"/>
      <c r="AG735" s="604"/>
      <c r="AH735" s="604"/>
      <c r="AI735" s="604"/>
      <c r="AJ735" s="604"/>
      <c r="AK735" s="604"/>
      <c r="AL735" s="604"/>
      <c r="AM735" s="604"/>
      <c r="AN735" s="604"/>
    </row>
    <row r="736" spans="1:40" ht="15.75" hidden="1" customHeight="1">
      <c r="A736" s="650">
        <v>45112</v>
      </c>
      <c r="B736" s="596"/>
      <c r="C736" s="653" t="s">
        <v>422</v>
      </c>
      <c r="D736" s="608"/>
      <c r="E736" s="518"/>
      <c r="F736" s="518"/>
      <c r="G736" s="518"/>
      <c r="H736" s="518"/>
      <c r="I736" s="616"/>
      <c r="J736" s="518"/>
      <c r="K736" s="518"/>
      <c r="L736" s="518"/>
      <c r="M736" s="518"/>
      <c r="N736" s="518">
        <v>1932.36</v>
      </c>
      <c r="O736" s="518"/>
      <c r="P736" s="518"/>
      <c r="Q736" s="518"/>
      <c r="R736" s="518"/>
      <c r="S736" s="518"/>
      <c r="T736" s="518"/>
      <c r="U736" s="518"/>
      <c r="V736" s="518"/>
      <c r="W736" s="518"/>
      <c r="X736" s="518"/>
      <c r="Y736" s="518"/>
      <c r="Z736" s="518"/>
      <c r="AA736" s="604"/>
      <c r="AB736" s="604"/>
      <c r="AC736" s="604"/>
      <c r="AD736" s="604"/>
      <c r="AE736" s="604"/>
      <c r="AF736" s="604"/>
      <c r="AG736" s="604"/>
      <c r="AH736" s="604"/>
      <c r="AI736" s="604"/>
      <c r="AJ736" s="604"/>
      <c r="AK736" s="604"/>
      <c r="AL736" s="604"/>
      <c r="AM736" s="604"/>
      <c r="AN736" s="604"/>
    </row>
    <row r="737" spans="1:40" ht="15.75" hidden="1" customHeight="1">
      <c r="A737" s="650">
        <v>45113</v>
      </c>
      <c r="B737" s="624" t="s">
        <v>423</v>
      </c>
      <c r="C737" s="653" t="s">
        <v>424</v>
      </c>
      <c r="D737" s="608">
        <v>3100</v>
      </c>
      <c r="E737" s="518"/>
      <c r="F737" s="518"/>
      <c r="G737" s="518"/>
      <c r="H737" s="518"/>
      <c r="I737" s="518"/>
      <c r="J737" s="518"/>
      <c r="K737" s="518"/>
      <c r="L737" s="518"/>
      <c r="M737" s="518"/>
      <c r="N737" s="518"/>
      <c r="O737" s="518"/>
      <c r="P737" s="518"/>
      <c r="Q737" s="518"/>
      <c r="R737" s="518"/>
      <c r="S737" s="518"/>
      <c r="T737" s="518"/>
      <c r="U737" s="518"/>
      <c r="V737" s="518"/>
      <c r="W737" s="518"/>
      <c r="X737" s="518"/>
      <c r="Y737" s="518"/>
      <c r="Z737" s="518"/>
      <c r="AA737" s="604"/>
      <c r="AB737" s="604"/>
      <c r="AC737" s="604"/>
      <c r="AD737" s="604"/>
      <c r="AE737" s="604"/>
      <c r="AF737" s="604"/>
      <c r="AG737" s="604"/>
      <c r="AH737" s="604"/>
      <c r="AI737" s="604"/>
      <c r="AJ737" s="604"/>
      <c r="AK737" s="604"/>
      <c r="AL737" s="604"/>
      <c r="AM737" s="604"/>
      <c r="AN737" s="604"/>
    </row>
    <row r="738" spans="1:40" ht="15.75" hidden="1" customHeight="1">
      <c r="A738" s="650">
        <v>45114</v>
      </c>
      <c r="B738" s="596"/>
      <c r="C738" s="653" t="s">
        <v>425</v>
      </c>
      <c r="D738" s="608"/>
      <c r="E738" s="518"/>
      <c r="F738" s="518"/>
      <c r="G738" s="518"/>
      <c r="H738" s="518"/>
      <c r="I738" s="518"/>
      <c r="J738" s="518"/>
      <c r="K738" s="518"/>
      <c r="L738" s="518"/>
      <c r="M738" s="518">
        <v>43.2</v>
      </c>
      <c r="N738" s="518"/>
      <c r="O738" s="518"/>
      <c r="P738" s="518"/>
      <c r="Q738" s="518"/>
      <c r="R738" s="518"/>
      <c r="S738" s="518"/>
      <c r="T738" s="518"/>
      <c r="U738" s="518"/>
      <c r="V738" s="518"/>
      <c r="W738" s="518"/>
      <c r="X738" s="518"/>
      <c r="Y738" s="518"/>
      <c r="Z738" s="518"/>
      <c r="AA738" s="604"/>
      <c r="AB738" s="604"/>
      <c r="AC738" s="604"/>
      <c r="AD738" s="604"/>
      <c r="AE738" s="604"/>
      <c r="AF738" s="604"/>
      <c r="AG738" s="604"/>
      <c r="AH738" s="604"/>
      <c r="AI738" s="604"/>
      <c r="AJ738" s="604"/>
      <c r="AK738" s="604"/>
      <c r="AL738" s="604"/>
      <c r="AM738" s="604"/>
      <c r="AN738" s="604"/>
    </row>
    <row r="739" spans="1:40" ht="15.75" hidden="1" customHeight="1">
      <c r="A739" s="650">
        <v>45117</v>
      </c>
      <c r="B739" s="596"/>
      <c r="C739" s="653" t="s">
        <v>426</v>
      </c>
      <c r="D739" s="616"/>
      <c r="E739" s="518"/>
      <c r="F739" s="518"/>
      <c r="G739" s="518"/>
      <c r="H739" s="518"/>
      <c r="I739" s="518"/>
      <c r="J739" s="518"/>
      <c r="K739" s="518">
        <v>36.92</v>
      </c>
      <c r="L739" s="518"/>
      <c r="M739" s="518"/>
      <c r="N739" s="518"/>
      <c r="O739" s="518"/>
      <c r="P739" s="518"/>
      <c r="Q739" s="518"/>
      <c r="R739" s="518"/>
      <c r="S739" s="518"/>
      <c r="T739" s="518"/>
      <c r="U739" s="518"/>
      <c r="V739" s="518"/>
      <c r="W739" s="518"/>
      <c r="X739" s="518"/>
      <c r="Y739" s="518"/>
      <c r="Z739" s="518"/>
      <c r="AA739" s="604"/>
      <c r="AB739" s="604"/>
      <c r="AC739" s="604"/>
      <c r="AD739" s="604"/>
      <c r="AE739" s="604"/>
      <c r="AF739" s="604"/>
      <c r="AG739" s="604"/>
      <c r="AH739" s="604"/>
      <c r="AI739" s="604"/>
      <c r="AJ739" s="604"/>
      <c r="AK739" s="604"/>
      <c r="AL739" s="604"/>
      <c r="AM739" s="604"/>
      <c r="AN739" s="604"/>
    </row>
    <row r="740" spans="1:40" ht="15.75" hidden="1" customHeight="1">
      <c r="A740" s="650">
        <v>45119</v>
      </c>
      <c r="B740" s="596"/>
      <c r="C740" s="653" t="s">
        <v>427</v>
      </c>
      <c r="D740" s="608"/>
      <c r="E740" s="518"/>
      <c r="F740" s="518"/>
      <c r="G740" s="518"/>
      <c r="H740" s="518"/>
      <c r="I740" s="518"/>
      <c r="J740" s="518"/>
      <c r="K740" s="518"/>
      <c r="L740" s="518">
        <v>90.2</v>
      </c>
      <c r="M740" s="518"/>
      <c r="N740" s="518"/>
      <c r="O740" s="518"/>
      <c r="P740" s="518"/>
      <c r="Q740" s="518"/>
      <c r="R740" s="518"/>
      <c r="S740" s="518"/>
      <c r="T740" s="518"/>
      <c r="U740" s="518"/>
      <c r="V740" s="518"/>
      <c r="W740" s="518"/>
      <c r="X740" s="518"/>
      <c r="Y740" s="518"/>
      <c r="Z740" s="518"/>
      <c r="AA740" s="604"/>
      <c r="AB740" s="604"/>
      <c r="AC740" s="604"/>
      <c r="AD740" s="604"/>
      <c r="AE740" s="604"/>
      <c r="AF740" s="604"/>
      <c r="AG740" s="604"/>
      <c r="AH740" s="604"/>
      <c r="AI740" s="604"/>
      <c r="AJ740" s="604"/>
      <c r="AK740" s="604"/>
      <c r="AL740" s="604"/>
      <c r="AM740" s="604"/>
      <c r="AN740" s="604"/>
    </row>
    <row r="741" spans="1:40" ht="15.75" hidden="1" customHeight="1">
      <c r="A741" s="650">
        <v>45121</v>
      </c>
      <c r="B741" s="596"/>
      <c r="C741" s="653" t="s">
        <v>428</v>
      </c>
      <c r="D741" s="608"/>
      <c r="E741" s="518"/>
      <c r="F741" s="518"/>
      <c r="G741" s="518"/>
      <c r="H741" s="518"/>
      <c r="I741" s="518"/>
      <c r="J741" s="518"/>
      <c r="K741" s="518"/>
      <c r="L741" s="518">
        <v>236.07</v>
      </c>
      <c r="M741" s="518"/>
      <c r="N741" s="518"/>
      <c r="O741" s="518"/>
      <c r="P741" s="518"/>
      <c r="Q741" s="518"/>
      <c r="R741" s="518"/>
      <c r="S741" s="518"/>
      <c r="T741" s="518"/>
      <c r="U741" s="518"/>
      <c r="V741" s="518"/>
      <c r="W741" s="518"/>
      <c r="X741" s="518"/>
      <c r="Y741" s="518"/>
      <c r="Z741" s="518"/>
      <c r="AA741" s="604"/>
      <c r="AB741" s="604"/>
      <c r="AC741" s="604"/>
      <c r="AD741" s="604"/>
      <c r="AE741" s="604"/>
      <c r="AF741" s="604"/>
      <c r="AG741" s="604"/>
      <c r="AH741" s="604"/>
      <c r="AI741" s="604"/>
      <c r="AJ741" s="604"/>
      <c r="AK741" s="604"/>
      <c r="AL741" s="604"/>
      <c r="AM741" s="604"/>
      <c r="AN741" s="604"/>
    </row>
    <row r="742" spans="1:40" ht="15.75" hidden="1" customHeight="1">
      <c r="A742" s="650">
        <v>45121</v>
      </c>
      <c r="B742" s="596"/>
      <c r="C742" s="653" t="s">
        <v>429</v>
      </c>
      <c r="D742" s="608"/>
      <c r="E742" s="518"/>
      <c r="F742" s="518"/>
      <c r="G742" s="518"/>
      <c r="H742" s="518"/>
      <c r="I742" s="518"/>
      <c r="J742" s="518"/>
      <c r="K742" s="518"/>
      <c r="L742" s="518">
        <v>136.80000000000001</v>
      </c>
      <c r="M742" s="518"/>
      <c r="N742" s="518"/>
      <c r="O742" s="518"/>
      <c r="P742" s="518"/>
      <c r="Q742" s="518"/>
      <c r="R742" s="518"/>
      <c r="S742" s="518"/>
      <c r="T742" s="518"/>
      <c r="U742" s="518"/>
      <c r="V742" s="518"/>
      <c r="W742" s="518"/>
      <c r="X742" s="518"/>
      <c r="Y742" s="518"/>
      <c r="Z742" s="518"/>
      <c r="AA742" s="604"/>
      <c r="AB742" s="604"/>
      <c r="AC742" s="604"/>
      <c r="AD742" s="604"/>
      <c r="AE742" s="604"/>
      <c r="AF742" s="604"/>
      <c r="AG742" s="604"/>
      <c r="AH742" s="604"/>
      <c r="AI742" s="604"/>
      <c r="AJ742" s="604"/>
      <c r="AK742" s="604"/>
      <c r="AL742" s="604"/>
      <c r="AM742" s="604"/>
      <c r="AN742" s="604"/>
    </row>
    <row r="743" spans="1:40" ht="15.75" hidden="1" customHeight="1">
      <c r="A743" s="650">
        <v>45125</v>
      </c>
      <c r="B743" s="596"/>
      <c r="C743" s="653" t="s">
        <v>426</v>
      </c>
      <c r="D743" s="616"/>
      <c r="E743" s="518"/>
      <c r="F743" s="518"/>
      <c r="G743" s="518"/>
      <c r="H743" s="518"/>
      <c r="I743" s="518"/>
      <c r="J743" s="518"/>
      <c r="K743" s="518">
        <v>35.81</v>
      </c>
      <c r="L743" s="518"/>
      <c r="M743" s="518"/>
      <c r="N743" s="518"/>
      <c r="O743" s="518"/>
      <c r="P743" s="518"/>
      <c r="Q743" s="518"/>
      <c r="R743" s="518"/>
      <c r="S743" s="518"/>
      <c r="T743" s="518"/>
      <c r="U743" s="518"/>
      <c r="V743" s="518"/>
      <c r="W743" s="518"/>
      <c r="X743" s="518"/>
      <c r="Y743" s="518"/>
      <c r="Z743" s="518"/>
      <c r="AA743" s="604"/>
      <c r="AB743" s="604"/>
      <c r="AC743" s="604"/>
      <c r="AD743" s="604"/>
      <c r="AE743" s="604"/>
      <c r="AF743" s="604"/>
      <c r="AG743" s="604"/>
      <c r="AH743" s="604"/>
      <c r="AI743" s="604"/>
      <c r="AJ743" s="604"/>
      <c r="AK743" s="604"/>
      <c r="AL743" s="604"/>
      <c r="AM743" s="604"/>
      <c r="AN743" s="604"/>
    </row>
    <row r="744" spans="1:40" ht="15.75" hidden="1" customHeight="1">
      <c r="A744" s="650">
        <v>45129</v>
      </c>
      <c r="B744" s="624"/>
      <c r="C744" s="624" t="s">
        <v>430</v>
      </c>
      <c r="D744" s="608"/>
      <c r="E744" s="518"/>
      <c r="F744" s="518"/>
      <c r="G744" s="518"/>
      <c r="H744" s="518"/>
      <c r="I744" s="518"/>
      <c r="J744" s="518"/>
      <c r="K744" s="518"/>
      <c r="L744" s="518"/>
      <c r="M744" s="518"/>
      <c r="N744" s="518"/>
      <c r="O744" s="518"/>
      <c r="P744" s="518"/>
      <c r="Q744" s="518"/>
      <c r="R744" s="518">
        <v>1320.6</v>
      </c>
      <c r="S744" s="518"/>
      <c r="T744" s="518"/>
      <c r="U744" s="518"/>
      <c r="V744" s="518"/>
      <c r="W744" s="518"/>
      <c r="X744" s="518"/>
      <c r="Y744" s="518"/>
      <c r="Z744" s="518"/>
      <c r="AA744" s="604"/>
      <c r="AB744" s="604"/>
      <c r="AC744" s="604"/>
      <c r="AD744" s="604"/>
      <c r="AE744" s="604"/>
      <c r="AF744" s="604"/>
      <c r="AG744" s="604"/>
      <c r="AH744" s="604"/>
      <c r="AI744" s="604"/>
      <c r="AJ744" s="604"/>
      <c r="AK744" s="604"/>
      <c r="AL744" s="604"/>
      <c r="AM744" s="604"/>
      <c r="AN744" s="604"/>
    </row>
    <row r="745" spans="1:40" ht="15.75" hidden="1" customHeight="1">
      <c r="A745" s="650">
        <v>45129</v>
      </c>
      <c r="B745" s="596"/>
      <c r="C745" s="656" t="s">
        <v>2216</v>
      </c>
      <c r="D745" s="608"/>
      <c r="E745" s="518"/>
      <c r="F745" s="518"/>
      <c r="G745" s="518"/>
      <c r="H745" s="518"/>
      <c r="I745" s="518"/>
      <c r="J745" s="518"/>
      <c r="K745" s="518"/>
      <c r="L745" s="518"/>
      <c r="M745" s="518"/>
      <c r="N745" s="518"/>
      <c r="O745" s="518">
        <v>9.2100000000000009</v>
      </c>
      <c r="P745" s="518"/>
      <c r="Q745" s="518"/>
      <c r="R745" s="518"/>
      <c r="S745" s="518"/>
      <c r="T745" s="518"/>
      <c r="U745" s="518"/>
      <c r="V745" s="518"/>
      <c r="W745" s="518"/>
      <c r="X745" s="518"/>
      <c r="Y745" s="518"/>
      <c r="Z745" s="518"/>
      <c r="AA745" s="604"/>
      <c r="AB745" s="604"/>
      <c r="AC745" s="604"/>
      <c r="AD745" s="604"/>
      <c r="AE745" s="604"/>
      <c r="AF745" s="604"/>
      <c r="AG745" s="604"/>
      <c r="AH745" s="604"/>
      <c r="AI745" s="604"/>
      <c r="AJ745" s="604"/>
      <c r="AK745" s="604"/>
      <c r="AL745" s="604"/>
      <c r="AM745" s="604"/>
      <c r="AN745" s="604"/>
    </row>
    <row r="746" spans="1:40" ht="15.75" hidden="1" customHeight="1">
      <c r="A746" s="650">
        <v>45130</v>
      </c>
      <c r="B746" s="596"/>
      <c r="C746" s="653" t="s">
        <v>431</v>
      </c>
      <c r="D746" s="608"/>
      <c r="E746" s="518"/>
      <c r="F746" s="518"/>
      <c r="G746" s="518"/>
      <c r="H746" s="518"/>
      <c r="I746" s="518"/>
      <c r="J746" s="518"/>
      <c r="K746" s="518"/>
      <c r="L746" s="518"/>
      <c r="M746" s="518">
        <v>22.65</v>
      </c>
      <c r="N746" s="518"/>
      <c r="O746" s="518"/>
      <c r="P746" s="518"/>
      <c r="Q746" s="518"/>
      <c r="R746" s="518"/>
      <c r="S746" s="518"/>
      <c r="T746" s="518"/>
      <c r="U746" s="518"/>
      <c r="V746" s="518"/>
      <c r="W746" s="518"/>
      <c r="X746" s="518"/>
      <c r="Y746" s="518"/>
      <c r="Z746" s="518"/>
      <c r="AA746" s="604"/>
      <c r="AB746" s="604"/>
      <c r="AC746" s="604"/>
      <c r="AD746" s="604"/>
      <c r="AE746" s="604"/>
      <c r="AF746" s="604"/>
      <c r="AG746" s="604"/>
      <c r="AH746" s="604"/>
      <c r="AI746" s="604"/>
      <c r="AJ746" s="604"/>
      <c r="AK746" s="604"/>
      <c r="AL746" s="604"/>
      <c r="AM746" s="604"/>
      <c r="AN746" s="604"/>
    </row>
    <row r="747" spans="1:40" ht="15.75" hidden="1" customHeight="1">
      <c r="A747" s="650">
        <v>45133</v>
      </c>
      <c r="B747" s="596"/>
      <c r="C747" s="653" t="s">
        <v>425</v>
      </c>
      <c r="D747" s="608"/>
      <c r="E747" s="518"/>
      <c r="F747" s="518"/>
      <c r="G747" s="518"/>
      <c r="H747" s="518"/>
      <c r="I747" s="518"/>
      <c r="J747" s="518"/>
      <c r="K747" s="518"/>
      <c r="L747" s="518"/>
      <c r="M747" s="518">
        <v>130.65</v>
      </c>
      <c r="N747" s="518"/>
      <c r="O747" s="518"/>
      <c r="P747" s="518"/>
      <c r="Q747" s="518"/>
      <c r="R747" s="518"/>
      <c r="S747" s="518"/>
      <c r="T747" s="518"/>
      <c r="U747" s="518"/>
      <c r="V747" s="518"/>
      <c r="W747" s="518"/>
      <c r="X747" s="518"/>
      <c r="Y747" s="518"/>
      <c r="Z747" s="518"/>
      <c r="AA747" s="604"/>
      <c r="AB747" s="604"/>
      <c r="AC747" s="604"/>
      <c r="AD747" s="604"/>
      <c r="AE747" s="604"/>
      <c r="AF747" s="604"/>
      <c r="AG747" s="604"/>
      <c r="AH747" s="604"/>
      <c r="AI747" s="604"/>
      <c r="AJ747" s="604"/>
      <c r="AK747" s="604"/>
      <c r="AL747" s="604"/>
      <c r="AM747" s="604"/>
      <c r="AN747" s="604"/>
    </row>
    <row r="748" spans="1:40" ht="15.75" hidden="1" customHeight="1">
      <c r="A748" s="650">
        <v>45134</v>
      </c>
      <c r="B748" s="624" t="s">
        <v>432</v>
      </c>
      <c r="C748" s="653" t="s">
        <v>433</v>
      </c>
      <c r="D748" s="608">
        <v>1250</v>
      </c>
      <c r="E748" s="518"/>
      <c r="F748" s="518"/>
      <c r="G748" s="518"/>
      <c r="H748" s="518"/>
      <c r="I748" s="518"/>
      <c r="J748" s="518"/>
      <c r="K748" s="518"/>
      <c r="L748" s="518"/>
      <c r="M748" s="518"/>
      <c r="N748" s="518"/>
      <c r="O748" s="518"/>
      <c r="P748" s="518"/>
      <c r="Q748" s="518"/>
      <c r="R748" s="518"/>
      <c r="S748" s="518"/>
      <c r="T748" s="518"/>
      <c r="U748" s="518"/>
      <c r="V748" s="518"/>
      <c r="W748" s="518"/>
      <c r="X748" s="518"/>
      <c r="Y748" s="518"/>
      <c r="Z748" s="518"/>
      <c r="AA748" s="604"/>
      <c r="AB748" s="604"/>
      <c r="AC748" s="604"/>
      <c r="AD748" s="604"/>
      <c r="AE748" s="604"/>
      <c r="AF748" s="604"/>
      <c r="AG748" s="604"/>
      <c r="AH748" s="604"/>
      <c r="AI748" s="604"/>
      <c r="AJ748" s="604"/>
      <c r="AK748" s="604"/>
      <c r="AL748" s="604"/>
      <c r="AM748" s="604"/>
      <c r="AN748" s="604"/>
    </row>
    <row r="749" spans="1:40" ht="15.75" hidden="1" customHeight="1">
      <c r="A749" s="650">
        <v>45134</v>
      </c>
      <c r="B749" s="596"/>
      <c r="C749" s="653" t="s">
        <v>426</v>
      </c>
      <c r="D749" s="616"/>
      <c r="E749" s="518"/>
      <c r="F749" s="518"/>
      <c r="G749" s="518"/>
      <c r="H749" s="518"/>
      <c r="I749" s="518"/>
      <c r="J749" s="518"/>
      <c r="K749" s="518">
        <v>36.700000000000003</v>
      </c>
      <c r="L749" s="518"/>
      <c r="M749" s="518"/>
      <c r="N749" s="518"/>
      <c r="O749" s="518"/>
      <c r="P749" s="518"/>
      <c r="Q749" s="518"/>
      <c r="R749" s="518"/>
      <c r="S749" s="518"/>
      <c r="T749" s="518"/>
      <c r="U749" s="518"/>
      <c r="V749" s="518"/>
      <c r="W749" s="518"/>
      <c r="X749" s="518"/>
      <c r="Y749" s="518"/>
      <c r="Z749" s="518"/>
      <c r="AA749" s="604"/>
      <c r="AB749" s="604"/>
      <c r="AC749" s="604"/>
      <c r="AD749" s="604"/>
      <c r="AE749" s="604"/>
      <c r="AF749" s="604"/>
      <c r="AG749" s="604"/>
      <c r="AH749" s="604"/>
      <c r="AI749" s="604"/>
      <c r="AJ749" s="604"/>
      <c r="AK749" s="604"/>
      <c r="AL749" s="604"/>
      <c r="AM749" s="604"/>
      <c r="AN749" s="604"/>
    </row>
    <row r="750" spans="1:40" ht="15.75" hidden="1" customHeight="1">
      <c r="A750" s="650">
        <v>45135</v>
      </c>
      <c r="B750" s="624" t="s">
        <v>434</v>
      </c>
      <c r="C750" s="653" t="s">
        <v>200</v>
      </c>
      <c r="D750" s="608">
        <v>760</v>
      </c>
      <c r="E750" s="518"/>
      <c r="F750" s="518"/>
      <c r="G750" s="518"/>
      <c r="H750" s="518"/>
      <c r="I750" s="518"/>
      <c r="J750" s="518"/>
      <c r="K750" s="518"/>
      <c r="L750" s="518"/>
      <c r="M750" s="518"/>
      <c r="N750" s="518"/>
      <c r="O750" s="518"/>
      <c r="P750" s="518"/>
      <c r="Q750" s="518"/>
      <c r="R750" s="518"/>
      <c r="S750" s="518"/>
      <c r="T750" s="518"/>
      <c r="U750" s="518"/>
      <c r="V750" s="518"/>
      <c r="W750" s="518"/>
      <c r="X750" s="518"/>
      <c r="Y750" s="518"/>
      <c r="Z750" s="518"/>
      <c r="AA750" s="604"/>
      <c r="AB750" s="604"/>
      <c r="AC750" s="604"/>
      <c r="AD750" s="604"/>
      <c r="AE750" s="604"/>
      <c r="AF750" s="604"/>
      <c r="AG750" s="604"/>
      <c r="AH750" s="604"/>
      <c r="AI750" s="604"/>
      <c r="AJ750" s="604"/>
      <c r="AK750" s="604"/>
      <c r="AL750" s="604"/>
      <c r="AM750" s="604"/>
      <c r="AN750" s="604"/>
    </row>
    <row r="751" spans="1:40" ht="15.75" hidden="1" customHeight="1">
      <c r="A751" s="650">
        <v>45135</v>
      </c>
      <c r="B751" s="596"/>
      <c r="C751" s="653" t="s">
        <v>425</v>
      </c>
      <c r="D751" s="608"/>
      <c r="E751" s="518"/>
      <c r="F751" s="518"/>
      <c r="G751" s="518"/>
      <c r="H751" s="518"/>
      <c r="I751" s="518"/>
      <c r="J751" s="518"/>
      <c r="K751" s="518"/>
      <c r="L751" s="518"/>
      <c r="M751" s="518">
        <v>28.39</v>
      </c>
      <c r="N751" s="518"/>
      <c r="O751" s="518"/>
      <c r="P751" s="518"/>
      <c r="Q751" s="518"/>
      <c r="R751" s="518"/>
      <c r="S751" s="518"/>
      <c r="T751" s="518"/>
      <c r="U751" s="518"/>
      <c r="V751" s="518"/>
      <c r="W751" s="518"/>
      <c r="X751" s="518"/>
      <c r="Y751" s="518"/>
      <c r="Z751" s="518"/>
      <c r="AA751" s="604"/>
      <c r="AB751" s="604"/>
      <c r="AC751" s="604"/>
      <c r="AD751" s="604"/>
      <c r="AE751" s="604"/>
      <c r="AF751" s="604"/>
      <c r="AG751" s="604"/>
      <c r="AH751" s="604"/>
      <c r="AI751" s="604"/>
      <c r="AJ751" s="604"/>
      <c r="AK751" s="604"/>
      <c r="AL751" s="604"/>
      <c r="AM751" s="604"/>
      <c r="AN751" s="604"/>
    </row>
    <row r="752" spans="1:40" ht="15.75" hidden="1" customHeight="1">
      <c r="A752" s="650">
        <v>45138</v>
      </c>
      <c r="B752" s="624" t="s">
        <v>435</v>
      </c>
      <c r="C752" s="624" t="s">
        <v>436</v>
      </c>
      <c r="D752" s="608"/>
      <c r="E752" s="518">
        <v>4820</v>
      </c>
      <c r="F752" s="518"/>
      <c r="G752" s="518"/>
      <c r="H752" s="518"/>
      <c r="I752" s="518"/>
      <c r="J752" s="518"/>
      <c r="K752" s="518"/>
      <c r="L752" s="518"/>
      <c r="M752" s="518"/>
      <c r="N752" s="518"/>
      <c r="O752" s="518"/>
      <c r="P752" s="518"/>
      <c r="Q752" s="518"/>
      <c r="R752" s="518"/>
      <c r="S752" s="518"/>
      <c r="T752" s="518"/>
      <c r="U752" s="518"/>
      <c r="V752" s="518"/>
      <c r="W752" s="518"/>
      <c r="X752" s="518"/>
      <c r="Y752" s="518"/>
      <c r="Z752" s="518"/>
      <c r="AA752" s="604"/>
      <c r="AB752" s="604"/>
      <c r="AC752" s="604"/>
      <c r="AD752" s="604"/>
      <c r="AE752" s="604"/>
      <c r="AF752" s="604"/>
      <c r="AG752" s="604"/>
      <c r="AH752" s="604"/>
      <c r="AI752" s="604"/>
      <c r="AJ752" s="604"/>
      <c r="AK752" s="604"/>
      <c r="AL752" s="604"/>
      <c r="AM752" s="604"/>
      <c r="AN752" s="604"/>
    </row>
    <row r="753" spans="1:40" ht="15.75" hidden="1" customHeight="1" thickBot="1">
      <c r="A753" s="650"/>
      <c r="B753" s="596"/>
      <c r="C753" s="654"/>
      <c r="D753" s="608"/>
      <c r="E753" s="518"/>
      <c r="F753" s="518"/>
      <c r="G753" s="518"/>
      <c r="H753" s="518"/>
      <c r="I753" s="518"/>
      <c r="J753" s="518"/>
      <c r="K753" s="518"/>
      <c r="L753" s="518"/>
      <c r="M753" s="518"/>
      <c r="N753" s="518"/>
      <c r="O753" s="518"/>
      <c r="P753" s="518"/>
      <c r="Q753" s="518"/>
      <c r="R753" s="518"/>
      <c r="S753" s="518"/>
      <c r="T753" s="518"/>
      <c r="U753" s="518"/>
      <c r="V753" s="518"/>
      <c r="W753" s="518"/>
      <c r="X753" s="518"/>
      <c r="Y753" s="518"/>
      <c r="Z753" s="518"/>
      <c r="AA753" s="604"/>
      <c r="AB753" s="604"/>
      <c r="AC753" s="604"/>
      <c r="AD753" s="604"/>
      <c r="AE753" s="604"/>
      <c r="AF753" s="604"/>
      <c r="AG753" s="604"/>
      <c r="AH753" s="604"/>
      <c r="AI753" s="604"/>
      <c r="AJ753" s="604"/>
      <c r="AK753" s="604"/>
      <c r="AL753" s="604"/>
      <c r="AM753" s="604"/>
      <c r="AN753" s="604"/>
    </row>
    <row r="754" spans="1:40" ht="15.75" hidden="1" customHeight="1" thickTop="1">
      <c r="A754" s="652"/>
      <c r="B754" s="655">
        <v>45139</v>
      </c>
      <c r="C754" s="627"/>
      <c r="D754" s="601"/>
      <c r="E754" s="602"/>
      <c r="F754" s="602"/>
      <c r="G754" s="602"/>
      <c r="H754" s="602"/>
      <c r="I754" s="602"/>
      <c r="J754" s="602"/>
      <c r="K754" s="602"/>
      <c r="L754" s="602"/>
      <c r="M754" s="602"/>
      <c r="N754" s="602"/>
      <c r="O754" s="602"/>
      <c r="P754" s="602"/>
      <c r="Q754" s="602"/>
      <c r="R754" s="602"/>
      <c r="S754" s="602"/>
      <c r="T754" s="602"/>
      <c r="U754" s="602"/>
      <c r="V754" s="602"/>
      <c r="W754" s="602"/>
      <c r="X754" s="602"/>
      <c r="Y754" s="602"/>
      <c r="Z754" s="602"/>
      <c r="AA754" s="604"/>
      <c r="AB754" s="604"/>
      <c r="AC754" s="604"/>
      <c r="AD754" s="604"/>
      <c r="AE754" s="604"/>
      <c r="AF754" s="604"/>
      <c r="AG754" s="604"/>
      <c r="AH754" s="604"/>
      <c r="AI754" s="604"/>
      <c r="AJ754" s="604"/>
      <c r="AK754" s="604"/>
      <c r="AL754" s="604"/>
      <c r="AM754" s="604"/>
      <c r="AN754" s="604"/>
    </row>
    <row r="755" spans="1:40" ht="15.75" hidden="1" customHeight="1">
      <c r="A755" s="650"/>
      <c r="B755" s="596"/>
      <c r="C755" s="624"/>
      <c r="D755" s="608"/>
      <c r="E755" s="518"/>
      <c r="F755" s="518"/>
      <c r="G755" s="518"/>
      <c r="H755" s="518"/>
      <c r="I755" s="518"/>
      <c r="J755" s="518"/>
      <c r="K755" s="518"/>
      <c r="L755" s="518"/>
      <c r="M755" s="518"/>
      <c r="N755" s="518"/>
      <c r="O755" s="518"/>
      <c r="P755" s="518"/>
      <c r="Q755" s="518"/>
      <c r="R755" s="518"/>
      <c r="S755" s="518"/>
      <c r="T755" s="518"/>
      <c r="U755" s="518"/>
      <c r="V755" s="518"/>
      <c r="W755" s="518"/>
      <c r="X755" s="518"/>
      <c r="Y755" s="518"/>
      <c r="Z755" s="518"/>
      <c r="AA755" s="604"/>
      <c r="AB755" s="604"/>
      <c r="AC755" s="604"/>
      <c r="AD755" s="604"/>
      <c r="AE755" s="604"/>
      <c r="AF755" s="604"/>
      <c r="AG755" s="604"/>
      <c r="AH755" s="604"/>
      <c r="AI755" s="604"/>
      <c r="AJ755" s="604"/>
      <c r="AK755" s="604"/>
      <c r="AL755" s="604"/>
      <c r="AM755" s="604"/>
      <c r="AN755" s="604"/>
    </row>
    <row r="756" spans="1:40" ht="15.75" hidden="1" customHeight="1">
      <c r="A756" s="650">
        <v>45139</v>
      </c>
      <c r="B756" s="606"/>
      <c r="C756" s="607" t="s">
        <v>62</v>
      </c>
      <c r="D756" s="608"/>
      <c r="E756" s="518"/>
      <c r="F756" s="518"/>
      <c r="G756" s="608"/>
      <c r="H756" s="518"/>
      <c r="I756" s="518"/>
      <c r="J756" s="518"/>
      <c r="K756" s="518"/>
      <c r="L756" s="518"/>
      <c r="M756" s="518"/>
      <c r="N756" s="518"/>
      <c r="O756" s="518"/>
      <c r="P756" s="518"/>
      <c r="Q756" s="518"/>
      <c r="R756" s="518"/>
      <c r="S756" s="518"/>
      <c r="T756" s="518"/>
      <c r="U756" s="518"/>
      <c r="V756" s="518">
        <v>1036.55</v>
      </c>
      <c r="W756" s="518"/>
      <c r="X756" s="518"/>
      <c r="Y756" s="518"/>
      <c r="Z756" s="518"/>
      <c r="AA756" s="604"/>
      <c r="AB756" s="604"/>
      <c r="AC756" s="604"/>
      <c r="AD756" s="604"/>
      <c r="AE756" s="604"/>
      <c r="AF756" s="604"/>
      <c r="AG756" s="604"/>
      <c r="AH756" s="604"/>
      <c r="AI756" s="604"/>
      <c r="AJ756" s="604"/>
      <c r="AK756" s="604"/>
      <c r="AL756" s="604"/>
      <c r="AM756" s="604"/>
      <c r="AN756" s="604"/>
    </row>
    <row r="757" spans="1:40" ht="15.75" hidden="1" customHeight="1">
      <c r="A757" s="650">
        <v>45139</v>
      </c>
      <c r="B757" s="612"/>
      <c r="C757" s="611" t="s">
        <v>63</v>
      </c>
      <c r="D757" s="608"/>
      <c r="E757" s="518"/>
      <c r="F757" s="518"/>
      <c r="G757" s="608"/>
      <c r="H757" s="518"/>
      <c r="I757" s="518"/>
      <c r="J757" s="518"/>
      <c r="K757" s="518"/>
      <c r="L757" s="518"/>
      <c r="M757" s="518"/>
      <c r="N757" s="518"/>
      <c r="O757" s="518"/>
      <c r="P757" s="518"/>
      <c r="Q757" s="518"/>
      <c r="R757" s="518"/>
      <c r="S757" s="518"/>
      <c r="T757" s="518">
        <v>283.77</v>
      </c>
      <c r="U757" s="518"/>
      <c r="V757" s="518"/>
      <c r="W757" s="518"/>
      <c r="X757" s="518"/>
      <c r="Y757" s="518"/>
      <c r="Z757" s="518"/>
      <c r="AA757" s="604"/>
      <c r="AB757" s="604"/>
      <c r="AC757" s="604"/>
      <c r="AD757" s="604"/>
      <c r="AE757" s="604"/>
      <c r="AF757" s="604"/>
      <c r="AG757" s="604"/>
      <c r="AH757" s="604"/>
      <c r="AI757" s="604"/>
      <c r="AJ757" s="604"/>
      <c r="AK757" s="604"/>
      <c r="AL757" s="604"/>
      <c r="AM757" s="604"/>
      <c r="AN757" s="604"/>
    </row>
    <row r="758" spans="1:40" ht="15.75" hidden="1" customHeight="1">
      <c r="A758" s="650">
        <v>45139</v>
      </c>
      <c r="B758" s="610">
        <f>'Conversion rates'!B23</f>
        <v>1.1640950000000001</v>
      </c>
      <c r="C758" s="611" t="s">
        <v>276</v>
      </c>
      <c r="D758" s="608"/>
      <c r="E758" s="518"/>
      <c r="F758" s="518"/>
      <c r="G758" s="608"/>
      <c r="H758" s="518"/>
      <c r="I758" s="518"/>
      <c r="J758" s="518"/>
      <c r="K758" s="518"/>
      <c r="L758" s="518"/>
      <c r="M758" s="518"/>
      <c r="N758" s="518"/>
      <c r="O758" s="518"/>
      <c r="P758" s="518"/>
      <c r="Q758" s="518"/>
      <c r="R758" s="518"/>
      <c r="S758" s="518"/>
      <c r="T758" s="518">
        <v>80</v>
      </c>
      <c r="U758" s="518"/>
      <c r="V758" s="518"/>
      <c r="W758" s="518"/>
      <c r="X758" s="518"/>
      <c r="Y758" s="518"/>
      <c r="Z758" s="518"/>
      <c r="AA758" s="604"/>
      <c r="AB758" s="604"/>
      <c r="AC758" s="604"/>
      <c r="AD758" s="604"/>
      <c r="AE758" s="604"/>
      <c r="AF758" s="604"/>
      <c r="AG758" s="604"/>
      <c r="AH758" s="604"/>
      <c r="AI758" s="604"/>
      <c r="AJ758" s="604"/>
      <c r="AK758" s="604"/>
      <c r="AL758" s="604"/>
      <c r="AM758" s="604"/>
      <c r="AN758" s="604"/>
    </row>
    <row r="759" spans="1:40" ht="15.75" hidden="1" customHeight="1">
      <c r="A759" s="650">
        <v>45140</v>
      </c>
      <c r="B759" s="612" t="s">
        <v>310</v>
      </c>
      <c r="C759" s="614" t="s">
        <v>437</v>
      </c>
      <c r="D759" s="608"/>
      <c r="E759" s="518"/>
      <c r="F759" s="518"/>
      <c r="G759" s="608"/>
      <c r="H759" s="518"/>
      <c r="I759" s="518"/>
      <c r="J759" s="518"/>
      <c r="K759" s="518"/>
      <c r="L759" s="518"/>
      <c r="M759" s="616"/>
      <c r="N759" s="518">
        <f>800*B758</f>
        <v>931.27600000000007</v>
      </c>
      <c r="O759" s="518"/>
      <c r="P759" s="518"/>
      <c r="Q759" s="518"/>
      <c r="R759" s="518"/>
      <c r="S759" s="518"/>
      <c r="T759" s="518"/>
      <c r="U759" s="518"/>
      <c r="V759" s="518"/>
      <c r="W759" s="518"/>
      <c r="X759" s="518"/>
      <c r="Y759" s="518"/>
      <c r="Z759" s="518"/>
      <c r="AA759" s="604"/>
      <c r="AB759" s="604"/>
      <c r="AC759" s="604"/>
      <c r="AD759" s="604"/>
      <c r="AE759" s="604"/>
      <c r="AF759" s="604"/>
      <c r="AG759" s="604"/>
      <c r="AH759" s="604"/>
      <c r="AI759" s="604"/>
      <c r="AJ759" s="604"/>
      <c r="AK759" s="604"/>
      <c r="AL759" s="604"/>
      <c r="AM759" s="604"/>
      <c r="AN759" s="604"/>
    </row>
    <row r="760" spans="1:40" ht="15.75" hidden="1" customHeight="1">
      <c r="A760" s="650">
        <v>45151</v>
      </c>
      <c r="B760" s="615"/>
      <c r="C760" s="611" t="s">
        <v>320</v>
      </c>
      <c r="D760" s="608"/>
      <c r="E760" s="518"/>
      <c r="F760" s="518"/>
      <c r="G760" s="608"/>
      <c r="H760" s="518"/>
      <c r="I760" s="518"/>
      <c r="J760" s="518"/>
      <c r="K760" s="518">
        <v>36.97</v>
      </c>
      <c r="L760" s="518"/>
      <c r="M760" s="518"/>
      <c r="N760" s="518"/>
      <c r="O760" s="518"/>
      <c r="P760" s="518"/>
      <c r="Q760" s="518"/>
      <c r="R760" s="518"/>
      <c r="S760" s="518"/>
      <c r="T760" s="518"/>
      <c r="U760" s="518"/>
      <c r="V760" s="518"/>
      <c r="W760" s="518"/>
      <c r="X760" s="518"/>
      <c r="Y760" s="518"/>
      <c r="Z760" s="518"/>
      <c r="AA760" s="604"/>
      <c r="AB760" s="604"/>
      <c r="AC760" s="604"/>
      <c r="AD760" s="604"/>
      <c r="AE760" s="604"/>
      <c r="AF760" s="604"/>
      <c r="AG760" s="604"/>
      <c r="AH760" s="604"/>
      <c r="AI760" s="604"/>
      <c r="AJ760" s="604"/>
      <c r="AK760" s="604"/>
      <c r="AL760" s="604"/>
      <c r="AM760" s="604"/>
      <c r="AN760" s="604"/>
    </row>
    <row r="761" spans="1:40" ht="15.75" hidden="1" customHeight="1">
      <c r="A761" s="650">
        <v>45153</v>
      </c>
      <c r="B761" s="612"/>
      <c r="C761" s="611" t="s">
        <v>420</v>
      </c>
      <c r="D761" s="608"/>
      <c r="E761" s="518"/>
      <c r="F761" s="518"/>
      <c r="G761" s="608"/>
      <c r="H761" s="518"/>
      <c r="I761" s="518"/>
      <c r="J761" s="518"/>
      <c r="K761" s="518"/>
      <c r="L761" s="518"/>
      <c r="M761" s="518"/>
      <c r="N761" s="518"/>
      <c r="O761" s="518"/>
      <c r="P761" s="518"/>
      <c r="Q761" s="518"/>
      <c r="R761" s="518"/>
      <c r="S761" s="518"/>
      <c r="T761" s="518">
        <v>18</v>
      </c>
      <c r="U761" s="518"/>
      <c r="V761" s="518"/>
      <c r="W761" s="518"/>
      <c r="X761" s="518"/>
      <c r="Y761" s="518"/>
      <c r="Z761" s="518"/>
      <c r="AA761" s="604"/>
      <c r="AB761" s="604"/>
      <c r="AC761" s="604"/>
      <c r="AD761" s="604"/>
      <c r="AE761" s="604"/>
      <c r="AF761" s="604"/>
      <c r="AG761" s="604"/>
      <c r="AH761" s="604"/>
      <c r="AI761" s="604"/>
      <c r="AJ761" s="604"/>
      <c r="AK761" s="604"/>
      <c r="AL761" s="604"/>
      <c r="AM761" s="604"/>
      <c r="AN761" s="604"/>
    </row>
    <row r="762" spans="1:40" ht="15.75" hidden="1" customHeight="1">
      <c r="A762" s="650">
        <v>45153</v>
      </c>
      <c r="B762" s="615"/>
      <c r="C762" s="614" t="s">
        <v>421</v>
      </c>
      <c r="D762" s="608"/>
      <c r="E762" s="518"/>
      <c r="F762" s="518"/>
      <c r="G762" s="608"/>
      <c r="H762" s="518"/>
      <c r="I762" s="518"/>
      <c r="J762" s="518"/>
      <c r="K762" s="518"/>
      <c r="L762" s="518"/>
      <c r="M762" s="518">
        <v>49</v>
      </c>
      <c r="N762" s="518"/>
      <c r="O762" s="518"/>
      <c r="P762" s="518"/>
      <c r="Q762" s="518"/>
      <c r="R762" s="518"/>
      <c r="S762" s="518"/>
      <c r="T762" s="518"/>
      <c r="U762" s="518"/>
      <c r="V762" s="518"/>
      <c r="W762" s="518"/>
      <c r="X762" s="518"/>
      <c r="Y762" s="518"/>
      <c r="Z762" s="518"/>
      <c r="AA762" s="604"/>
      <c r="AB762" s="604"/>
      <c r="AC762" s="604"/>
      <c r="AD762" s="604"/>
      <c r="AE762" s="604"/>
      <c r="AF762" s="604"/>
      <c r="AG762" s="604"/>
      <c r="AH762" s="604"/>
      <c r="AI762" s="604"/>
      <c r="AJ762" s="604"/>
      <c r="AK762" s="604"/>
      <c r="AL762" s="604"/>
      <c r="AM762" s="604"/>
      <c r="AN762" s="604"/>
    </row>
    <row r="763" spans="1:40" ht="15.75" hidden="1" customHeight="1">
      <c r="A763" s="650">
        <v>45153</v>
      </c>
      <c r="B763" s="613"/>
      <c r="C763" s="611" t="s">
        <v>168</v>
      </c>
      <c r="D763" s="608"/>
      <c r="E763" s="518"/>
      <c r="F763" s="518"/>
      <c r="G763" s="608"/>
      <c r="H763" s="518"/>
      <c r="I763" s="518"/>
      <c r="J763" s="518"/>
      <c r="K763" s="518"/>
      <c r="L763" s="518"/>
      <c r="M763" s="518"/>
      <c r="N763" s="518"/>
      <c r="O763" s="518"/>
      <c r="P763" s="518"/>
      <c r="Q763" s="518"/>
      <c r="R763" s="518"/>
      <c r="S763" s="518"/>
      <c r="T763" s="518">
        <v>1608.68</v>
      </c>
      <c r="U763" s="518"/>
      <c r="V763" s="518"/>
      <c r="W763" s="518"/>
      <c r="X763" s="518"/>
      <c r="Y763" s="518"/>
      <c r="Z763" s="518"/>
      <c r="AA763" s="604"/>
      <c r="AB763" s="604"/>
      <c r="AC763" s="604"/>
      <c r="AD763" s="604"/>
      <c r="AE763" s="604"/>
      <c r="AF763" s="604"/>
      <c r="AG763" s="604"/>
      <c r="AH763" s="604"/>
      <c r="AI763" s="604"/>
      <c r="AJ763" s="604"/>
      <c r="AK763" s="604"/>
      <c r="AL763" s="604"/>
      <c r="AM763" s="604"/>
      <c r="AN763" s="604"/>
    </row>
    <row r="764" spans="1:40" ht="15.75" hidden="1" customHeight="1">
      <c r="A764" s="650">
        <v>45153</v>
      </c>
      <c r="B764" s="615"/>
      <c r="C764" s="611" t="s">
        <v>341</v>
      </c>
      <c r="D764" s="608"/>
      <c r="E764" s="518"/>
      <c r="F764" s="518"/>
      <c r="G764" s="608"/>
      <c r="H764" s="518">
        <v>850.25</v>
      </c>
      <c r="I764" s="518"/>
      <c r="J764" s="518"/>
      <c r="K764" s="518"/>
      <c r="L764" s="518"/>
      <c r="M764" s="518"/>
      <c r="N764" s="518"/>
      <c r="O764" s="518"/>
      <c r="P764" s="518"/>
      <c r="Q764" s="518"/>
      <c r="R764" s="518"/>
      <c r="S764" s="518"/>
      <c r="T764" s="518"/>
      <c r="U764" s="518"/>
      <c r="V764" s="518"/>
      <c r="W764" s="518"/>
      <c r="X764" s="518"/>
      <c r="Y764" s="518"/>
      <c r="Z764" s="518"/>
      <c r="AA764" s="604"/>
      <c r="AB764" s="604"/>
      <c r="AC764" s="604"/>
      <c r="AD764" s="604"/>
      <c r="AE764" s="604"/>
      <c r="AF764" s="604"/>
      <c r="AG764" s="604"/>
      <c r="AH764" s="604"/>
      <c r="AI764" s="604"/>
      <c r="AJ764" s="604"/>
      <c r="AK764" s="604"/>
      <c r="AL764" s="604"/>
      <c r="AM764" s="604"/>
      <c r="AN764" s="604"/>
    </row>
    <row r="765" spans="1:40" ht="15.75" hidden="1" customHeight="1">
      <c r="A765" s="650">
        <v>45154</v>
      </c>
      <c r="B765" s="612"/>
      <c r="C765" s="611" t="s">
        <v>438</v>
      </c>
      <c r="D765" s="608"/>
      <c r="E765" s="518"/>
      <c r="F765" s="518"/>
      <c r="G765" s="608"/>
      <c r="H765" s="518"/>
      <c r="I765" s="518"/>
      <c r="J765" s="518"/>
      <c r="K765" s="518"/>
      <c r="L765" s="518"/>
      <c r="M765" s="518"/>
      <c r="N765" s="518"/>
      <c r="O765" s="518"/>
      <c r="P765" s="518"/>
      <c r="Q765" s="518"/>
      <c r="R765" s="518"/>
      <c r="S765" s="518"/>
      <c r="T765" s="518">
        <v>20.52</v>
      </c>
      <c r="U765" s="518"/>
      <c r="V765" s="518"/>
      <c r="W765" s="518"/>
      <c r="X765" s="518"/>
      <c r="Y765" s="518"/>
      <c r="Z765" s="518"/>
      <c r="AA765" s="604"/>
      <c r="AB765" s="604"/>
      <c r="AC765" s="604"/>
      <c r="AD765" s="604"/>
      <c r="AE765" s="604"/>
      <c r="AF765" s="604"/>
      <c r="AG765" s="604"/>
      <c r="AH765" s="604"/>
      <c r="AI765" s="604"/>
      <c r="AJ765" s="604"/>
      <c r="AK765" s="604"/>
      <c r="AL765" s="604"/>
      <c r="AM765" s="604"/>
      <c r="AN765" s="604"/>
    </row>
    <row r="766" spans="1:40" ht="15.75" hidden="1" customHeight="1">
      <c r="A766" s="650">
        <v>45155</v>
      </c>
      <c r="B766" s="613"/>
      <c r="C766" s="611" t="s">
        <v>111</v>
      </c>
      <c r="D766" s="608"/>
      <c r="E766" s="518"/>
      <c r="F766" s="518"/>
      <c r="G766" s="608"/>
      <c r="H766" s="518"/>
      <c r="I766" s="518"/>
      <c r="J766" s="518"/>
      <c r="K766" s="518">
        <v>34.99</v>
      </c>
      <c r="L766" s="518"/>
      <c r="M766" s="518"/>
      <c r="N766" s="518"/>
      <c r="O766" s="518"/>
      <c r="P766" s="518"/>
      <c r="Q766" s="518"/>
      <c r="R766" s="518"/>
      <c r="S766" s="518"/>
      <c r="T766" s="518">
        <v>19.98</v>
      </c>
      <c r="U766" s="518"/>
      <c r="V766" s="518"/>
      <c r="W766" s="518"/>
      <c r="X766" s="518"/>
      <c r="Y766" s="518"/>
      <c r="Z766" s="518"/>
      <c r="AA766" s="604"/>
      <c r="AB766" s="604"/>
      <c r="AC766" s="604"/>
      <c r="AD766" s="604"/>
      <c r="AE766" s="604"/>
      <c r="AF766" s="604"/>
      <c r="AG766" s="604"/>
      <c r="AH766" s="604"/>
      <c r="AI766" s="604"/>
      <c r="AJ766" s="604"/>
      <c r="AK766" s="604"/>
      <c r="AL766" s="604"/>
      <c r="AM766" s="604"/>
      <c r="AN766" s="604"/>
    </row>
    <row r="767" spans="1:40" ht="15.75" hidden="1" customHeight="1">
      <c r="A767" s="650">
        <v>45155</v>
      </c>
      <c r="B767" s="612"/>
      <c r="C767" s="611" t="s">
        <v>439</v>
      </c>
      <c r="D767" s="608"/>
      <c r="E767" s="518"/>
      <c r="F767" s="518">
        <v>600</v>
      </c>
      <c r="G767" s="608"/>
      <c r="H767" s="518"/>
      <c r="I767" s="518"/>
      <c r="J767" s="518"/>
      <c r="K767" s="518"/>
      <c r="L767" s="518"/>
      <c r="M767" s="518"/>
      <c r="N767" s="518"/>
      <c r="O767" s="518"/>
      <c r="P767" s="518"/>
      <c r="Q767" s="518"/>
      <c r="R767" s="518"/>
      <c r="S767" s="518"/>
      <c r="T767" s="518"/>
      <c r="U767" s="518"/>
      <c r="V767" s="518"/>
      <c r="W767" s="518"/>
      <c r="X767" s="518"/>
      <c r="Y767" s="518"/>
      <c r="Z767" s="518"/>
      <c r="AA767" s="604"/>
      <c r="AB767" s="604"/>
      <c r="AC767" s="604"/>
      <c r="AD767" s="604"/>
      <c r="AE767" s="604"/>
      <c r="AF767" s="604"/>
      <c r="AG767" s="604"/>
      <c r="AH767" s="604"/>
      <c r="AI767" s="604"/>
      <c r="AJ767" s="604"/>
      <c r="AK767" s="604"/>
      <c r="AL767" s="604"/>
      <c r="AM767" s="604"/>
      <c r="AN767" s="604"/>
    </row>
    <row r="768" spans="1:40" ht="15.75" hidden="1" customHeight="1">
      <c r="A768" s="650">
        <v>45159</v>
      </c>
      <c r="B768" s="613"/>
      <c r="C768" s="611" t="s">
        <v>78</v>
      </c>
      <c r="D768" s="608"/>
      <c r="E768" s="518"/>
      <c r="F768" s="518"/>
      <c r="G768" s="608"/>
      <c r="H768" s="518"/>
      <c r="I768" s="518"/>
      <c r="J768" s="518">
        <v>21.78</v>
      </c>
      <c r="K768" s="518"/>
      <c r="L768" s="518"/>
      <c r="M768" s="518"/>
      <c r="N768" s="518"/>
      <c r="O768" s="518"/>
      <c r="P768" s="518"/>
      <c r="Q768" s="518"/>
      <c r="R768" s="518"/>
      <c r="S768" s="518"/>
      <c r="T768" s="518"/>
      <c r="U768" s="518"/>
      <c r="V768" s="518"/>
      <c r="W768" s="518"/>
      <c r="X768" s="518"/>
      <c r="Y768" s="518"/>
      <c r="Z768" s="518"/>
      <c r="AA768" s="604"/>
      <c r="AB768" s="604"/>
      <c r="AC768" s="604"/>
      <c r="AD768" s="604"/>
      <c r="AE768" s="604"/>
      <c r="AF768" s="604"/>
      <c r="AG768" s="604"/>
      <c r="AH768" s="604"/>
      <c r="AI768" s="604"/>
      <c r="AJ768" s="604"/>
      <c r="AK768" s="604"/>
      <c r="AL768" s="604"/>
      <c r="AM768" s="604"/>
      <c r="AN768" s="604"/>
    </row>
    <row r="769" spans="1:40" ht="15.75" hidden="1" customHeight="1">
      <c r="A769" s="650">
        <v>45160</v>
      </c>
      <c r="B769" s="615"/>
      <c r="C769" s="614" t="s">
        <v>385</v>
      </c>
      <c r="D769" s="608"/>
      <c r="E769" s="518"/>
      <c r="F769" s="518"/>
      <c r="G769" s="608"/>
      <c r="H769" s="518"/>
      <c r="I769" s="518"/>
      <c r="J769" s="518"/>
      <c r="K769" s="518"/>
      <c r="L769" s="518"/>
      <c r="M769" s="518"/>
      <c r="N769" s="518"/>
      <c r="O769" s="518"/>
      <c r="P769" s="518"/>
      <c r="Q769" s="518"/>
      <c r="R769" s="518"/>
      <c r="S769" s="518">
        <v>11.5</v>
      </c>
      <c r="T769" s="518"/>
      <c r="U769" s="518"/>
      <c r="V769" s="518"/>
      <c r="W769" s="518"/>
      <c r="X769" s="518"/>
      <c r="Y769" s="518"/>
      <c r="Z769" s="518"/>
      <c r="AA769" s="604"/>
      <c r="AB769" s="604"/>
      <c r="AC769" s="604"/>
      <c r="AD769" s="604"/>
      <c r="AE769" s="604"/>
      <c r="AF769" s="604"/>
      <c r="AG769" s="604"/>
      <c r="AH769" s="604"/>
      <c r="AI769" s="604"/>
      <c r="AJ769" s="604"/>
      <c r="AK769" s="604"/>
      <c r="AL769" s="604"/>
      <c r="AM769" s="604"/>
      <c r="AN769" s="604"/>
    </row>
    <row r="770" spans="1:40" ht="15.75" hidden="1" customHeight="1">
      <c r="A770" s="650">
        <v>45161</v>
      </c>
      <c r="B770" s="615"/>
      <c r="C770" s="611" t="s">
        <v>364</v>
      </c>
      <c r="D770" s="608"/>
      <c r="E770" s="518"/>
      <c r="F770" s="518"/>
      <c r="G770" s="608"/>
      <c r="H770" s="518"/>
      <c r="I770" s="518"/>
      <c r="J770" s="518"/>
      <c r="K770" s="518">
        <v>11.78</v>
      </c>
      <c r="L770" s="518"/>
      <c r="M770" s="518"/>
      <c r="N770" s="518"/>
      <c r="O770" s="518"/>
      <c r="P770" s="518"/>
      <c r="Q770" s="518"/>
      <c r="R770" s="518"/>
      <c r="S770" s="518"/>
      <c r="T770" s="518"/>
      <c r="U770" s="518"/>
      <c r="V770" s="518"/>
      <c r="W770" s="518"/>
      <c r="X770" s="518"/>
      <c r="Y770" s="518"/>
      <c r="Z770" s="518"/>
      <c r="AA770" s="604"/>
      <c r="AB770" s="604"/>
      <c r="AC770" s="604"/>
      <c r="AD770" s="604"/>
      <c r="AE770" s="604"/>
      <c r="AF770" s="604"/>
      <c r="AG770" s="604"/>
      <c r="AH770" s="604"/>
      <c r="AI770" s="604"/>
      <c r="AJ770" s="604"/>
      <c r="AK770" s="604"/>
      <c r="AL770" s="604"/>
      <c r="AM770" s="604"/>
      <c r="AN770" s="604"/>
    </row>
    <row r="771" spans="1:40" ht="15.75" hidden="1" customHeight="1">
      <c r="A771" s="650">
        <v>45168</v>
      </c>
      <c r="B771" s="612"/>
      <c r="C771" s="611" t="s">
        <v>366</v>
      </c>
      <c r="D771" s="608"/>
      <c r="E771" s="518"/>
      <c r="F771" s="518"/>
      <c r="G771" s="608"/>
      <c r="H771" s="518"/>
      <c r="I771" s="518"/>
      <c r="J771" s="518"/>
      <c r="K771" s="518"/>
      <c r="L771" s="518"/>
      <c r="M771" s="518"/>
      <c r="N771" s="518"/>
      <c r="O771" s="518"/>
      <c r="P771" s="518"/>
      <c r="Q771" s="518"/>
      <c r="R771" s="518"/>
      <c r="S771" s="518">
        <v>13.47</v>
      </c>
      <c r="T771" s="518"/>
      <c r="U771" s="518"/>
      <c r="V771" s="518"/>
      <c r="W771" s="518"/>
      <c r="X771" s="518"/>
      <c r="Y771" s="518"/>
      <c r="Z771" s="518"/>
      <c r="AA771" s="604"/>
      <c r="AB771" s="604"/>
      <c r="AC771" s="604"/>
      <c r="AD771" s="604"/>
      <c r="AE771" s="604"/>
      <c r="AF771" s="604"/>
      <c r="AG771" s="604"/>
      <c r="AH771" s="604"/>
      <c r="AI771" s="604"/>
      <c r="AJ771" s="604"/>
      <c r="AK771" s="604"/>
      <c r="AL771" s="604"/>
      <c r="AM771" s="604"/>
      <c r="AN771" s="604"/>
    </row>
    <row r="772" spans="1:40" ht="15.75" hidden="1" customHeight="1">
      <c r="A772" s="650">
        <v>45169</v>
      </c>
      <c r="B772" s="615"/>
      <c r="C772" s="614" t="s">
        <v>260</v>
      </c>
      <c r="D772" s="608"/>
      <c r="E772" s="518">
        <v>605.5</v>
      </c>
      <c r="F772" s="518"/>
      <c r="G772" s="608"/>
      <c r="H772" s="518"/>
      <c r="I772" s="518"/>
      <c r="J772" s="518"/>
      <c r="K772" s="518"/>
      <c r="L772" s="518"/>
      <c r="M772" s="518"/>
      <c r="N772" s="518"/>
      <c r="O772" s="518"/>
      <c r="P772" s="518"/>
      <c r="Q772" s="518"/>
      <c r="R772" s="518"/>
      <c r="S772" s="518"/>
      <c r="T772" s="518"/>
      <c r="U772" s="518"/>
      <c r="V772" s="518"/>
      <c r="W772" s="518"/>
      <c r="X772" s="518"/>
      <c r="Y772" s="518"/>
      <c r="Z772" s="518"/>
      <c r="AA772" s="604"/>
      <c r="AB772" s="604"/>
      <c r="AC772" s="604"/>
      <c r="AD772" s="604"/>
      <c r="AE772" s="604"/>
      <c r="AF772" s="604"/>
      <c r="AG772" s="604"/>
      <c r="AH772" s="604"/>
      <c r="AI772" s="604"/>
      <c r="AJ772" s="604"/>
      <c r="AK772" s="604"/>
      <c r="AL772" s="604"/>
      <c r="AM772" s="604"/>
      <c r="AN772" s="604"/>
    </row>
    <row r="773" spans="1:40" ht="15.75" hidden="1" customHeight="1">
      <c r="A773" s="650"/>
      <c r="B773" s="620"/>
      <c r="C773" s="621"/>
      <c r="D773" s="622"/>
      <c r="E773" s="623"/>
      <c r="F773" s="623"/>
      <c r="G773" s="623"/>
      <c r="H773" s="623"/>
      <c r="I773" s="623"/>
      <c r="J773" s="623"/>
      <c r="K773" s="623"/>
      <c r="L773" s="623"/>
      <c r="M773" s="623"/>
      <c r="N773" s="623"/>
      <c r="O773" s="623"/>
      <c r="P773" s="623"/>
      <c r="Q773" s="623"/>
      <c r="R773" s="623"/>
      <c r="S773" s="623"/>
      <c r="T773" s="623"/>
      <c r="U773" s="623"/>
      <c r="V773" s="623"/>
      <c r="W773" s="623"/>
      <c r="X773" s="623"/>
      <c r="Y773" s="623"/>
      <c r="Z773" s="623"/>
      <c r="AA773" s="604"/>
      <c r="AB773" s="604"/>
      <c r="AC773" s="604"/>
      <c r="AD773" s="604"/>
      <c r="AE773" s="604"/>
      <c r="AF773" s="604"/>
      <c r="AG773" s="604"/>
      <c r="AH773" s="604"/>
      <c r="AI773" s="604"/>
      <c r="AJ773" s="604"/>
      <c r="AK773" s="604"/>
      <c r="AL773" s="604"/>
      <c r="AM773" s="604"/>
      <c r="AN773" s="604"/>
    </row>
    <row r="774" spans="1:40" ht="15.75" hidden="1" customHeight="1">
      <c r="A774" s="650"/>
      <c r="B774" s="596"/>
      <c r="C774" s="624"/>
      <c r="D774" s="608"/>
      <c r="E774" s="518"/>
      <c r="F774" s="518"/>
      <c r="G774" s="518"/>
      <c r="H774" s="518"/>
      <c r="I774" s="518"/>
      <c r="J774" s="518"/>
      <c r="K774" s="518"/>
      <c r="L774" s="518"/>
      <c r="M774" s="518"/>
      <c r="N774" s="518"/>
      <c r="O774" s="518"/>
      <c r="P774" s="518"/>
      <c r="Q774" s="518"/>
      <c r="R774" s="518"/>
      <c r="S774" s="518"/>
      <c r="T774" s="518"/>
      <c r="U774" s="518"/>
      <c r="V774" s="518"/>
      <c r="W774" s="518"/>
      <c r="X774" s="518"/>
      <c r="Y774" s="518"/>
      <c r="Z774" s="518"/>
      <c r="AA774" s="604"/>
      <c r="AB774" s="604"/>
      <c r="AC774" s="604"/>
      <c r="AD774" s="604"/>
      <c r="AE774" s="604"/>
      <c r="AF774" s="604"/>
      <c r="AG774" s="604"/>
      <c r="AH774" s="604"/>
      <c r="AI774" s="604"/>
      <c r="AJ774" s="604"/>
      <c r="AK774" s="604"/>
      <c r="AL774" s="604"/>
      <c r="AM774" s="604"/>
      <c r="AN774" s="604"/>
    </row>
    <row r="775" spans="1:40" ht="15.75" hidden="1" customHeight="1">
      <c r="A775" s="650">
        <v>45139</v>
      </c>
      <c r="B775" s="596"/>
      <c r="C775" s="653" t="s">
        <v>440</v>
      </c>
      <c r="D775" s="608"/>
      <c r="E775" s="518"/>
      <c r="F775" s="518"/>
      <c r="G775" s="518"/>
      <c r="H775" s="518"/>
      <c r="I775" s="518"/>
      <c r="J775" s="518"/>
      <c r="K775" s="518"/>
      <c r="L775" s="518">
        <v>35</v>
      </c>
      <c r="M775" s="518"/>
      <c r="N775" s="518"/>
      <c r="O775" s="518"/>
      <c r="P775" s="518"/>
      <c r="Q775" s="518"/>
      <c r="R775" s="518"/>
      <c r="S775" s="518"/>
      <c r="T775" s="518"/>
      <c r="U775" s="518"/>
      <c r="V775" s="518"/>
      <c r="W775" s="518"/>
      <c r="X775" s="518"/>
      <c r="Y775" s="518"/>
      <c r="Z775" s="518"/>
      <c r="AA775" s="604"/>
      <c r="AB775" s="604"/>
      <c r="AC775" s="604"/>
      <c r="AD775" s="604"/>
      <c r="AE775" s="604"/>
      <c r="AF775" s="604"/>
      <c r="AG775" s="604"/>
      <c r="AH775" s="604"/>
      <c r="AI775" s="604"/>
      <c r="AJ775" s="604"/>
      <c r="AK775" s="604"/>
      <c r="AL775" s="604"/>
      <c r="AM775" s="604"/>
      <c r="AN775" s="604"/>
    </row>
    <row r="776" spans="1:40" ht="15.75" hidden="1" customHeight="1">
      <c r="A776" s="650">
        <v>45141</v>
      </c>
      <c r="B776" s="596"/>
      <c r="C776" s="653" t="s">
        <v>441</v>
      </c>
      <c r="D776" s="608"/>
      <c r="E776" s="518"/>
      <c r="F776" s="518"/>
      <c r="G776" s="518"/>
      <c r="H776" s="518"/>
      <c r="I776" s="518"/>
      <c r="J776" s="518"/>
      <c r="K776" s="518"/>
      <c r="L776" s="518">
        <v>5.62</v>
      </c>
      <c r="M776" s="518"/>
      <c r="N776" s="518"/>
      <c r="O776" s="518"/>
      <c r="P776" s="518"/>
      <c r="Q776" s="518"/>
      <c r="R776" s="518"/>
      <c r="S776" s="518"/>
      <c r="T776" s="518"/>
      <c r="U776" s="518"/>
      <c r="V776" s="518"/>
      <c r="W776" s="518"/>
      <c r="X776" s="518"/>
      <c r="Y776" s="518"/>
      <c r="Z776" s="518"/>
      <c r="AA776" s="604"/>
      <c r="AB776" s="604"/>
      <c r="AC776" s="604"/>
      <c r="AD776" s="604"/>
      <c r="AE776" s="604"/>
      <c r="AF776" s="604"/>
      <c r="AG776" s="604"/>
      <c r="AH776" s="604"/>
      <c r="AI776" s="604"/>
      <c r="AJ776" s="604"/>
      <c r="AK776" s="604"/>
      <c r="AL776" s="604"/>
      <c r="AM776" s="604"/>
      <c r="AN776" s="604"/>
    </row>
    <row r="777" spans="1:40" ht="15.75" hidden="1" customHeight="1">
      <c r="A777" s="650">
        <v>45142</v>
      </c>
      <c r="B777" s="624" t="s">
        <v>442</v>
      </c>
      <c r="C777" s="624" t="s">
        <v>443</v>
      </c>
      <c r="D777" s="608">
        <v>3100</v>
      </c>
      <c r="E777" s="518"/>
      <c r="F777" s="518"/>
      <c r="G777" s="518"/>
      <c r="H777" s="518"/>
      <c r="I777" s="518"/>
      <c r="J777" s="518"/>
      <c r="K777" s="518"/>
      <c r="L777" s="518"/>
      <c r="M777" s="518"/>
      <c r="N777" s="518"/>
      <c r="O777" s="518"/>
      <c r="P777" s="518"/>
      <c r="Q777" s="518"/>
      <c r="R777" s="518"/>
      <c r="S777" s="518"/>
      <c r="T777" s="518"/>
      <c r="U777" s="518"/>
      <c r="V777" s="518"/>
      <c r="W777" s="518"/>
      <c r="X777" s="518"/>
      <c r="Y777" s="518"/>
      <c r="Z777" s="518"/>
      <c r="AA777" s="604"/>
      <c r="AB777" s="604"/>
      <c r="AC777" s="604"/>
      <c r="AD777" s="604"/>
      <c r="AE777" s="604"/>
      <c r="AF777" s="604"/>
      <c r="AG777" s="604"/>
      <c r="AH777" s="604"/>
      <c r="AI777" s="604"/>
      <c r="AJ777" s="604"/>
      <c r="AK777" s="604"/>
      <c r="AL777" s="604"/>
      <c r="AM777" s="604"/>
      <c r="AN777" s="604"/>
    </row>
    <row r="778" spans="1:40" ht="15.75" hidden="1" customHeight="1">
      <c r="A778" s="650">
        <v>45143</v>
      </c>
      <c r="B778" s="596"/>
      <c r="C778" s="653" t="s">
        <v>444</v>
      </c>
      <c r="D778" s="608"/>
      <c r="E778" s="518"/>
      <c r="F778" s="518"/>
      <c r="G778" s="518"/>
      <c r="H778" s="518"/>
      <c r="I778" s="518"/>
      <c r="J778" s="518"/>
      <c r="K778" s="518"/>
      <c r="L778" s="518"/>
      <c r="M778" s="518"/>
      <c r="N778" s="518"/>
      <c r="O778" s="518"/>
      <c r="P778" s="518">
        <v>41.36</v>
      </c>
      <c r="Q778" s="518"/>
      <c r="R778" s="518"/>
      <c r="S778" s="518"/>
      <c r="T778" s="518"/>
      <c r="U778" s="518"/>
      <c r="V778" s="518"/>
      <c r="W778" s="518"/>
      <c r="X778" s="518"/>
      <c r="Y778" s="518"/>
      <c r="Z778" s="518"/>
      <c r="AA778" s="604"/>
      <c r="AB778" s="604"/>
      <c r="AC778" s="604"/>
      <c r="AD778" s="604"/>
      <c r="AE778" s="604"/>
      <c r="AF778" s="604"/>
      <c r="AG778" s="604"/>
      <c r="AH778" s="604"/>
      <c r="AI778" s="604"/>
      <c r="AJ778" s="604"/>
      <c r="AK778" s="604"/>
      <c r="AL778" s="604"/>
      <c r="AM778" s="604"/>
      <c r="AN778" s="604"/>
    </row>
    <row r="779" spans="1:40" ht="15.75" hidden="1" customHeight="1">
      <c r="A779" s="650">
        <v>45143</v>
      </c>
      <c r="B779" s="596"/>
      <c r="C779" s="653" t="s">
        <v>445</v>
      </c>
      <c r="D779" s="608"/>
      <c r="E779" s="518"/>
      <c r="F779" s="518"/>
      <c r="G779" s="518"/>
      <c r="H779" s="518"/>
      <c r="I779" s="518"/>
      <c r="J779" s="518"/>
      <c r="K779" s="518"/>
      <c r="L779" s="518"/>
      <c r="M779" s="518"/>
      <c r="N779" s="518">
        <v>39.119999999999997</v>
      </c>
      <c r="O779" s="518"/>
      <c r="P779" s="518"/>
      <c r="Q779" s="518"/>
      <c r="R779" s="518"/>
      <c r="S779" s="518"/>
      <c r="T779" s="518"/>
      <c r="U779" s="518"/>
      <c r="V779" s="518"/>
      <c r="W779" s="518"/>
      <c r="X779" s="518"/>
      <c r="Y779" s="518"/>
      <c r="Z779" s="518"/>
      <c r="AA779" s="604"/>
      <c r="AB779" s="604"/>
      <c r="AC779" s="604"/>
      <c r="AD779" s="604"/>
      <c r="AE779" s="604"/>
      <c r="AF779" s="604"/>
      <c r="AG779" s="604"/>
      <c r="AH779" s="604"/>
      <c r="AI779" s="604"/>
      <c r="AJ779" s="604"/>
      <c r="AK779" s="604"/>
      <c r="AL779" s="604"/>
      <c r="AM779" s="604"/>
      <c r="AN779" s="604"/>
    </row>
    <row r="780" spans="1:40" ht="15.75" hidden="1" customHeight="1">
      <c r="A780" s="650">
        <v>45151</v>
      </c>
      <c r="B780" s="596"/>
      <c r="C780" s="653" t="s">
        <v>446</v>
      </c>
      <c r="D780" s="608"/>
      <c r="E780" s="518"/>
      <c r="F780" s="518"/>
      <c r="G780" s="518"/>
      <c r="H780" s="518"/>
      <c r="I780" s="518"/>
      <c r="J780" s="518"/>
      <c r="K780" s="518"/>
      <c r="L780" s="518"/>
      <c r="M780" s="518"/>
      <c r="N780" s="518">
        <v>90.66</v>
      </c>
      <c r="O780" s="518"/>
      <c r="P780" s="518"/>
      <c r="Q780" s="518"/>
      <c r="R780" s="518"/>
      <c r="S780" s="518"/>
      <c r="T780" s="518"/>
      <c r="U780" s="518"/>
      <c r="V780" s="518"/>
      <c r="W780" s="518"/>
      <c r="X780" s="518"/>
      <c r="Y780" s="518"/>
      <c r="Z780" s="518"/>
      <c r="AA780" s="604"/>
      <c r="AB780" s="604"/>
      <c r="AC780" s="604"/>
      <c r="AD780" s="604"/>
      <c r="AE780" s="604"/>
      <c r="AF780" s="604"/>
      <c r="AG780" s="604"/>
      <c r="AH780" s="604"/>
      <c r="AI780" s="604"/>
      <c r="AJ780" s="604"/>
      <c r="AK780" s="604"/>
      <c r="AL780" s="604"/>
      <c r="AM780" s="604"/>
      <c r="AN780" s="604"/>
    </row>
    <row r="781" spans="1:40" ht="15.75" hidden="1" customHeight="1">
      <c r="A781" s="650">
        <v>45152</v>
      </c>
      <c r="B781" s="596"/>
      <c r="C781" s="653" t="s">
        <v>447</v>
      </c>
      <c r="D781" s="608"/>
      <c r="E781" s="518"/>
      <c r="F781" s="518"/>
      <c r="G781" s="518"/>
      <c r="H781" s="518"/>
      <c r="I781" s="518"/>
      <c r="J781" s="518"/>
      <c r="K781" s="518"/>
      <c r="L781" s="518"/>
      <c r="M781" s="518"/>
      <c r="N781" s="518"/>
      <c r="O781" s="518">
        <v>157.19999999999999</v>
      </c>
      <c r="P781" s="518"/>
      <c r="Q781" s="518"/>
      <c r="R781" s="518"/>
      <c r="S781" s="518"/>
      <c r="T781" s="518"/>
      <c r="U781" s="518"/>
      <c r="V781" s="518"/>
      <c r="W781" s="518"/>
      <c r="X781" s="518"/>
      <c r="Y781" s="518"/>
      <c r="Z781" s="518"/>
      <c r="AA781" s="604"/>
      <c r="AB781" s="604"/>
      <c r="AC781" s="604"/>
      <c r="AD781" s="604"/>
      <c r="AE781" s="604"/>
      <c r="AF781" s="604"/>
      <c r="AG781" s="604"/>
      <c r="AH781" s="604"/>
      <c r="AI781" s="604"/>
      <c r="AJ781" s="604"/>
      <c r="AK781" s="604"/>
      <c r="AL781" s="604"/>
      <c r="AM781" s="604"/>
      <c r="AN781" s="604"/>
    </row>
    <row r="782" spans="1:40" ht="15.75" hidden="1" customHeight="1">
      <c r="A782" s="650">
        <v>45155</v>
      </c>
      <c r="B782" s="596"/>
      <c r="C782" s="653" t="s">
        <v>448</v>
      </c>
      <c r="D782" s="608"/>
      <c r="E782" s="518"/>
      <c r="F782" s="518"/>
      <c r="G782" s="518"/>
      <c r="H782" s="518"/>
      <c r="I782" s="518"/>
      <c r="J782" s="518"/>
      <c r="K782" s="518"/>
      <c r="L782" s="518">
        <v>12.32</v>
      </c>
      <c r="M782" s="518"/>
      <c r="N782" s="518"/>
      <c r="O782" s="518"/>
      <c r="P782" s="518"/>
      <c r="Q782" s="518"/>
      <c r="R782" s="518"/>
      <c r="S782" s="518"/>
      <c r="T782" s="518"/>
      <c r="U782" s="518"/>
      <c r="V782" s="518"/>
      <c r="W782" s="518"/>
      <c r="X782" s="518"/>
      <c r="Y782" s="518"/>
      <c r="Z782" s="518"/>
      <c r="AA782" s="604"/>
      <c r="AB782" s="604"/>
      <c r="AC782" s="604"/>
      <c r="AD782" s="604"/>
      <c r="AE782" s="604"/>
      <c r="AF782" s="604"/>
      <c r="AG782" s="604"/>
      <c r="AH782" s="604"/>
      <c r="AI782" s="604"/>
      <c r="AJ782" s="604"/>
      <c r="AK782" s="604"/>
      <c r="AL782" s="604"/>
      <c r="AM782" s="604"/>
      <c r="AN782" s="604"/>
    </row>
    <row r="783" spans="1:40" ht="15.75" hidden="1" customHeight="1">
      <c r="A783" s="650">
        <v>45156</v>
      </c>
      <c r="B783" s="596"/>
      <c r="C783" s="653" t="s">
        <v>367</v>
      </c>
      <c r="D783" s="608"/>
      <c r="E783" s="518"/>
      <c r="F783" s="518"/>
      <c r="G783" s="518"/>
      <c r="H783" s="518"/>
      <c r="I783" s="518"/>
      <c r="J783" s="518"/>
      <c r="K783" s="518"/>
      <c r="L783" s="518">
        <v>96.44</v>
      </c>
      <c r="M783" s="518"/>
      <c r="N783" s="518"/>
      <c r="O783" s="518"/>
      <c r="P783" s="518"/>
      <c r="Q783" s="518"/>
      <c r="R783" s="518"/>
      <c r="S783" s="518"/>
      <c r="T783" s="518"/>
      <c r="U783" s="518"/>
      <c r="V783" s="518"/>
      <c r="W783" s="518"/>
      <c r="X783" s="518"/>
      <c r="Y783" s="518"/>
      <c r="Z783" s="518"/>
      <c r="AA783" s="604"/>
      <c r="AB783" s="604"/>
      <c r="AC783" s="604"/>
      <c r="AD783" s="604"/>
      <c r="AE783" s="604"/>
      <c r="AF783" s="604"/>
      <c r="AG783" s="604"/>
      <c r="AH783" s="604"/>
      <c r="AI783" s="604"/>
      <c r="AJ783" s="604"/>
      <c r="AK783" s="604"/>
      <c r="AL783" s="604"/>
      <c r="AM783" s="604"/>
      <c r="AN783" s="604"/>
    </row>
    <row r="784" spans="1:40" ht="15.75" hidden="1" customHeight="1">
      <c r="A784" s="650">
        <v>45159</v>
      </c>
      <c r="B784" s="596"/>
      <c r="C784" s="653" t="s">
        <v>396</v>
      </c>
      <c r="D784" s="608"/>
      <c r="E784" s="518"/>
      <c r="F784" s="518"/>
      <c r="G784" s="518"/>
      <c r="H784" s="518"/>
      <c r="I784" s="518"/>
      <c r="J784" s="518"/>
      <c r="K784" s="518"/>
      <c r="L784" s="518">
        <v>42.43</v>
      </c>
      <c r="M784" s="518"/>
      <c r="N784" s="518"/>
      <c r="O784" s="518"/>
      <c r="P784" s="518"/>
      <c r="Q784" s="518"/>
      <c r="R784" s="518"/>
      <c r="S784" s="518"/>
      <c r="T784" s="518"/>
      <c r="U784" s="518"/>
      <c r="V784" s="518"/>
      <c r="W784" s="518"/>
      <c r="X784" s="518"/>
      <c r="Y784" s="518"/>
      <c r="Z784" s="518"/>
      <c r="AA784" s="604"/>
      <c r="AB784" s="604"/>
      <c r="AC784" s="604"/>
      <c r="AD784" s="604"/>
      <c r="AE784" s="604"/>
      <c r="AF784" s="604"/>
      <c r="AG784" s="604"/>
      <c r="AH784" s="604"/>
      <c r="AI784" s="604"/>
      <c r="AJ784" s="604"/>
      <c r="AK784" s="604"/>
      <c r="AL784" s="604"/>
      <c r="AM784" s="604"/>
      <c r="AN784" s="604"/>
    </row>
    <row r="785" spans="1:40" ht="15.75" hidden="1" customHeight="1">
      <c r="A785" s="650">
        <v>45160</v>
      </c>
      <c r="B785" s="624" t="s">
        <v>449</v>
      </c>
      <c r="C785" s="653" t="s">
        <v>200</v>
      </c>
      <c r="D785" s="608">
        <f>760+2640</f>
        <v>3400</v>
      </c>
      <c r="E785" s="518"/>
      <c r="F785" s="518"/>
      <c r="G785" s="518"/>
      <c r="H785" s="518"/>
      <c r="I785" s="518"/>
      <c r="J785" s="518"/>
      <c r="K785" s="518"/>
      <c r="L785" s="518"/>
      <c r="M785" s="518"/>
      <c r="N785" s="518"/>
      <c r="O785" s="518"/>
      <c r="P785" s="518"/>
      <c r="Q785" s="518"/>
      <c r="R785" s="518"/>
      <c r="S785" s="518"/>
      <c r="T785" s="518"/>
      <c r="U785" s="518"/>
      <c r="V785" s="518"/>
      <c r="W785" s="518"/>
      <c r="X785" s="518"/>
      <c r="Y785" s="518"/>
      <c r="Z785" s="518"/>
      <c r="AA785" s="604"/>
      <c r="AB785" s="604"/>
      <c r="AC785" s="604"/>
      <c r="AD785" s="604"/>
      <c r="AE785" s="604"/>
      <c r="AF785" s="604"/>
      <c r="AG785" s="604"/>
      <c r="AH785" s="604"/>
      <c r="AI785" s="604"/>
      <c r="AJ785" s="604"/>
      <c r="AK785" s="604"/>
      <c r="AL785" s="604"/>
      <c r="AM785" s="604"/>
      <c r="AN785" s="604"/>
    </row>
    <row r="786" spans="1:40" ht="15.75" hidden="1" customHeight="1">
      <c r="A786" s="650">
        <v>45160</v>
      </c>
      <c r="B786" s="596"/>
      <c r="C786" s="657" t="s">
        <v>450</v>
      </c>
      <c r="D786" s="608"/>
      <c r="E786" s="518"/>
      <c r="F786" s="518"/>
      <c r="G786" s="518"/>
      <c r="H786" s="518"/>
      <c r="I786" s="518"/>
      <c r="J786" s="518"/>
      <c r="K786" s="518"/>
      <c r="L786" s="518"/>
      <c r="M786" s="518"/>
      <c r="N786" s="518"/>
      <c r="O786" s="518">
        <v>9.34</v>
      </c>
      <c r="P786" s="518"/>
      <c r="Q786" s="518"/>
      <c r="R786" s="518"/>
      <c r="S786" s="518"/>
      <c r="T786" s="518"/>
      <c r="U786" s="518"/>
      <c r="V786" s="518"/>
      <c r="W786" s="518"/>
      <c r="X786" s="518"/>
      <c r="Y786" s="518"/>
      <c r="Z786" s="518"/>
      <c r="AA786" s="604"/>
      <c r="AB786" s="604"/>
      <c r="AC786" s="604"/>
      <c r="AD786" s="604"/>
      <c r="AE786" s="604"/>
      <c r="AF786" s="604"/>
      <c r="AG786" s="604"/>
      <c r="AH786" s="604"/>
      <c r="AI786" s="604"/>
      <c r="AJ786" s="604"/>
      <c r="AK786" s="604"/>
      <c r="AL786" s="604"/>
      <c r="AM786" s="604"/>
      <c r="AN786" s="604"/>
    </row>
    <row r="787" spans="1:40" ht="15.75" hidden="1" customHeight="1">
      <c r="A787" s="650">
        <v>45168</v>
      </c>
      <c r="B787" s="596"/>
      <c r="C787" s="653" t="s">
        <v>207</v>
      </c>
      <c r="D787" s="608"/>
      <c r="E787" s="518"/>
      <c r="F787" s="518"/>
      <c r="G787" s="518"/>
      <c r="H787" s="518"/>
      <c r="I787" s="518"/>
      <c r="J787" s="518"/>
      <c r="K787" s="518"/>
      <c r="L787" s="518"/>
      <c r="M787" s="518">
        <v>28.32</v>
      </c>
      <c r="N787" s="518"/>
      <c r="O787" s="518"/>
      <c r="P787" s="518"/>
      <c r="Q787" s="518"/>
      <c r="R787" s="518"/>
      <c r="S787" s="518"/>
      <c r="T787" s="518"/>
      <c r="U787" s="518"/>
      <c r="V787" s="518"/>
      <c r="W787" s="518"/>
      <c r="X787" s="518"/>
      <c r="Y787" s="518"/>
      <c r="Z787" s="518"/>
      <c r="AA787" s="604"/>
      <c r="AB787" s="604"/>
      <c r="AC787" s="604"/>
      <c r="AD787" s="604"/>
      <c r="AE787" s="604"/>
      <c r="AF787" s="604"/>
      <c r="AG787" s="604"/>
      <c r="AH787" s="604"/>
      <c r="AI787" s="604"/>
      <c r="AJ787" s="604"/>
      <c r="AK787" s="604"/>
      <c r="AL787" s="604"/>
      <c r="AM787" s="604"/>
      <c r="AN787" s="604"/>
    </row>
    <row r="788" spans="1:40" ht="15.75" hidden="1" customHeight="1">
      <c r="A788" s="650">
        <v>45168</v>
      </c>
      <c r="B788" s="596"/>
      <c r="C788" s="653" t="s">
        <v>207</v>
      </c>
      <c r="D788" s="608"/>
      <c r="E788" s="518"/>
      <c r="F788" s="518"/>
      <c r="G788" s="518"/>
      <c r="H788" s="518"/>
      <c r="I788" s="518"/>
      <c r="J788" s="518"/>
      <c r="K788" s="518"/>
      <c r="L788" s="518"/>
      <c r="M788" s="518">
        <v>28.32</v>
      </c>
      <c r="N788" s="518"/>
      <c r="O788" s="518"/>
      <c r="P788" s="518"/>
      <c r="Q788" s="518"/>
      <c r="R788" s="518"/>
      <c r="S788" s="518"/>
      <c r="T788" s="518"/>
      <c r="U788" s="518"/>
      <c r="V788" s="518"/>
      <c r="W788" s="518"/>
      <c r="X788" s="518"/>
      <c r="Y788" s="518"/>
      <c r="Z788" s="518"/>
      <c r="AA788" s="604"/>
      <c r="AB788" s="604"/>
      <c r="AC788" s="604"/>
      <c r="AD788" s="604"/>
      <c r="AE788" s="604"/>
      <c r="AF788" s="604"/>
      <c r="AG788" s="604"/>
      <c r="AH788" s="604"/>
      <c r="AI788" s="604"/>
      <c r="AJ788" s="604"/>
      <c r="AK788" s="604"/>
      <c r="AL788" s="604"/>
      <c r="AM788" s="604"/>
      <c r="AN788" s="604"/>
    </row>
    <row r="789" spans="1:40" ht="15.75" hidden="1" customHeight="1">
      <c r="A789" s="650"/>
      <c r="B789" s="596"/>
      <c r="C789" s="654"/>
      <c r="D789" s="608"/>
      <c r="E789" s="518"/>
      <c r="F789" s="518"/>
      <c r="G789" s="518"/>
      <c r="H789" s="518"/>
      <c r="I789" s="518"/>
      <c r="J789" s="518"/>
      <c r="K789" s="518"/>
      <c r="L789" s="518"/>
      <c r="M789" s="518"/>
      <c r="N789" s="518"/>
      <c r="O789" s="518"/>
      <c r="P789" s="518"/>
      <c r="Q789" s="518"/>
      <c r="R789" s="518"/>
      <c r="S789" s="518"/>
      <c r="T789" s="518"/>
      <c r="U789" s="518"/>
      <c r="V789" s="518"/>
      <c r="W789" s="518"/>
      <c r="X789" s="518"/>
      <c r="Y789" s="518"/>
      <c r="Z789" s="518"/>
      <c r="AA789" s="604"/>
      <c r="AB789" s="604"/>
      <c r="AC789" s="604"/>
      <c r="AD789" s="604"/>
      <c r="AE789" s="604"/>
      <c r="AF789" s="604"/>
      <c r="AG789" s="604"/>
      <c r="AH789" s="604"/>
      <c r="AI789" s="604"/>
      <c r="AJ789" s="604"/>
      <c r="AK789" s="604"/>
      <c r="AL789" s="604"/>
      <c r="AM789" s="604"/>
      <c r="AN789" s="604"/>
    </row>
    <row r="790" spans="1:40" ht="15.75" hidden="1" customHeight="1" thickBot="1">
      <c r="A790" s="650"/>
      <c r="B790" s="596"/>
      <c r="C790" s="654"/>
      <c r="D790" s="608"/>
      <c r="E790" s="518"/>
      <c r="F790" s="518"/>
      <c r="G790" s="518"/>
      <c r="H790" s="518"/>
      <c r="I790" s="518"/>
      <c r="J790" s="518"/>
      <c r="K790" s="518"/>
      <c r="L790" s="518"/>
      <c r="M790" s="518"/>
      <c r="N790" s="518"/>
      <c r="O790" s="518"/>
      <c r="P790" s="518"/>
      <c r="Q790" s="518"/>
      <c r="R790" s="518"/>
      <c r="S790" s="518"/>
      <c r="T790" s="518"/>
      <c r="U790" s="518"/>
      <c r="V790" s="518"/>
      <c r="W790" s="518"/>
      <c r="X790" s="518"/>
      <c r="Y790" s="518"/>
      <c r="Z790" s="518"/>
      <c r="AA790" s="604"/>
      <c r="AB790" s="604"/>
      <c r="AC790" s="604"/>
      <c r="AD790" s="604"/>
      <c r="AE790" s="604"/>
      <c r="AF790" s="604"/>
      <c r="AG790" s="604"/>
      <c r="AH790" s="604"/>
      <c r="AI790" s="604"/>
      <c r="AJ790" s="604"/>
      <c r="AK790" s="604"/>
      <c r="AL790" s="604"/>
      <c r="AM790" s="604"/>
      <c r="AN790" s="604"/>
    </row>
    <row r="791" spans="1:40" ht="15.75" hidden="1" customHeight="1" thickTop="1">
      <c r="A791" s="652"/>
      <c r="B791" s="655">
        <v>45170</v>
      </c>
      <c r="C791" s="627"/>
      <c r="D791" s="601"/>
      <c r="E791" s="602"/>
      <c r="F791" s="602"/>
      <c r="G791" s="602"/>
      <c r="H791" s="602"/>
      <c r="I791" s="602"/>
      <c r="J791" s="602"/>
      <c r="K791" s="602"/>
      <c r="L791" s="602"/>
      <c r="M791" s="602"/>
      <c r="N791" s="602"/>
      <c r="O791" s="602"/>
      <c r="P791" s="602"/>
      <c r="Q791" s="602"/>
      <c r="R791" s="602"/>
      <c r="S791" s="602"/>
      <c r="T791" s="602"/>
      <c r="U791" s="602"/>
      <c r="V791" s="602"/>
      <c r="W791" s="602"/>
      <c r="X791" s="602"/>
      <c r="Y791" s="602"/>
      <c r="Z791" s="602"/>
      <c r="AA791" s="604"/>
      <c r="AB791" s="604"/>
      <c r="AC791" s="604"/>
      <c r="AD791" s="604"/>
      <c r="AE791" s="604"/>
      <c r="AF791" s="604"/>
      <c r="AG791" s="604"/>
      <c r="AH791" s="604"/>
      <c r="AI791" s="604"/>
      <c r="AJ791" s="604"/>
      <c r="AK791" s="604"/>
      <c r="AL791" s="604"/>
      <c r="AM791" s="604"/>
      <c r="AN791" s="604"/>
    </row>
    <row r="792" spans="1:40" ht="15.75" hidden="1" customHeight="1">
      <c r="A792" s="650"/>
      <c r="B792" s="596"/>
      <c r="C792" s="624"/>
      <c r="D792" s="608"/>
      <c r="E792" s="518"/>
      <c r="F792" s="518"/>
      <c r="G792" s="518"/>
      <c r="H792" s="518"/>
      <c r="I792" s="518"/>
      <c r="J792" s="518"/>
      <c r="K792" s="518"/>
      <c r="L792" s="518"/>
      <c r="M792" s="518"/>
      <c r="N792" s="518"/>
      <c r="O792" s="518"/>
      <c r="P792" s="518"/>
      <c r="Q792" s="518"/>
      <c r="R792" s="518"/>
      <c r="S792" s="518"/>
      <c r="T792" s="518"/>
      <c r="U792" s="518"/>
      <c r="V792" s="518"/>
      <c r="W792" s="518"/>
      <c r="X792" s="518"/>
      <c r="Y792" s="518"/>
      <c r="Z792" s="518"/>
      <c r="AA792" s="604"/>
      <c r="AB792" s="604"/>
      <c r="AC792" s="604"/>
      <c r="AD792" s="604"/>
      <c r="AE792" s="604"/>
      <c r="AF792" s="604"/>
      <c r="AG792" s="604"/>
      <c r="AH792" s="604"/>
      <c r="AI792" s="604"/>
      <c r="AJ792" s="604"/>
      <c r="AK792" s="604"/>
      <c r="AL792" s="604"/>
      <c r="AM792" s="604"/>
      <c r="AN792" s="604"/>
    </row>
    <row r="793" spans="1:40" ht="15.75" hidden="1" customHeight="1">
      <c r="A793" s="650">
        <v>45170</v>
      </c>
      <c r="B793" s="606"/>
      <c r="C793" s="607" t="s">
        <v>62</v>
      </c>
      <c r="D793" s="608"/>
      <c r="E793" s="518"/>
      <c r="F793" s="518"/>
      <c r="G793" s="608"/>
      <c r="H793" s="518"/>
      <c r="I793" s="518"/>
      <c r="J793" s="518"/>
      <c r="K793" s="518"/>
      <c r="L793" s="518"/>
      <c r="M793" s="518"/>
      <c r="N793" s="518"/>
      <c r="O793" s="518"/>
      <c r="P793" s="518"/>
      <c r="Q793" s="518"/>
      <c r="R793" s="518"/>
      <c r="S793" s="518"/>
      <c r="T793" s="518"/>
      <c r="U793" s="518"/>
      <c r="V793" s="518">
        <v>1036.55</v>
      </c>
      <c r="W793" s="518"/>
      <c r="X793" s="518"/>
      <c r="Y793" s="518"/>
      <c r="Z793" s="518"/>
      <c r="AA793" s="604"/>
      <c r="AB793" s="604"/>
      <c r="AC793" s="604"/>
      <c r="AD793" s="604"/>
      <c r="AE793" s="604"/>
      <c r="AF793" s="604"/>
      <c r="AG793" s="604"/>
      <c r="AH793" s="604"/>
      <c r="AI793" s="604"/>
      <c r="AJ793" s="604"/>
      <c r="AK793" s="604"/>
      <c r="AL793" s="604"/>
      <c r="AM793" s="604"/>
      <c r="AN793" s="604"/>
    </row>
    <row r="794" spans="1:40" ht="15.75" hidden="1" customHeight="1">
      <c r="A794" s="650">
        <v>45170</v>
      </c>
      <c r="B794" s="612"/>
      <c r="C794" s="611" t="s">
        <v>63</v>
      </c>
      <c r="D794" s="608"/>
      <c r="E794" s="518"/>
      <c r="F794" s="518"/>
      <c r="G794" s="608"/>
      <c r="H794" s="518"/>
      <c r="I794" s="518"/>
      <c r="J794" s="518"/>
      <c r="K794" s="518"/>
      <c r="L794" s="518"/>
      <c r="M794" s="518"/>
      <c r="N794" s="518"/>
      <c r="O794" s="518"/>
      <c r="P794" s="518"/>
      <c r="Q794" s="518"/>
      <c r="R794" s="518"/>
      <c r="S794" s="518"/>
      <c r="T794" s="518">
        <v>283.77</v>
      </c>
      <c r="U794" s="518"/>
      <c r="V794" s="518"/>
      <c r="W794" s="518"/>
      <c r="X794" s="518"/>
      <c r="Y794" s="518"/>
      <c r="Z794" s="518"/>
      <c r="AA794" s="604"/>
      <c r="AB794" s="604"/>
      <c r="AC794" s="604"/>
      <c r="AD794" s="604"/>
      <c r="AE794" s="604"/>
      <c r="AF794" s="604"/>
      <c r="AG794" s="604"/>
      <c r="AH794" s="604"/>
      <c r="AI794" s="604"/>
      <c r="AJ794" s="604"/>
      <c r="AK794" s="604"/>
      <c r="AL794" s="604"/>
      <c r="AM794" s="604"/>
      <c r="AN794" s="604"/>
    </row>
    <row r="795" spans="1:40" ht="15.75" hidden="1" customHeight="1">
      <c r="A795" s="650">
        <v>45170</v>
      </c>
      <c r="B795" s="612"/>
      <c r="C795" s="611" t="s">
        <v>451</v>
      </c>
      <c r="D795" s="608"/>
      <c r="E795" s="518"/>
      <c r="F795" s="518">
        <v>1305</v>
      </c>
      <c r="G795" s="608"/>
      <c r="H795" s="518"/>
      <c r="I795" s="518"/>
      <c r="J795" s="518"/>
      <c r="K795" s="518"/>
      <c r="L795" s="518"/>
      <c r="M795" s="518"/>
      <c r="N795" s="518"/>
      <c r="O795" s="518"/>
      <c r="P795" s="518"/>
      <c r="Q795" s="518"/>
      <c r="R795" s="518"/>
      <c r="S795" s="518"/>
      <c r="T795" s="518"/>
      <c r="U795" s="518"/>
      <c r="V795" s="518"/>
      <c r="W795" s="518"/>
      <c r="X795" s="518"/>
      <c r="Y795" s="518"/>
      <c r="Z795" s="518"/>
      <c r="AA795" s="604"/>
      <c r="AB795" s="604"/>
      <c r="AC795" s="604"/>
      <c r="AD795" s="604"/>
      <c r="AE795" s="604"/>
      <c r="AF795" s="604"/>
      <c r="AG795" s="604"/>
      <c r="AH795" s="604"/>
      <c r="AI795" s="604"/>
      <c r="AJ795" s="604"/>
      <c r="AK795" s="604"/>
      <c r="AL795" s="604"/>
      <c r="AM795" s="604"/>
      <c r="AN795" s="604"/>
    </row>
    <row r="796" spans="1:40" ht="15.75" hidden="1" customHeight="1">
      <c r="A796" s="650">
        <v>45173</v>
      </c>
      <c r="B796" s="610">
        <f>'Conversion rates'!B24</f>
        <v>1.1599440000000001</v>
      </c>
      <c r="C796" s="611" t="s">
        <v>276</v>
      </c>
      <c r="D796" s="608"/>
      <c r="E796" s="518"/>
      <c r="F796" s="518"/>
      <c r="G796" s="608"/>
      <c r="H796" s="518"/>
      <c r="I796" s="518"/>
      <c r="J796" s="518"/>
      <c r="K796" s="518"/>
      <c r="L796" s="518"/>
      <c r="M796" s="518"/>
      <c r="N796" s="518"/>
      <c r="O796" s="518"/>
      <c r="P796" s="518"/>
      <c r="Q796" s="518"/>
      <c r="R796" s="518"/>
      <c r="S796" s="518"/>
      <c r="T796" s="518">
        <v>80</v>
      </c>
      <c r="U796" s="518"/>
      <c r="V796" s="518"/>
      <c r="W796" s="518"/>
      <c r="X796" s="518"/>
      <c r="Y796" s="518"/>
      <c r="Z796" s="518"/>
      <c r="AA796" s="604"/>
      <c r="AB796" s="604"/>
      <c r="AC796" s="604"/>
      <c r="AD796" s="604"/>
      <c r="AE796" s="604"/>
      <c r="AF796" s="604"/>
      <c r="AG796" s="604"/>
      <c r="AH796" s="604"/>
      <c r="AI796" s="604"/>
      <c r="AJ796" s="604"/>
      <c r="AK796" s="604"/>
      <c r="AL796" s="604"/>
      <c r="AM796" s="604"/>
      <c r="AN796" s="604"/>
    </row>
    <row r="797" spans="1:40" ht="15.75" hidden="1" customHeight="1">
      <c r="A797" s="650">
        <v>45173</v>
      </c>
      <c r="B797" s="612"/>
      <c r="C797" s="611" t="s">
        <v>452</v>
      </c>
      <c r="D797" s="608"/>
      <c r="E797" s="518"/>
      <c r="F797" s="518"/>
      <c r="G797" s="608"/>
      <c r="H797" s="518"/>
      <c r="I797" s="518"/>
      <c r="J797" s="518"/>
      <c r="K797" s="518"/>
      <c r="L797" s="518"/>
      <c r="M797" s="518"/>
      <c r="N797" s="518"/>
      <c r="O797" s="518"/>
      <c r="P797" s="518"/>
      <c r="Q797" s="518"/>
      <c r="R797" s="518"/>
      <c r="S797" s="518"/>
      <c r="T797" s="518">
        <v>120</v>
      </c>
      <c r="U797" s="518"/>
      <c r="V797" s="518"/>
      <c r="W797" s="518"/>
      <c r="X797" s="518"/>
      <c r="Y797" s="518"/>
      <c r="Z797" s="518"/>
      <c r="AA797" s="604"/>
      <c r="AB797" s="604"/>
      <c r="AC797" s="604"/>
      <c r="AD797" s="604"/>
      <c r="AE797" s="604"/>
      <c r="AF797" s="604"/>
      <c r="AG797" s="604"/>
      <c r="AH797" s="604"/>
      <c r="AI797" s="604"/>
      <c r="AJ797" s="604"/>
      <c r="AK797" s="604"/>
      <c r="AL797" s="604"/>
      <c r="AM797" s="604"/>
      <c r="AN797" s="604"/>
    </row>
    <row r="798" spans="1:40" ht="15.75" hidden="1" customHeight="1">
      <c r="A798" s="650">
        <v>45175</v>
      </c>
      <c r="B798" s="615"/>
      <c r="C798" s="611" t="s">
        <v>320</v>
      </c>
      <c r="D798" s="608"/>
      <c r="E798" s="518"/>
      <c r="F798" s="518"/>
      <c r="G798" s="608"/>
      <c r="H798" s="518"/>
      <c r="I798" s="518"/>
      <c r="J798" s="518"/>
      <c r="K798" s="518">
        <v>37.94</v>
      </c>
      <c r="L798" s="518"/>
      <c r="M798" s="518"/>
      <c r="N798" s="518"/>
      <c r="O798" s="518"/>
      <c r="P798" s="518"/>
      <c r="Q798" s="518"/>
      <c r="R798" s="518"/>
      <c r="S798" s="518"/>
      <c r="T798" s="518"/>
      <c r="U798" s="518"/>
      <c r="V798" s="518"/>
      <c r="W798" s="518"/>
      <c r="X798" s="518"/>
      <c r="Y798" s="518"/>
      <c r="Z798" s="518"/>
      <c r="AA798" s="604"/>
      <c r="AB798" s="604"/>
      <c r="AC798" s="604"/>
      <c r="AD798" s="604"/>
      <c r="AE798" s="604"/>
      <c r="AF798" s="604"/>
      <c r="AG798" s="604"/>
      <c r="AH798" s="604"/>
      <c r="AI798" s="604"/>
      <c r="AJ798" s="604"/>
      <c r="AK798" s="604"/>
      <c r="AL798" s="604"/>
      <c r="AM798" s="604"/>
      <c r="AN798" s="604"/>
    </row>
    <row r="799" spans="1:40" ht="15.75" hidden="1" customHeight="1">
      <c r="A799" s="650">
        <v>45177</v>
      </c>
      <c r="B799" s="615"/>
      <c r="C799" s="614" t="s">
        <v>421</v>
      </c>
      <c r="D799" s="608"/>
      <c r="E799" s="518"/>
      <c r="F799" s="518"/>
      <c r="G799" s="608"/>
      <c r="H799" s="518"/>
      <c r="I799" s="518"/>
      <c r="J799" s="518"/>
      <c r="K799" s="518"/>
      <c r="L799" s="518"/>
      <c r="M799" s="518">
        <v>49</v>
      </c>
      <c r="N799" s="518"/>
      <c r="O799" s="518"/>
      <c r="P799" s="518"/>
      <c r="Q799" s="518"/>
      <c r="R799" s="518"/>
      <c r="S799" s="518"/>
      <c r="T799" s="518"/>
      <c r="U799" s="518"/>
      <c r="V799" s="518"/>
      <c r="W799" s="518"/>
      <c r="X799" s="518"/>
      <c r="Y799" s="518"/>
      <c r="Z799" s="518"/>
      <c r="AA799" s="604"/>
      <c r="AB799" s="604"/>
      <c r="AC799" s="604"/>
      <c r="AD799" s="604"/>
      <c r="AE799" s="604"/>
      <c r="AF799" s="604"/>
      <c r="AG799" s="604"/>
      <c r="AH799" s="604"/>
      <c r="AI799" s="604"/>
      <c r="AJ799" s="604"/>
      <c r="AK799" s="604"/>
      <c r="AL799" s="604"/>
      <c r="AM799" s="604"/>
      <c r="AN799" s="604"/>
    </row>
    <row r="800" spans="1:40" ht="15.75" hidden="1" customHeight="1">
      <c r="A800" s="650">
        <v>45184</v>
      </c>
      <c r="B800" s="612"/>
      <c r="C800" s="611" t="s">
        <v>420</v>
      </c>
      <c r="D800" s="608"/>
      <c r="E800" s="518"/>
      <c r="F800" s="518"/>
      <c r="G800" s="608"/>
      <c r="H800" s="518"/>
      <c r="I800" s="518"/>
      <c r="J800" s="518"/>
      <c r="K800" s="518"/>
      <c r="L800" s="518"/>
      <c r="M800" s="518"/>
      <c r="N800" s="518"/>
      <c r="O800" s="518"/>
      <c r="P800" s="518"/>
      <c r="Q800" s="518"/>
      <c r="R800" s="518"/>
      <c r="S800" s="518"/>
      <c r="T800" s="518">
        <v>18</v>
      </c>
      <c r="U800" s="518"/>
      <c r="V800" s="518"/>
      <c r="W800" s="518"/>
      <c r="X800" s="518"/>
      <c r="Y800" s="518"/>
      <c r="Z800" s="518"/>
      <c r="AA800" s="604"/>
      <c r="AB800" s="604"/>
      <c r="AC800" s="604"/>
      <c r="AD800" s="604"/>
      <c r="AE800" s="604"/>
      <c r="AF800" s="604"/>
      <c r="AG800" s="604"/>
      <c r="AH800" s="604"/>
      <c r="AI800" s="604"/>
      <c r="AJ800" s="604"/>
      <c r="AK800" s="604"/>
      <c r="AL800" s="604"/>
      <c r="AM800" s="604"/>
      <c r="AN800" s="604"/>
    </row>
    <row r="801" spans="1:40" ht="15.75" hidden="1" customHeight="1">
      <c r="A801" s="650">
        <v>45184</v>
      </c>
      <c r="B801" s="613"/>
      <c r="C801" s="611" t="s">
        <v>168</v>
      </c>
      <c r="D801" s="608"/>
      <c r="E801" s="518"/>
      <c r="F801" s="518"/>
      <c r="G801" s="608"/>
      <c r="H801" s="518"/>
      <c r="I801" s="518"/>
      <c r="J801" s="518"/>
      <c r="K801" s="518"/>
      <c r="L801" s="518"/>
      <c r="M801" s="518"/>
      <c r="N801" s="518"/>
      <c r="O801" s="518"/>
      <c r="P801" s="518"/>
      <c r="Q801" s="518"/>
      <c r="R801" s="518"/>
      <c r="S801" s="518"/>
      <c r="T801" s="518">
        <v>1608.68</v>
      </c>
      <c r="U801" s="518"/>
      <c r="V801" s="518"/>
      <c r="W801" s="518"/>
      <c r="X801" s="518"/>
      <c r="Y801" s="518"/>
      <c r="Z801" s="518"/>
      <c r="AA801" s="604"/>
      <c r="AB801" s="604"/>
      <c r="AC801" s="604"/>
      <c r="AD801" s="604"/>
      <c r="AE801" s="604"/>
      <c r="AF801" s="604"/>
      <c r="AG801" s="604"/>
      <c r="AH801" s="604"/>
      <c r="AI801" s="604"/>
      <c r="AJ801" s="604"/>
      <c r="AK801" s="604"/>
      <c r="AL801" s="604"/>
      <c r="AM801" s="604"/>
      <c r="AN801" s="604"/>
    </row>
    <row r="802" spans="1:40" ht="15.75" hidden="1" customHeight="1">
      <c r="A802" s="650">
        <v>45184</v>
      </c>
      <c r="B802" s="615"/>
      <c r="C802" s="611" t="s">
        <v>341</v>
      </c>
      <c r="D802" s="608"/>
      <c r="E802" s="518"/>
      <c r="F802" s="518"/>
      <c r="G802" s="608"/>
      <c r="H802" s="518">
        <v>850.25</v>
      </c>
      <c r="I802" s="518"/>
      <c r="J802" s="518"/>
      <c r="K802" s="518"/>
      <c r="L802" s="518"/>
      <c r="M802" s="518"/>
      <c r="N802" s="518"/>
      <c r="O802" s="518"/>
      <c r="P802" s="518"/>
      <c r="Q802" s="518"/>
      <c r="R802" s="518"/>
      <c r="S802" s="518"/>
      <c r="T802" s="518"/>
      <c r="U802" s="518"/>
      <c r="V802" s="518"/>
      <c r="W802" s="518"/>
      <c r="X802" s="518"/>
      <c r="Y802" s="518"/>
      <c r="Z802" s="518"/>
      <c r="AA802" s="604"/>
      <c r="AB802" s="604"/>
      <c r="AC802" s="604"/>
      <c r="AD802" s="604"/>
      <c r="AE802" s="604"/>
      <c r="AF802" s="604"/>
      <c r="AG802" s="604"/>
      <c r="AH802" s="604"/>
      <c r="AI802" s="604"/>
      <c r="AJ802" s="604"/>
      <c r="AK802" s="604"/>
      <c r="AL802" s="604"/>
      <c r="AM802" s="604"/>
      <c r="AN802" s="604"/>
    </row>
    <row r="803" spans="1:40" ht="15.75" hidden="1" customHeight="1">
      <c r="A803" s="650">
        <v>45187</v>
      </c>
      <c r="B803" s="612" t="s">
        <v>310</v>
      </c>
      <c r="C803" s="614" t="s">
        <v>453</v>
      </c>
      <c r="D803" s="608"/>
      <c r="E803" s="518"/>
      <c r="F803" s="518"/>
      <c r="G803" s="608"/>
      <c r="H803" s="518"/>
      <c r="I803" s="518"/>
      <c r="J803" s="518"/>
      <c r="K803" s="518"/>
      <c r="L803" s="518"/>
      <c r="M803" s="616"/>
      <c r="N803" s="518">
        <f>800*B796</f>
        <v>927.9552000000001</v>
      </c>
      <c r="O803" s="518"/>
      <c r="P803" s="518"/>
      <c r="Q803" s="518"/>
      <c r="R803" s="518"/>
      <c r="S803" s="518"/>
      <c r="T803" s="518"/>
      <c r="U803" s="518"/>
      <c r="V803" s="518"/>
      <c r="W803" s="518"/>
      <c r="X803" s="518"/>
      <c r="Y803" s="518"/>
      <c r="Z803" s="518"/>
      <c r="AA803" s="604"/>
      <c r="AB803" s="604"/>
      <c r="AC803" s="604"/>
      <c r="AD803" s="604"/>
      <c r="AE803" s="604"/>
      <c r="AF803" s="604"/>
      <c r="AG803" s="604"/>
      <c r="AH803" s="604"/>
      <c r="AI803" s="604"/>
      <c r="AJ803" s="604"/>
      <c r="AK803" s="604"/>
      <c r="AL803" s="604"/>
      <c r="AM803" s="604"/>
      <c r="AN803" s="604"/>
    </row>
    <row r="804" spans="1:40" ht="15.75" hidden="1" customHeight="1">
      <c r="A804" s="650">
        <v>45188</v>
      </c>
      <c r="B804" s="613"/>
      <c r="C804" s="611" t="s">
        <v>111</v>
      </c>
      <c r="D804" s="608"/>
      <c r="E804" s="518"/>
      <c r="F804" s="518"/>
      <c r="G804" s="608"/>
      <c r="H804" s="518"/>
      <c r="I804" s="518"/>
      <c r="J804" s="518"/>
      <c r="K804" s="518">
        <v>34.99</v>
      </c>
      <c r="L804" s="518"/>
      <c r="M804" s="518"/>
      <c r="N804" s="518"/>
      <c r="O804" s="518"/>
      <c r="P804" s="518"/>
      <c r="Q804" s="518"/>
      <c r="R804" s="518"/>
      <c r="S804" s="518"/>
      <c r="T804" s="518">
        <v>19.98</v>
      </c>
      <c r="U804" s="518"/>
      <c r="V804" s="518"/>
      <c r="W804" s="518"/>
      <c r="X804" s="518"/>
      <c r="Y804" s="518"/>
      <c r="Z804" s="518"/>
      <c r="AA804" s="604"/>
      <c r="AB804" s="604"/>
      <c r="AC804" s="604"/>
      <c r="AD804" s="604"/>
      <c r="AE804" s="604"/>
      <c r="AF804" s="604"/>
      <c r="AG804" s="604"/>
      <c r="AH804" s="604"/>
      <c r="AI804" s="604"/>
      <c r="AJ804" s="604"/>
      <c r="AK804" s="604"/>
      <c r="AL804" s="604"/>
      <c r="AM804" s="604"/>
      <c r="AN804" s="604"/>
    </row>
    <row r="805" spans="1:40" ht="15.75" hidden="1" customHeight="1">
      <c r="A805" s="650">
        <v>45189</v>
      </c>
      <c r="B805" s="613"/>
      <c r="C805" s="611" t="s">
        <v>78</v>
      </c>
      <c r="D805" s="608"/>
      <c r="E805" s="518"/>
      <c r="F805" s="518"/>
      <c r="G805" s="608"/>
      <c r="H805" s="518"/>
      <c r="I805" s="518"/>
      <c r="J805" s="518">
        <v>21.37</v>
      </c>
      <c r="K805" s="518"/>
      <c r="L805" s="518"/>
      <c r="M805" s="518"/>
      <c r="N805" s="518"/>
      <c r="O805" s="518"/>
      <c r="P805" s="518"/>
      <c r="Q805" s="518"/>
      <c r="R805" s="518"/>
      <c r="S805" s="518"/>
      <c r="T805" s="518"/>
      <c r="U805" s="518"/>
      <c r="V805" s="518"/>
      <c r="W805" s="518"/>
      <c r="X805" s="518"/>
      <c r="Y805" s="518"/>
      <c r="Z805" s="518"/>
      <c r="AA805" s="604"/>
      <c r="AB805" s="604"/>
      <c r="AC805" s="604"/>
      <c r="AD805" s="604"/>
      <c r="AE805" s="604"/>
      <c r="AF805" s="604"/>
      <c r="AG805" s="604"/>
      <c r="AH805" s="604"/>
      <c r="AI805" s="604"/>
      <c r="AJ805" s="604"/>
      <c r="AK805" s="604"/>
      <c r="AL805" s="604"/>
      <c r="AM805" s="604"/>
      <c r="AN805" s="604"/>
    </row>
    <row r="806" spans="1:40" ht="15.75" hidden="1" customHeight="1">
      <c r="A806" s="650">
        <v>45192</v>
      </c>
      <c r="B806" s="615"/>
      <c r="C806" s="611" t="s">
        <v>364</v>
      </c>
      <c r="D806" s="608"/>
      <c r="E806" s="518"/>
      <c r="F806" s="518"/>
      <c r="G806" s="608"/>
      <c r="H806" s="518"/>
      <c r="I806" s="518"/>
      <c r="J806" s="518"/>
      <c r="K806" s="518">
        <v>11.55</v>
      </c>
      <c r="L806" s="518"/>
      <c r="M806" s="518"/>
      <c r="N806" s="518"/>
      <c r="O806" s="518"/>
      <c r="P806" s="518"/>
      <c r="Q806" s="518"/>
      <c r="R806" s="518"/>
      <c r="S806" s="518"/>
      <c r="T806" s="518"/>
      <c r="U806" s="518"/>
      <c r="V806" s="518"/>
      <c r="W806" s="518"/>
      <c r="X806" s="518"/>
      <c r="Y806" s="518"/>
      <c r="Z806" s="518"/>
      <c r="AA806" s="604"/>
      <c r="AB806" s="604"/>
      <c r="AC806" s="604"/>
      <c r="AD806" s="604"/>
      <c r="AE806" s="604"/>
      <c r="AF806" s="604"/>
      <c r="AG806" s="604"/>
      <c r="AH806" s="604"/>
      <c r="AI806" s="604"/>
      <c r="AJ806" s="604"/>
      <c r="AK806" s="604"/>
      <c r="AL806" s="604"/>
      <c r="AM806" s="604"/>
      <c r="AN806" s="604"/>
    </row>
    <row r="807" spans="1:40" ht="15.75" hidden="1" customHeight="1">
      <c r="A807" s="650">
        <v>45194</v>
      </c>
      <c r="B807" s="615"/>
      <c r="C807" s="611" t="s">
        <v>344</v>
      </c>
      <c r="D807" s="608"/>
      <c r="E807" s="518"/>
      <c r="F807" s="518"/>
      <c r="G807" s="608"/>
      <c r="H807" s="518"/>
      <c r="I807" s="518"/>
      <c r="J807" s="518"/>
      <c r="K807" s="518"/>
      <c r="L807" s="518"/>
      <c r="M807" s="518"/>
      <c r="N807" s="518"/>
      <c r="O807" s="518"/>
      <c r="P807" s="518"/>
      <c r="Q807" s="518"/>
      <c r="R807" s="518"/>
      <c r="S807" s="518">
        <v>4.42</v>
      </c>
      <c r="T807" s="518"/>
      <c r="U807" s="518"/>
      <c r="V807" s="518"/>
      <c r="W807" s="518"/>
      <c r="X807" s="518"/>
      <c r="Y807" s="518"/>
      <c r="Z807" s="518"/>
      <c r="AA807" s="604"/>
      <c r="AB807" s="604"/>
      <c r="AC807" s="604"/>
      <c r="AD807" s="604"/>
      <c r="AE807" s="604"/>
      <c r="AF807" s="604"/>
      <c r="AG807" s="604"/>
      <c r="AH807" s="604"/>
      <c r="AI807" s="604"/>
      <c r="AJ807" s="604"/>
      <c r="AK807" s="604"/>
      <c r="AL807" s="604"/>
      <c r="AM807" s="604"/>
      <c r="AN807" s="604"/>
    </row>
    <row r="808" spans="1:40" ht="15.75" hidden="1" customHeight="1">
      <c r="A808" s="650">
        <v>45194</v>
      </c>
      <c r="B808" s="612"/>
      <c r="C808" s="611" t="s">
        <v>438</v>
      </c>
      <c r="D808" s="608"/>
      <c r="E808" s="518"/>
      <c r="F808" s="518"/>
      <c r="G808" s="608"/>
      <c r="H808" s="518"/>
      <c r="I808" s="518"/>
      <c r="J808" s="518"/>
      <c r="K808" s="518"/>
      <c r="L808" s="518"/>
      <c r="M808" s="518"/>
      <c r="N808" s="518"/>
      <c r="O808" s="518"/>
      <c r="P808" s="518"/>
      <c r="Q808" s="518"/>
      <c r="R808" s="518"/>
      <c r="S808" s="518"/>
      <c r="T808" s="518">
        <v>20.52</v>
      </c>
      <c r="U808" s="518"/>
      <c r="V808" s="518"/>
      <c r="W808" s="518"/>
      <c r="X808" s="518"/>
      <c r="Y808" s="518"/>
      <c r="Z808" s="518"/>
      <c r="AA808" s="604"/>
      <c r="AB808" s="604"/>
      <c r="AC808" s="604"/>
      <c r="AD808" s="604"/>
      <c r="AE808" s="604"/>
      <c r="AF808" s="604"/>
      <c r="AG808" s="604"/>
      <c r="AH808" s="604"/>
      <c r="AI808" s="604"/>
      <c r="AJ808" s="604"/>
      <c r="AK808" s="604"/>
      <c r="AL808" s="604"/>
      <c r="AM808" s="604"/>
      <c r="AN808" s="604"/>
    </row>
    <row r="809" spans="1:40" ht="15.75" hidden="1" customHeight="1">
      <c r="A809" s="650">
        <v>45194</v>
      </c>
      <c r="B809" s="612"/>
      <c r="C809" s="611" t="s">
        <v>439</v>
      </c>
      <c r="D809" s="608"/>
      <c r="E809" s="518"/>
      <c r="F809" s="518">
        <v>600</v>
      </c>
      <c r="G809" s="608"/>
      <c r="H809" s="518"/>
      <c r="I809" s="518"/>
      <c r="J809" s="518"/>
      <c r="K809" s="518"/>
      <c r="L809" s="518"/>
      <c r="M809" s="518"/>
      <c r="N809" s="518"/>
      <c r="O809" s="518"/>
      <c r="P809" s="518"/>
      <c r="Q809" s="518"/>
      <c r="R809" s="518"/>
      <c r="S809" s="518"/>
      <c r="T809" s="518"/>
      <c r="U809" s="518"/>
      <c r="V809" s="518"/>
      <c r="W809" s="518"/>
      <c r="X809" s="518"/>
      <c r="Y809" s="518"/>
      <c r="Z809" s="518"/>
      <c r="AA809" s="604"/>
      <c r="AB809" s="604"/>
      <c r="AC809" s="604"/>
      <c r="AD809" s="604"/>
      <c r="AE809" s="604"/>
      <c r="AF809" s="604"/>
      <c r="AG809" s="604"/>
      <c r="AH809" s="604"/>
      <c r="AI809" s="604"/>
      <c r="AJ809" s="604"/>
      <c r="AK809" s="604"/>
      <c r="AL809" s="604"/>
      <c r="AM809" s="604"/>
      <c r="AN809" s="604"/>
    </row>
    <row r="810" spans="1:40" ht="15.75" hidden="1" customHeight="1">
      <c r="A810" s="650">
        <v>45198</v>
      </c>
      <c r="B810" s="615"/>
      <c r="C810" s="614" t="s">
        <v>260</v>
      </c>
      <c r="D810" s="608"/>
      <c r="E810" s="518">
        <v>605.5</v>
      </c>
      <c r="F810" s="518"/>
      <c r="G810" s="608"/>
      <c r="H810" s="518"/>
      <c r="I810" s="518"/>
      <c r="J810" s="518"/>
      <c r="K810" s="518"/>
      <c r="L810" s="518"/>
      <c r="M810" s="518"/>
      <c r="N810" s="518"/>
      <c r="O810" s="518"/>
      <c r="P810" s="518"/>
      <c r="Q810" s="518"/>
      <c r="R810" s="518"/>
      <c r="S810" s="518"/>
      <c r="T810" s="518"/>
      <c r="U810" s="518"/>
      <c r="V810" s="518"/>
      <c r="W810" s="518"/>
      <c r="X810" s="518"/>
      <c r="Y810" s="518"/>
      <c r="Z810" s="518"/>
      <c r="AA810" s="604"/>
      <c r="AB810" s="604"/>
      <c r="AC810" s="604"/>
      <c r="AD810" s="604"/>
      <c r="AE810" s="604"/>
      <c r="AF810" s="604"/>
      <c r="AG810" s="604"/>
      <c r="AH810" s="604"/>
      <c r="AI810" s="604"/>
      <c r="AJ810" s="604"/>
      <c r="AK810" s="604"/>
      <c r="AL810" s="604"/>
      <c r="AM810" s="604"/>
      <c r="AN810" s="604"/>
    </row>
    <row r="811" spans="1:40" ht="15.75" hidden="1" customHeight="1">
      <c r="A811" s="650">
        <v>45199</v>
      </c>
      <c r="B811" s="612"/>
      <c r="C811" s="611" t="s">
        <v>320</v>
      </c>
      <c r="D811" s="608"/>
      <c r="E811" s="518"/>
      <c r="F811" s="518"/>
      <c r="G811" s="608"/>
      <c r="H811" s="518"/>
      <c r="I811" s="518"/>
      <c r="J811" s="518"/>
      <c r="K811" s="518">
        <v>37.96</v>
      </c>
      <c r="L811" s="518"/>
      <c r="M811" s="518"/>
      <c r="N811" s="518"/>
      <c r="O811" s="518"/>
      <c r="P811" s="518"/>
      <c r="Q811" s="518"/>
      <c r="R811" s="518"/>
      <c r="S811" s="518"/>
      <c r="T811" s="518"/>
      <c r="U811" s="518"/>
      <c r="V811" s="518"/>
      <c r="W811" s="518"/>
      <c r="X811" s="518"/>
      <c r="Y811" s="518"/>
      <c r="Z811" s="518"/>
      <c r="AA811" s="604"/>
      <c r="AB811" s="604"/>
      <c r="AC811" s="604"/>
      <c r="AD811" s="604"/>
      <c r="AE811" s="604"/>
      <c r="AF811" s="604"/>
      <c r="AG811" s="604"/>
      <c r="AH811" s="604"/>
      <c r="AI811" s="604"/>
      <c r="AJ811" s="604"/>
      <c r="AK811" s="604"/>
      <c r="AL811" s="604"/>
      <c r="AM811" s="604"/>
      <c r="AN811" s="604"/>
    </row>
    <row r="812" spans="1:40" ht="15.75" hidden="1" customHeight="1">
      <c r="A812" s="650">
        <v>45198</v>
      </c>
      <c r="B812" s="612"/>
      <c r="C812" s="611" t="s">
        <v>208</v>
      </c>
      <c r="D812" s="608"/>
      <c r="E812" s="518"/>
      <c r="F812" s="518"/>
      <c r="G812" s="608"/>
      <c r="H812" s="518"/>
      <c r="I812" s="518"/>
      <c r="J812" s="518"/>
      <c r="K812" s="518"/>
      <c r="L812" s="518"/>
      <c r="M812" s="518"/>
      <c r="N812" s="518"/>
      <c r="O812" s="518"/>
      <c r="P812" s="518"/>
      <c r="Q812" s="518"/>
      <c r="R812" s="518"/>
      <c r="S812" s="518">
        <v>4.42</v>
      </c>
      <c r="T812" s="518"/>
      <c r="U812" s="518"/>
      <c r="V812" s="518"/>
      <c r="W812" s="518"/>
      <c r="X812" s="518"/>
      <c r="Y812" s="518"/>
      <c r="Z812" s="518"/>
      <c r="AA812" s="604"/>
      <c r="AB812" s="604"/>
      <c r="AC812" s="604"/>
      <c r="AD812" s="604"/>
      <c r="AE812" s="604"/>
      <c r="AF812" s="604"/>
      <c r="AG812" s="604"/>
      <c r="AH812" s="604"/>
      <c r="AI812" s="604"/>
      <c r="AJ812" s="604"/>
      <c r="AK812" s="604"/>
      <c r="AL812" s="604"/>
      <c r="AM812" s="604"/>
      <c r="AN812" s="604"/>
    </row>
    <row r="813" spans="1:40" ht="15.75" hidden="1" customHeight="1">
      <c r="A813" s="650">
        <v>45198</v>
      </c>
      <c r="B813" s="612"/>
      <c r="C813" s="611" t="s">
        <v>366</v>
      </c>
      <c r="D813" s="608"/>
      <c r="E813" s="518"/>
      <c r="F813" s="518"/>
      <c r="G813" s="518"/>
      <c r="H813" s="518"/>
      <c r="I813" s="518"/>
      <c r="J813" s="518"/>
      <c r="K813" s="518"/>
      <c r="L813" s="518"/>
      <c r="M813" s="518"/>
      <c r="N813" s="518"/>
      <c r="O813" s="518"/>
      <c r="P813" s="518"/>
      <c r="Q813" s="518"/>
      <c r="R813" s="518"/>
      <c r="S813" s="518">
        <v>20.7</v>
      </c>
      <c r="T813" s="518"/>
      <c r="U813" s="518"/>
      <c r="V813" s="518"/>
      <c r="W813" s="518"/>
      <c r="X813" s="518"/>
      <c r="Y813" s="518"/>
      <c r="Z813" s="518"/>
      <c r="AA813" s="604"/>
      <c r="AB813" s="604"/>
      <c r="AC813" s="604"/>
      <c r="AD813" s="604"/>
      <c r="AE813" s="604"/>
      <c r="AF813" s="604"/>
      <c r="AG813" s="604"/>
      <c r="AH813" s="604"/>
      <c r="AI813" s="604"/>
      <c r="AJ813" s="604"/>
      <c r="AK813" s="604"/>
      <c r="AL813" s="604"/>
      <c r="AM813" s="604"/>
      <c r="AN813" s="604"/>
    </row>
    <row r="814" spans="1:40" ht="15.75" hidden="1" customHeight="1">
      <c r="A814" s="650"/>
      <c r="B814" s="620"/>
      <c r="C814" s="621"/>
      <c r="D814" s="622"/>
      <c r="E814" s="623"/>
      <c r="F814" s="623"/>
      <c r="G814" s="623"/>
      <c r="H814" s="623"/>
      <c r="I814" s="623"/>
      <c r="J814" s="623"/>
      <c r="K814" s="623"/>
      <c r="L814" s="623"/>
      <c r="M814" s="623"/>
      <c r="N814" s="623"/>
      <c r="O814" s="623"/>
      <c r="P814" s="623"/>
      <c r="Q814" s="623"/>
      <c r="R814" s="623"/>
      <c r="S814" s="623"/>
      <c r="T814" s="623"/>
      <c r="U814" s="623"/>
      <c r="V814" s="623"/>
      <c r="W814" s="623"/>
      <c r="X814" s="623"/>
      <c r="Y814" s="623"/>
      <c r="Z814" s="623"/>
      <c r="AA814" s="604"/>
      <c r="AB814" s="604"/>
      <c r="AC814" s="604"/>
      <c r="AD814" s="604"/>
      <c r="AE814" s="604"/>
      <c r="AF814" s="604"/>
      <c r="AG814" s="604"/>
      <c r="AH814" s="604"/>
      <c r="AI814" s="604"/>
      <c r="AJ814" s="604"/>
      <c r="AK814" s="604"/>
      <c r="AL814" s="604"/>
      <c r="AM814" s="604"/>
      <c r="AN814" s="604"/>
    </row>
    <row r="815" spans="1:40" ht="15.75" hidden="1" customHeight="1">
      <c r="A815" s="650"/>
      <c r="B815" s="596"/>
      <c r="C815" s="624"/>
      <c r="D815" s="608"/>
      <c r="E815" s="518"/>
      <c r="F815" s="518"/>
      <c r="G815" s="518"/>
      <c r="H815" s="518"/>
      <c r="I815" s="518"/>
      <c r="J815" s="518"/>
      <c r="K815" s="518"/>
      <c r="L815" s="518"/>
      <c r="M815" s="518"/>
      <c r="N815" s="518"/>
      <c r="O815" s="518"/>
      <c r="P815" s="518"/>
      <c r="Q815" s="518"/>
      <c r="R815" s="518"/>
      <c r="S815" s="518"/>
      <c r="T815" s="518"/>
      <c r="U815" s="518"/>
      <c r="V815" s="518"/>
      <c r="W815" s="518"/>
      <c r="X815" s="518"/>
      <c r="Y815" s="518"/>
      <c r="Z815" s="518"/>
      <c r="AA815" s="604"/>
      <c r="AB815" s="604"/>
      <c r="AC815" s="604"/>
      <c r="AD815" s="604"/>
      <c r="AE815" s="604"/>
      <c r="AF815" s="604"/>
      <c r="AG815" s="604"/>
      <c r="AH815" s="604"/>
      <c r="AI815" s="604"/>
      <c r="AJ815" s="604"/>
      <c r="AK815" s="604"/>
      <c r="AL815" s="604"/>
      <c r="AM815" s="604"/>
      <c r="AN815" s="604"/>
    </row>
    <row r="816" spans="1:40" ht="15.75" hidden="1" customHeight="1">
      <c r="A816" s="650">
        <v>45182</v>
      </c>
      <c r="B816" s="624" t="s">
        <v>454</v>
      </c>
      <c r="C816" s="624" t="s">
        <v>455</v>
      </c>
      <c r="D816" s="608">
        <v>1600</v>
      </c>
      <c r="E816" s="518"/>
      <c r="F816" s="518"/>
      <c r="G816" s="518"/>
      <c r="H816" s="518"/>
      <c r="I816" s="518"/>
      <c r="J816" s="518"/>
      <c r="K816" s="518"/>
      <c r="L816" s="518"/>
      <c r="M816" s="518"/>
      <c r="N816" s="518"/>
      <c r="O816" s="518"/>
      <c r="P816" s="518"/>
      <c r="Q816" s="518"/>
      <c r="R816" s="518"/>
      <c r="S816" s="518"/>
      <c r="T816" s="518"/>
      <c r="U816" s="518"/>
      <c r="V816" s="518"/>
      <c r="W816" s="518"/>
      <c r="X816" s="518"/>
      <c r="Y816" s="518"/>
      <c r="Z816" s="518"/>
      <c r="AA816" s="604"/>
      <c r="AB816" s="604"/>
      <c r="AC816" s="604"/>
      <c r="AD816" s="604"/>
      <c r="AE816" s="604"/>
      <c r="AF816" s="604"/>
      <c r="AG816" s="604"/>
      <c r="AH816" s="604"/>
      <c r="AI816" s="604"/>
      <c r="AJ816" s="604"/>
      <c r="AK816" s="604"/>
      <c r="AL816" s="604"/>
      <c r="AM816" s="604"/>
      <c r="AN816" s="604"/>
    </row>
    <row r="817" spans="1:40" ht="15.75" hidden="1" customHeight="1">
      <c r="A817" s="650">
        <v>45183</v>
      </c>
      <c r="B817" s="624" t="s">
        <v>456</v>
      </c>
      <c r="C817" s="624" t="s">
        <v>457</v>
      </c>
      <c r="D817" s="608"/>
      <c r="E817" s="518">
        <v>1260</v>
      </c>
      <c r="F817" s="518"/>
      <c r="G817" s="518"/>
      <c r="H817" s="518"/>
      <c r="I817" s="518"/>
      <c r="J817" s="518"/>
      <c r="K817" s="518"/>
      <c r="L817" s="518"/>
      <c r="M817" s="518"/>
      <c r="N817" s="518"/>
      <c r="O817" s="518"/>
      <c r="P817" s="518"/>
      <c r="Q817" s="518"/>
      <c r="R817" s="518"/>
      <c r="S817" s="518"/>
      <c r="T817" s="518"/>
      <c r="U817" s="518"/>
      <c r="V817" s="518"/>
      <c r="W817" s="518"/>
      <c r="X817" s="518"/>
      <c r="Y817" s="518"/>
      <c r="Z817" s="518"/>
      <c r="AA817" s="604"/>
      <c r="AB817" s="604"/>
      <c r="AC817" s="604"/>
      <c r="AD817" s="604"/>
      <c r="AE817" s="604"/>
      <c r="AF817" s="604"/>
      <c r="AG817" s="604"/>
      <c r="AH817" s="604"/>
      <c r="AI817" s="604"/>
      <c r="AJ817" s="604"/>
      <c r="AK817" s="604"/>
      <c r="AL817" s="604"/>
      <c r="AM817" s="604"/>
      <c r="AN817" s="604"/>
    </row>
    <row r="818" spans="1:40" ht="15.75" hidden="1" customHeight="1">
      <c r="A818" s="650">
        <v>45184</v>
      </c>
      <c r="B818" s="624" t="s">
        <v>458</v>
      </c>
      <c r="C818" s="624" t="s">
        <v>459</v>
      </c>
      <c r="D818" s="608"/>
      <c r="E818" s="518">
        <v>11835.14</v>
      </c>
      <c r="F818" s="518"/>
      <c r="G818" s="518"/>
      <c r="H818" s="518"/>
      <c r="I818" s="518"/>
      <c r="J818" s="518"/>
      <c r="K818" s="518"/>
      <c r="L818" s="518"/>
      <c r="M818" s="518"/>
      <c r="N818" s="518"/>
      <c r="O818" s="518"/>
      <c r="P818" s="518"/>
      <c r="Q818" s="518"/>
      <c r="R818" s="518"/>
      <c r="S818" s="518"/>
      <c r="T818" s="518"/>
      <c r="U818" s="518"/>
      <c r="V818" s="518"/>
      <c r="W818" s="518"/>
      <c r="X818" s="518"/>
      <c r="Y818" s="518"/>
      <c r="Z818" s="518"/>
      <c r="AA818" s="604"/>
      <c r="AB818" s="604"/>
      <c r="AC818" s="604"/>
      <c r="AD818" s="604"/>
      <c r="AE818" s="604"/>
      <c r="AF818" s="604"/>
      <c r="AG818" s="604"/>
      <c r="AH818" s="604"/>
      <c r="AI818" s="604"/>
      <c r="AJ818" s="604"/>
      <c r="AK818" s="604"/>
      <c r="AL818" s="604"/>
      <c r="AM818" s="604"/>
      <c r="AN818" s="604"/>
    </row>
    <row r="819" spans="1:40" ht="15.75" hidden="1" customHeight="1">
      <c r="A819" s="650">
        <v>45184</v>
      </c>
      <c r="B819" s="624" t="s">
        <v>460</v>
      </c>
      <c r="C819" s="658" t="s">
        <v>461</v>
      </c>
      <c r="D819" s="608">
        <f>7242+21984+26718</f>
        <v>55944</v>
      </c>
      <c r="E819" s="518"/>
      <c r="F819" s="616"/>
      <c r="G819" s="616"/>
      <c r="H819" s="616"/>
      <c r="I819" s="616"/>
      <c r="J819" s="518"/>
      <c r="K819" s="518"/>
      <c r="L819" s="518"/>
      <c r="M819" s="518"/>
      <c r="N819" s="518"/>
      <c r="O819" s="518"/>
      <c r="P819" s="518"/>
      <c r="Q819" s="518"/>
      <c r="R819" s="518"/>
      <c r="S819" s="518"/>
      <c r="T819" s="518"/>
      <c r="U819" s="518"/>
      <c r="V819" s="518"/>
      <c r="W819" s="518"/>
      <c r="X819" s="518"/>
      <c r="Y819" s="518"/>
      <c r="Z819" s="518"/>
      <c r="AA819" s="604"/>
      <c r="AB819" s="604"/>
      <c r="AC819" s="604"/>
      <c r="AD819" s="604"/>
      <c r="AE819" s="604"/>
      <c r="AF819" s="604"/>
      <c r="AG819" s="604"/>
      <c r="AH819" s="604"/>
      <c r="AI819" s="604"/>
      <c r="AJ819" s="604"/>
      <c r="AK819" s="604"/>
      <c r="AL819" s="604"/>
      <c r="AM819" s="604"/>
      <c r="AN819" s="604"/>
    </row>
    <row r="820" spans="1:40" ht="15.75" hidden="1" customHeight="1">
      <c r="A820" s="650">
        <v>45187</v>
      </c>
      <c r="B820" s="624"/>
      <c r="C820" s="624" t="s">
        <v>462</v>
      </c>
      <c r="D820" s="608"/>
      <c r="E820" s="518"/>
      <c r="F820" s="518"/>
      <c r="G820" s="518"/>
      <c r="H820" s="518"/>
      <c r="I820" s="518"/>
      <c r="J820" s="518"/>
      <c r="K820" s="518"/>
      <c r="L820" s="518"/>
      <c r="M820" s="518"/>
      <c r="N820" s="518"/>
      <c r="O820" s="518">
        <v>167.49</v>
      </c>
      <c r="P820" s="518"/>
      <c r="Q820" s="518"/>
      <c r="R820" s="518"/>
      <c r="S820" s="518"/>
      <c r="T820" s="518"/>
      <c r="U820" s="518"/>
      <c r="V820" s="518"/>
      <c r="W820" s="518"/>
      <c r="X820" s="518"/>
      <c r="Y820" s="518"/>
      <c r="Z820" s="518"/>
      <c r="AA820" s="604"/>
      <c r="AB820" s="604"/>
      <c r="AC820" s="604"/>
      <c r="AD820" s="604"/>
      <c r="AE820" s="604"/>
      <c r="AF820" s="604"/>
      <c r="AG820" s="604"/>
      <c r="AH820" s="604"/>
      <c r="AI820" s="604"/>
      <c r="AJ820" s="604"/>
      <c r="AK820" s="604"/>
      <c r="AL820" s="604"/>
      <c r="AM820" s="604"/>
      <c r="AN820" s="604"/>
    </row>
    <row r="821" spans="1:40" ht="15.75" hidden="1" customHeight="1">
      <c r="A821" s="650">
        <v>45187</v>
      </c>
      <c r="B821" s="624"/>
      <c r="C821" s="624" t="s">
        <v>463</v>
      </c>
      <c r="D821" s="608"/>
      <c r="E821" s="518"/>
      <c r="F821" s="518"/>
      <c r="G821" s="518"/>
      <c r="H821" s="518"/>
      <c r="I821" s="518"/>
      <c r="J821" s="518"/>
      <c r="K821" s="518"/>
      <c r="L821" s="518">
        <v>188.64</v>
      </c>
      <c r="M821" s="518"/>
      <c r="N821" s="518"/>
      <c r="O821" s="518"/>
      <c r="P821" s="518"/>
      <c r="Q821" s="518"/>
      <c r="R821" s="518"/>
      <c r="S821" s="518"/>
      <c r="T821" s="518"/>
      <c r="U821" s="518"/>
      <c r="V821" s="518"/>
      <c r="W821" s="518"/>
      <c r="X821" s="518"/>
      <c r="Y821" s="518"/>
      <c r="Z821" s="518"/>
      <c r="AA821" s="604"/>
      <c r="AB821" s="604"/>
      <c r="AC821" s="604"/>
      <c r="AD821" s="604"/>
      <c r="AE821" s="604"/>
      <c r="AF821" s="604"/>
      <c r="AG821" s="604"/>
      <c r="AH821" s="604"/>
      <c r="AI821" s="604"/>
      <c r="AJ821" s="604"/>
      <c r="AK821" s="604"/>
      <c r="AL821" s="604"/>
      <c r="AM821" s="604"/>
      <c r="AN821" s="604"/>
    </row>
    <row r="822" spans="1:40" ht="15.75" hidden="1" customHeight="1">
      <c r="A822" s="650">
        <v>45195</v>
      </c>
      <c r="B822" s="596"/>
      <c r="C822" s="653" t="s">
        <v>396</v>
      </c>
      <c r="D822" s="608"/>
      <c r="E822" s="518">
        <v>46.64</v>
      </c>
      <c r="F822" s="518"/>
      <c r="G822" s="518"/>
      <c r="H822" s="518"/>
      <c r="I822" s="518"/>
      <c r="J822" s="518"/>
      <c r="K822" s="518"/>
      <c r="L822" s="518"/>
      <c r="M822" s="518"/>
      <c r="N822" s="518"/>
      <c r="O822" s="518"/>
      <c r="P822" s="518"/>
      <c r="Q822" s="518"/>
      <c r="R822" s="518"/>
      <c r="S822" s="518"/>
      <c r="T822" s="518"/>
      <c r="U822" s="518"/>
      <c r="V822" s="518"/>
      <c r="W822" s="518"/>
      <c r="X822" s="518"/>
      <c r="Y822" s="518"/>
      <c r="Z822" s="518"/>
      <c r="AA822" s="604"/>
      <c r="AB822" s="604"/>
      <c r="AC822" s="604"/>
      <c r="AD822" s="604"/>
      <c r="AE822" s="604"/>
      <c r="AF822" s="604"/>
      <c r="AG822" s="604"/>
      <c r="AH822" s="604"/>
      <c r="AI822" s="604"/>
      <c r="AJ822" s="604"/>
      <c r="AK822" s="604"/>
      <c r="AL822" s="604"/>
      <c r="AM822" s="604"/>
      <c r="AN822" s="604"/>
    </row>
    <row r="823" spans="1:40" ht="15.75" hidden="1" customHeight="1">
      <c r="A823" s="650">
        <v>45191</v>
      </c>
      <c r="B823" s="596"/>
      <c r="C823" s="657" t="s">
        <v>450</v>
      </c>
      <c r="D823" s="608"/>
      <c r="E823" s="518"/>
      <c r="F823" s="518"/>
      <c r="G823" s="518"/>
      <c r="H823" s="518"/>
      <c r="I823" s="518"/>
      <c r="J823" s="518"/>
      <c r="K823" s="518"/>
      <c r="L823" s="518"/>
      <c r="M823" s="518"/>
      <c r="N823" s="518"/>
      <c r="O823" s="518">
        <v>9.34</v>
      </c>
      <c r="P823" s="518"/>
      <c r="Q823" s="518"/>
      <c r="R823" s="518"/>
      <c r="S823" s="518"/>
      <c r="T823" s="518"/>
      <c r="U823" s="518"/>
      <c r="V823" s="518"/>
      <c r="W823" s="518"/>
      <c r="X823" s="518"/>
      <c r="Y823" s="518"/>
      <c r="Z823" s="518"/>
      <c r="AA823" s="604"/>
      <c r="AB823" s="604"/>
      <c r="AC823" s="604"/>
      <c r="AD823" s="604"/>
      <c r="AE823" s="604"/>
      <c r="AF823" s="604"/>
      <c r="AG823" s="604"/>
      <c r="AH823" s="604"/>
      <c r="AI823" s="604"/>
      <c r="AJ823" s="604"/>
      <c r="AK823" s="604"/>
      <c r="AL823" s="604"/>
      <c r="AM823" s="604"/>
      <c r="AN823" s="604"/>
    </row>
    <row r="824" spans="1:40" ht="15.75" hidden="1" customHeight="1">
      <c r="A824" s="650">
        <v>45194</v>
      </c>
      <c r="B824" s="624"/>
      <c r="C824" s="624" t="s">
        <v>82</v>
      </c>
      <c r="D824" s="608"/>
      <c r="E824" s="518"/>
      <c r="F824" s="518"/>
      <c r="G824" s="518"/>
      <c r="H824" s="518"/>
      <c r="I824" s="518"/>
      <c r="J824" s="518"/>
      <c r="K824" s="518"/>
      <c r="L824" s="518">
        <v>146.13999999999999</v>
      </c>
      <c r="M824" s="518"/>
      <c r="N824" s="518"/>
      <c r="O824" s="518"/>
      <c r="P824" s="518"/>
      <c r="Q824" s="518"/>
      <c r="R824" s="518"/>
      <c r="S824" s="518"/>
      <c r="T824" s="518"/>
      <c r="U824" s="518"/>
      <c r="V824" s="518"/>
      <c r="W824" s="518"/>
      <c r="X824" s="518"/>
      <c r="Y824" s="518"/>
      <c r="Z824" s="518"/>
      <c r="AA824" s="604"/>
      <c r="AB824" s="604"/>
      <c r="AC824" s="604"/>
      <c r="AD824" s="604"/>
      <c r="AE824" s="604"/>
      <c r="AF824" s="604"/>
      <c r="AG824" s="604"/>
      <c r="AH824" s="604"/>
      <c r="AI824" s="604"/>
      <c r="AJ824" s="604"/>
      <c r="AK824" s="604"/>
      <c r="AL824" s="604"/>
      <c r="AM824" s="604"/>
      <c r="AN824" s="604"/>
    </row>
    <row r="825" spans="1:40" ht="15.75" hidden="1" customHeight="1">
      <c r="A825" s="650">
        <v>45195</v>
      </c>
      <c r="B825" s="624"/>
      <c r="C825" s="624" t="s">
        <v>463</v>
      </c>
      <c r="D825" s="608"/>
      <c r="E825" s="518"/>
      <c r="F825" s="518"/>
      <c r="G825" s="518"/>
      <c r="H825" s="518"/>
      <c r="I825" s="518"/>
      <c r="J825" s="518"/>
      <c r="K825" s="518"/>
      <c r="L825" s="518">
        <v>46.64</v>
      </c>
      <c r="M825" s="518"/>
      <c r="N825" s="518"/>
      <c r="O825" s="518"/>
      <c r="P825" s="518"/>
      <c r="Q825" s="518"/>
      <c r="R825" s="518"/>
      <c r="S825" s="518"/>
      <c r="T825" s="518"/>
      <c r="U825" s="518"/>
      <c r="V825" s="518"/>
      <c r="W825" s="518"/>
      <c r="X825" s="518"/>
      <c r="Y825" s="518"/>
      <c r="Z825" s="518"/>
      <c r="AA825" s="604"/>
      <c r="AB825" s="604"/>
      <c r="AC825" s="604"/>
      <c r="AD825" s="604"/>
      <c r="AE825" s="604"/>
      <c r="AF825" s="604"/>
      <c r="AG825" s="604"/>
      <c r="AH825" s="604"/>
      <c r="AI825" s="604"/>
      <c r="AJ825" s="604"/>
      <c r="AK825" s="604"/>
      <c r="AL825" s="604"/>
      <c r="AM825" s="604"/>
      <c r="AN825" s="604"/>
    </row>
    <row r="826" spans="1:40" ht="15.75" hidden="1" customHeight="1">
      <c r="A826" s="650">
        <v>45195</v>
      </c>
      <c r="B826" s="596"/>
      <c r="C826" s="624" t="s">
        <v>464</v>
      </c>
      <c r="D826" s="608"/>
      <c r="E826" s="518"/>
      <c r="F826" s="518"/>
      <c r="G826" s="518"/>
      <c r="H826" s="518"/>
      <c r="I826" s="518"/>
      <c r="J826" s="518"/>
      <c r="K826" s="518"/>
      <c r="L826" s="518"/>
      <c r="M826" s="518"/>
      <c r="N826" s="518"/>
      <c r="O826" s="518"/>
      <c r="P826" s="518"/>
      <c r="Q826" s="518">
        <v>14.9</v>
      </c>
      <c r="R826" s="518"/>
      <c r="S826" s="518"/>
      <c r="T826" s="518"/>
      <c r="U826" s="518"/>
      <c r="V826" s="518"/>
      <c r="W826" s="518"/>
      <c r="X826" s="518"/>
      <c r="Y826" s="518"/>
      <c r="Z826" s="518"/>
      <c r="AA826" s="604"/>
      <c r="AB826" s="604"/>
      <c r="AC826" s="604"/>
      <c r="AD826" s="604"/>
      <c r="AE826" s="604"/>
      <c r="AF826" s="604"/>
      <c r="AG826" s="604"/>
      <c r="AH826" s="604"/>
      <c r="AI826" s="604"/>
      <c r="AJ826" s="604"/>
      <c r="AK826" s="604"/>
      <c r="AL826" s="604"/>
      <c r="AM826" s="604"/>
      <c r="AN826" s="604"/>
    </row>
    <row r="827" spans="1:40" ht="15.75" hidden="1" customHeight="1" thickBot="1">
      <c r="A827" s="650"/>
      <c r="B827" s="596"/>
      <c r="C827" s="624"/>
      <c r="D827" s="608"/>
      <c r="E827" s="518"/>
      <c r="F827" s="518"/>
      <c r="G827" s="518"/>
      <c r="H827" s="518"/>
      <c r="I827" s="518"/>
      <c r="J827" s="518"/>
      <c r="K827" s="518"/>
      <c r="L827" s="518"/>
      <c r="M827" s="518"/>
      <c r="N827" s="518"/>
      <c r="O827" s="518"/>
      <c r="P827" s="518"/>
      <c r="Q827" s="518"/>
      <c r="R827" s="518"/>
      <c r="S827" s="518"/>
      <c r="T827" s="518"/>
      <c r="U827" s="518"/>
      <c r="V827" s="518"/>
      <c r="W827" s="518"/>
      <c r="X827" s="518"/>
      <c r="Y827" s="518"/>
      <c r="Z827" s="518"/>
      <c r="AA827" s="604"/>
      <c r="AB827" s="604"/>
      <c r="AC827" s="604"/>
      <c r="AD827" s="604"/>
      <c r="AE827" s="604"/>
      <c r="AF827" s="604"/>
      <c r="AG827" s="604"/>
      <c r="AH827" s="604"/>
      <c r="AI827" s="604"/>
      <c r="AJ827" s="604"/>
      <c r="AK827" s="604"/>
      <c r="AL827" s="604"/>
      <c r="AM827" s="604"/>
      <c r="AN827" s="604"/>
    </row>
    <row r="828" spans="1:40" ht="15.75" hidden="1" customHeight="1" thickTop="1">
      <c r="A828" s="652"/>
      <c r="B828" s="655">
        <v>45200</v>
      </c>
      <c r="C828" s="627"/>
      <c r="D828" s="601"/>
      <c r="E828" s="602"/>
      <c r="F828" s="602"/>
      <c r="G828" s="602"/>
      <c r="H828" s="602"/>
      <c r="I828" s="602"/>
      <c r="J828" s="602"/>
      <c r="K828" s="602"/>
      <c r="L828" s="602"/>
      <c r="M828" s="602"/>
      <c r="N828" s="602"/>
      <c r="O828" s="602"/>
      <c r="P828" s="602"/>
      <c r="Q828" s="602"/>
      <c r="R828" s="602"/>
      <c r="S828" s="602"/>
      <c r="T828" s="602"/>
      <c r="U828" s="602"/>
      <c r="V828" s="602"/>
      <c r="W828" s="602"/>
      <c r="X828" s="602"/>
      <c r="Y828" s="602"/>
      <c r="Z828" s="602"/>
      <c r="AA828" s="604"/>
      <c r="AB828" s="604"/>
      <c r="AC828" s="604"/>
      <c r="AD828" s="604"/>
      <c r="AE828" s="604"/>
      <c r="AF828" s="604"/>
      <c r="AG828" s="604"/>
      <c r="AH828" s="604"/>
      <c r="AI828" s="604"/>
      <c r="AJ828" s="604"/>
      <c r="AK828" s="604"/>
      <c r="AL828" s="604"/>
      <c r="AM828" s="604"/>
      <c r="AN828" s="604"/>
    </row>
    <row r="829" spans="1:40" ht="15.75" hidden="1" customHeight="1">
      <c r="A829" s="650">
        <v>45201</v>
      </c>
      <c r="B829" s="606"/>
      <c r="C829" s="607" t="s">
        <v>62</v>
      </c>
      <c r="D829" s="608"/>
      <c r="E829" s="518"/>
      <c r="F829" s="518"/>
      <c r="G829" s="518"/>
      <c r="H829" s="518"/>
      <c r="I829" s="518"/>
      <c r="J829" s="518"/>
      <c r="K829" s="518"/>
      <c r="L829" s="518"/>
      <c r="M829" s="518"/>
      <c r="N829" s="518"/>
      <c r="O829" s="518"/>
      <c r="P829" s="518"/>
      <c r="Q829" s="518"/>
      <c r="R829" s="518"/>
      <c r="S829" s="518"/>
      <c r="T829" s="518"/>
      <c r="U829" s="518"/>
      <c r="V829" s="518">
        <v>1036.55</v>
      </c>
      <c r="W829" s="518"/>
      <c r="X829" s="518"/>
      <c r="Y829" s="518"/>
      <c r="Z829" s="518"/>
      <c r="AA829" s="604"/>
      <c r="AB829" s="604"/>
      <c r="AC829" s="604"/>
      <c r="AD829" s="604"/>
      <c r="AE829" s="604"/>
      <c r="AF829" s="604"/>
      <c r="AG829" s="604"/>
      <c r="AH829" s="604"/>
      <c r="AI829" s="604"/>
      <c r="AJ829" s="604"/>
      <c r="AK829" s="604"/>
      <c r="AL829" s="604"/>
      <c r="AM829" s="604"/>
      <c r="AN829" s="604"/>
    </row>
    <row r="830" spans="1:40" ht="15.75" hidden="1" customHeight="1">
      <c r="A830" s="650">
        <v>45201</v>
      </c>
      <c r="B830" s="612"/>
      <c r="C830" s="611" t="s">
        <v>63</v>
      </c>
      <c r="D830" s="608"/>
      <c r="E830" s="518"/>
      <c r="F830" s="518"/>
      <c r="G830" s="608"/>
      <c r="H830" s="518"/>
      <c r="I830" s="518"/>
      <c r="J830" s="518"/>
      <c r="K830" s="518"/>
      <c r="L830" s="518"/>
      <c r="M830" s="518"/>
      <c r="N830" s="518"/>
      <c r="O830" s="518"/>
      <c r="P830" s="518"/>
      <c r="Q830" s="518"/>
      <c r="R830" s="518"/>
      <c r="S830" s="518"/>
      <c r="T830" s="518">
        <v>283.77</v>
      </c>
      <c r="U830" s="518"/>
      <c r="V830" s="518"/>
      <c r="W830" s="518"/>
      <c r="X830" s="518"/>
      <c r="Y830" s="518"/>
      <c r="Z830" s="518"/>
      <c r="AA830" s="604"/>
      <c r="AB830" s="604"/>
      <c r="AC830" s="604"/>
      <c r="AD830" s="604"/>
      <c r="AE830" s="604"/>
      <c r="AF830" s="604"/>
      <c r="AG830" s="604"/>
      <c r="AH830" s="604"/>
      <c r="AI830" s="604"/>
      <c r="AJ830" s="604"/>
      <c r="AK830" s="604"/>
      <c r="AL830" s="604"/>
      <c r="AM830" s="604"/>
      <c r="AN830" s="604"/>
    </row>
    <row r="831" spans="1:40" ht="15.75" hidden="1" customHeight="1">
      <c r="A831" s="650">
        <v>45201</v>
      </c>
      <c r="B831" s="610">
        <f>'Conversion rates'!B25</f>
        <v>1.151867</v>
      </c>
      <c r="C831" s="611" t="s">
        <v>276</v>
      </c>
      <c r="D831" s="608"/>
      <c r="E831" s="518"/>
      <c r="F831" s="518"/>
      <c r="G831" s="608"/>
      <c r="H831" s="518"/>
      <c r="I831" s="518"/>
      <c r="J831" s="518"/>
      <c r="K831" s="518"/>
      <c r="L831" s="518"/>
      <c r="M831" s="518"/>
      <c r="N831" s="518"/>
      <c r="O831" s="518"/>
      <c r="P831" s="518"/>
      <c r="Q831" s="518"/>
      <c r="R831" s="518"/>
      <c r="S831" s="518"/>
      <c r="T831" s="518">
        <v>80</v>
      </c>
      <c r="U831" s="518"/>
      <c r="V831" s="518"/>
      <c r="W831" s="518"/>
      <c r="X831" s="518"/>
      <c r="Y831" s="518"/>
      <c r="Z831" s="518"/>
      <c r="AA831" s="604"/>
      <c r="AB831" s="604"/>
      <c r="AC831" s="604"/>
      <c r="AD831" s="604"/>
      <c r="AE831" s="604"/>
      <c r="AF831" s="604"/>
      <c r="AG831" s="604"/>
      <c r="AH831" s="604"/>
      <c r="AI831" s="604"/>
      <c r="AJ831" s="604"/>
      <c r="AK831" s="604"/>
      <c r="AL831" s="604"/>
      <c r="AM831" s="604"/>
      <c r="AN831" s="604"/>
    </row>
    <row r="832" spans="1:40" ht="15.75" hidden="1" customHeight="1">
      <c r="A832" s="650">
        <v>45201</v>
      </c>
      <c r="B832" s="612" t="s">
        <v>310</v>
      </c>
      <c r="C832" s="614" t="s">
        <v>453</v>
      </c>
      <c r="D832" s="608"/>
      <c r="E832" s="518"/>
      <c r="F832" s="518"/>
      <c r="G832" s="608"/>
      <c r="H832" s="518"/>
      <c r="I832" s="518"/>
      <c r="J832" s="518"/>
      <c r="K832" s="518"/>
      <c r="L832" s="518"/>
      <c r="M832" s="616"/>
      <c r="N832" s="518">
        <f>800*B831</f>
        <v>921.49360000000001</v>
      </c>
      <c r="O832" s="518"/>
      <c r="P832" s="518"/>
      <c r="Q832" s="518"/>
      <c r="R832" s="518"/>
      <c r="S832" s="518"/>
      <c r="T832" s="518"/>
      <c r="U832" s="518"/>
      <c r="V832" s="518"/>
      <c r="W832" s="518"/>
      <c r="X832" s="518"/>
      <c r="Y832" s="518"/>
      <c r="Z832" s="518"/>
      <c r="AA832" s="604"/>
      <c r="AB832" s="604"/>
      <c r="AC832" s="604"/>
      <c r="AD832" s="604"/>
      <c r="AE832" s="604"/>
      <c r="AF832" s="604"/>
      <c r="AG832" s="604"/>
      <c r="AH832" s="604"/>
      <c r="AI832" s="604"/>
      <c r="AJ832" s="604"/>
      <c r="AK832" s="604"/>
      <c r="AL832" s="604"/>
      <c r="AM832" s="604"/>
      <c r="AN832" s="604"/>
    </row>
    <row r="833" spans="1:40" ht="15.75" hidden="1" customHeight="1">
      <c r="A833" s="650">
        <v>45212</v>
      </c>
      <c r="B833" s="612"/>
      <c r="C833" s="611" t="s">
        <v>465</v>
      </c>
      <c r="D833" s="608"/>
      <c r="E833" s="518"/>
      <c r="F833" s="518"/>
      <c r="G833" s="608">
        <v>18574</v>
      </c>
      <c r="H833" s="518"/>
      <c r="I833" s="518"/>
      <c r="J833" s="518"/>
      <c r="K833" s="518"/>
      <c r="L833" s="518"/>
      <c r="M833" s="518"/>
      <c r="N833" s="518"/>
      <c r="O833" s="518"/>
      <c r="P833" s="518"/>
      <c r="Q833" s="518"/>
      <c r="R833" s="518"/>
      <c r="S833" s="518"/>
      <c r="T833" s="518"/>
      <c r="U833" s="518"/>
      <c r="V833" s="518"/>
      <c r="W833" s="518"/>
      <c r="X833" s="518"/>
      <c r="Y833" s="518"/>
      <c r="Z833" s="518"/>
      <c r="AA833" s="604"/>
      <c r="AB833" s="604"/>
      <c r="AC833" s="604"/>
      <c r="AD833" s="604"/>
      <c r="AE833" s="604"/>
      <c r="AF833" s="604"/>
      <c r="AG833" s="604"/>
      <c r="AH833" s="604"/>
      <c r="AI833" s="604"/>
      <c r="AJ833" s="604"/>
      <c r="AK833" s="604"/>
      <c r="AL833" s="604"/>
      <c r="AM833" s="604"/>
      <c r="AN833" s="604"/>
    </row>
    <row r="834" spans="1:40" ht="15.75" hidden="1" customHeight="1">
      <c r="A834" s="650">
        <v>45215</v>
      </c>
      <c r="B834" s="615"/>
      <c r="C834" s="614" t="s">
        <v>421</v>
      </c>
      <c r="D834" s="608"/>
      <c r="E834" s="518"/>
      <c r="F834" s="518"/>
      <c r="G834" s="608"/>
      <c r="H834" s="518"/>
      <c r="I834" s="518"/>
      <c r="J834" s="518"/>
      <c r="K834" s="518"/>
      <c r="L834" s="518"/>
      <c r="M834" s="518">
        <v>49</v>
      </c>
      <c r="N834" s="518"/>
      <c r="O834" s="518"/>
      <c r="P834" s="518"/>
      <c r="Q834" s="518"/>
      <c r="R834" s="518"/>
      <c r="S834" s="518"/>
      <c r="T834" s="518"/>
      <c r="U834" s="518"/>
      <c r="V834" s="518"/>
      <c r="W834" s="518"/>
      <c r="X834" s="518"/>
      <c r="Y834" s="518"/>
      <c r="Z834" s="518"/>
      <c r="AA834" s="604"/>
      <c r="AB834" s="604"/>
      <c r="AC834" s="604"/>
      <c r="AD834" s="604"/>
      <c r="AE834" s="604"/>
      <c r="AF834" s="604"/>
      <c r="AG834" s="604"/>
      <c r="AH834" s="604"/>
      <c r="AI834" s="604"/>
      <c r="AJ834" s="604"/>
      <c r="AK834" s="604"/>
      <c r="AL834" s="604"/>
      <c r="AM834" s="604"/>
      <c r="AN834" s="604"/>
    </row>
    <row r="835" spans="1:40" ht="15.75" hidden="1" customHeight="1">
      <c r="A835" s="650">
        <v>45215</v>
      </c>
      <c r="B835" s="612"/>
      <c r="C835" s="611" t="s">
        <v>420</v>
      </c>
      <c r="D835" s="608"/>
      <c r="E835" s="518"/>
      <c r="F835" s="518"/>
      <c r="G835" s="608"/>
      <c r="H835" s="518"/>
      <c r="I835" s="518"/>
      <c r="J835" s="518"/>
      <c r="K835" s="518"/>
      <c r="L835" s="518"/>
      <c r="M835" s="518"/>
      <c r="N835" s="518"/>
      <c r="O835" s="518"/>
      <c r="P835" s="518"/>
      <c r="Q835" s="518"/>
      <c r="R835" s="518"/>
      <c r="S835" s="518"/>
      <c r="T835" s="518">
        <v>18</v>
      </c>
      <c r="U835" s="518"/>
      <c r="V835" s="518"/>
      <c r="W835" s="518"/>
      <c r="X835" s="518"/>
      <c r="Y835" s="518"/>
      <c r="Z835" s="518"/>
      <c r="AA835" s="604"/>
      <c r="AB835" s="604"/>
      <c r="AC835" s="604"/>
      <c r="AD835" s="604"/>
      <c r="AE835" s="604"/>
      <c r="AF835" s="604"/>
      <c r="AG835" s="604"/>
      <c r="AH835" s="604"/>
      <c r="AI835" s="604"/>
      <c r="AJ835" s="604"/>
      <c r="AK835" s="604"/>
      <c r="AL835" s="604"/>
      <c r="AM835" s="604"/>
      <c r="AN835" s="604"/>
    </row>
    <row r="836" spans="1:40" ht="15.75" hidden="1" customHeight="1">
      <c r="A836" s="650">
        <v>45215</v>
      </c>
      <c r="B836" s="615"/>
      <c r="C836" s="611" t="s">
        <v>341</v>
      </c>
      <c r="D836" s="608"/>
      <c r="E836" s="518"/>
      <c r="F836" s="518"/>
      <c r="G836" s="608"/>
      <c r="H836" s="518">
        <v>850.25</v>
      </c>
      <c r="I836" s="518"/>
      <c r="J836" s="518"/>
      <c r="K836" s="518"/>
      <c r="L836" s="518"/>
      <c r="M836" s="518"/>
      <c r="N836" s="518"/>
      <c r="O836" s="518"/>
      <c r="P836" s="518"/>
      <c r="Q836" s="518"/>
      <c r="R836" s="518"/>
      <c r="S836" s="518"/>
      <c r="T836" s="518"/>
      <c r="U836" s="518"/>
      <c r="V836" s="518"/>
      <c r="W836" s="518"/>
      <c r="X836" s="518"/>
      <c r="Y836" s="518"/>
      <c r="Z836" s="518"/>
      <c r="AA836" s="604"/>
      <c r="AB836" s="604"/>
      <c r="AC836" s="604"/>
      <c r="AD836" s="604"/>
      <c r="AE836" s="604"/>
      <c r="AF836" s="604"/>
      <c r="AG836" s="604"/>
      <c r="AH836" s="604"/>
      <c r="AI836" s="604"/>
      <c r="AJ836" s="604"/>
      <c r="AK836" s="604"/>
      <c r="AL836" s="604"/>
      <c r="AM836" s="604"/>
      <c r="AN836" s="604"/>
    </row>
    <row r="837" spans="1:40" ht="15.75" hidden="1" customHeight="1">
      <c r="A837" s="650">
        <v>45216</v>
      </c>
      <c r="B837" s="613"/>
      <c r="C837" s="611" t="s">
        <v>111</v>
      </c>
      <c r="D837" s="608"/>
      <c r="E837" s="518"/>
      <c r="F837" s="518"/>
      <c r="G837" s="608"/>
      <c r="H837" s="518"/>
      <c r="I837" s="518"/>
      <c r="J837" s="518"/>
      <c r="K837" s="518">
        <v>34.99</v>
      </c>
      <c r="L837" s="518"/>
      <c r="M837" s="518"/>
      <c r="N837" s="518"/>
      <c r="O837" s="518"/>
      <c r="P837" s="518"/>
      <c r="Q837" s="518"/>
      <c r="R837" s="518"/>
      <c r="S837" s="518"/>
      <c r="T837" s="518">
        <v>19.98</v>
      </c>
      <c r="U837" s="518"/>
      <c r="V837" s="518"/>
      <c r="W837" s="518"/>
      <c r="X837" s="518"/>
      <c r="Y837" s="518"/>
      <c r="Z837" s="518"/>
      <c r="AA837" s="604"/>
      <c r="AB837" s="604"/>
      <c r="AC837" s="604"/>
      <c r="AD837" s="604"/>
      <c r="AE837" s="604"/>
      <c r="AF837" s="604"/>
      <c r="AG837" s="604"/>
      <c r="AH837" s="604"/>
      <c r="AI837" s="604"/>
      <c r="AJ837" s="604"/>
      <c r="AK837" s="604"/>
      <c r="AL837" s="604"/>
      <c r="AM837" s="604"/>
      <c r="AN837" s="604"/>
    </row>
    <row r="838" spans="1:40" ht="15.75" hidden="1" customHeight="1">
      <c r="A838" s="650">
        <v>45216</v>
      </c>
      <c r="B838" s="613"/>
      <c r="C838" s="611" t="s">
        <v>78</v>
      </c>
      <c r="D838" s="608"/>
      <c r="E838" s="518"/>
      <c r="F838" s="518"/>
      <c r="G838" s="608"/>
      <c r="H838" s="518"/>
      <c r="I838" s="518"/>
      <c r="J838" s="518">
        <v>20.56</v>
      </c>
      <c r="K838" s="518"/>
      <c r="L838" s="518"/>
      <c r="M838" s="518"/>
      <c r="N838" s="518"/>
      <c r="O838" s="518"/>
      <c r="P838" s="518"/>
      <c r="Q838" s="518"/>
      <c r="R838" s="518"/>
      <c r="S838" s="518"/>
      <c r="T838" s="518"/>
      <c r="U838" s="518"/>
      <c r="V838" s="518"/>
      <c r="W838" s="518"/>
      <c r="X838" s="518"/>
      <c r="Y838" s="518"/>
      <c r="Z838" s="518"/>
      <c r="AA838" s="604"/>
      <c r="AB838" s="604"/>
      <c r="AC838" s="604"/>
      <c r="AD838" s="604"/>
      <c r="AE838" s="604"/>
      <c r="AF838" s="604"/>
      <c r="AG838" s="604"/>
      <c r="AH838" s="604"/>
      <c r="AI838" s="604"/>
      <c r="AJ838" s="604"/>
      <c r="AK838" s="604"/>
      <c r="AL838" s="604"/>
      <c r="AM838" s="604"/>
      <c r="AN838" s="604"/>
    </row>
    <row r="839" spans="1:40" ht="15.75" hidden="1" customHeight="1">
      <c r="A839" s="650">
        <v>45219</v>
      </c>
      <c r="B839" s="615"/>
      <c r="C839" s="614" t="s">
        <v>385</v>
      </c>
      <c r="D839" s="608"/>
      <c r="E839" s="518"/>
      <c r="F839" s="518"/>
      <c r="G839" s="608"/>
      <c r="H839" s="518"/>
      <c r="I839" s="518"/>
      <c r="J839" s="518"/>
      <c r="K839" s="518"/>
      <c r="L839" s="518"/>
      <c r="M839" s="518"/>
      <c r="N839" s="518"/>
      <c r="O839" s="518"/>
      <c r="P839" s="518"/>
      <c r="Q839" s="518"/>
      <c r="R839" s="518"/>
      <c r="S839" s="518">
        <v>11.5</v>
      </c>
      <c r="T839" s="518"/>
      <c r="U839" s="518"/>
      <c r="V839" s="518"/>
      <c r="W839" s="518"/>
      <c r="X839" s="518"/>
      <c r="Y839" s="518"/>
      <c r="Z839" s="518"/>
      <c r="AA839" s="604"/>
      <c r="AB839" s="604"/>
      <c r="AC839" s="604"/>
      <c r="AD839" s="604"/>
      <c r="AE839" s="604"/>
      <c r="AF839" s="604"/>
      <c r="AG839" s="604"/>
      <c r="AH839" s="604"/>
      <c r="AI839" s="604"/>
      <c r="AJ839" s="604"/>
      <c r="AK839" s="604"/>
      <c r="AL839" s="604"/>
      <c r="AM839" s="604"/>
      <c r="AN839" s="604"/>
    </row>
    <row r="840" spans="1:40" ht="15.75" hidden="1" customHeight="1">
      <c r="A840" s="650">
        <v>45222</v>
      </c>
      <c r="B840" s="615"/>
      <c r="C840" s="611" t="s">
        <v>364</v>
      </c>
      <c r="D840" s="608"/>
      <c r="E840" s="518"/>
      <c r="F840" s="518"/>
      <c r="G840" s="608"/>
      <c r="H840" s="518"/>
      <c r="I840" s="518"/>
      <c r="J840" s="518"/>
      <c r="K840" s="518">
        <v>11.5</v>
      </c>
      <c r="L840" s="518"/>
      <c r="M840" s="518"/>
      <c r="N840" s="518"/>
      <c r="O840" s="518"/>
      <c r="P840" s="518"/>
      <c r="Q840" s="518"/>
      <c r="R840" s="518"/>
      <c r="S840" s="518"/>
      <c r="T840" s="518"/>
      <c r="U840" s="518"/>
      <c r="V840" s="518"/>
      <c r="W840" s="518"/>
      <c r="X840" s="518"/>
      <c r="Y840" s="518"/>
      <c r="Z840" s="518"/>
      <c r="AA840" s="604"/>
      <c r="AB840" s="604"/>
      <c r="AC840" s="604"/>
      <c r="AD840" s="604"/>
      <c r="AE840" s="604"/>
      <c r="AF840" s="604"/>
      <c r="AG840" s="604"/>
      <c r="AH840" s="604"/>
      <c r="AI840" s="604"/>
      <c r="AJ840" s="604"/>
      <c r="AK840" s="604"/>
      <c r="AL840" s="604"/>
      <c r="AM840" s="604"/>
      <c r="AN840" s="604"/>
    </row>
    <row r="841" spans="1:40" ht="15.75" hidden="1" customHeight="1">
      <c r="A841" s="650">
        <v>45225</v>
      </c>
      <c r="B841" s="612"/>
      <c r="C841" s="611" t="s">
        <v>320</v>
      </c>
      <c r="D841" s="608"/>
      <c r="E841" s="518"/>
      <c r="F841" s="518"/>
      <c r="G841" s="608"/>
      <c r="H841" s="518"/>
      <c r="I841" s="518"/>
      <c r="J841" s="518"/>
      <c r="K841" s="518">
        <v>38.049999999999997</v>
      </c>
      <c r="L841" s="518"/>
      <c r="M841" s="518"/>
      <c r="N841" s="518"/>
      <c r="O841" s="518"/>
      <c r="P841" s="518"/>
      <c r="Q841" s="518"/>
      <c r="R841" s="518"/>
      <c r="S841" s="518"/>
      <c r="T841" s="518"/>
      <c r="U841" s="518"/>
      <c r="V841" s="518"/>
      <c r="W841" s="518"/>
      <c r="X841" s="518"/>
      <c r="Y841" s="518"/>
      <c r="Z841" s="518"/>
      <c r="AA841" s="604"/>
      <c r="AB841" s="604"/>
      <c r="AC841" s="604"/>
      <c r="AD841" s="604"/>
      <c r="AE841" s="604"/>
      <c r="AF841" s="604"/>
      <c r="AG841" s="604"/>
      <c r="AH841" s="604"/>
      <c r="AI841" s="604"/>
      <c r="AJ841" s="604"/>
      <c r="AK841" s="604"/>
      <c r="AL841" s="604"/>
      <c r="AM841" s="604"/>
      <c r="AN841" s="604"/>
    </row>
    <row r="842" spans="1:40" ht="18" hidden="1" customHeight="1">
      <c r="A842" s="650">
        <v>45229</v>
      </c>
      <c r="B842" s="615"/>
      <c r="C842" s="611" t="s">
        <v>344</v>
      </c>
      <c r="D842" s="608"/>
      <c r="E842" s="518"/>
      <c r="F842" s="518"/>
      <c r="G842" s="608"/>
      <c r="H842" s="518"/>
      <c r="I842" s="518"/>
      <c r="J842" s="518"/>
      <c r="K842" s="518"/>
      <c r="L842" s="518"/>
      <c r="M842" s="518"/>
      <c r="N842" s="518"/>
      <c r="O842" s="518"/>
      <c r="P842" s="518"/>
      <c r="Q842" s="518"/>
      <c r="R842" s="518"/>
      <c r="S842" s="518">
        <v>21.59</v>
      </c>
      <c r="T842" s="518"/>
      <c r="U842" s="518"/>
      <c r="V842" s="518"/>
      <c r="W842" s="518"/>
      <c r="X842" s="518"/>
      <c r="Y842" s="518"/>
      <c r="Z842" s="518"/>
      <c r="AA842" s="604"/>
      <c r="AB842" s="604"/>
      <c r="AC842" s="604"/>
      <c r="AD842" s="604"/>
      <c r="AE842" s="604"/>
      <c r="AF842" s="604"/>
      <c r="AG842" s="604"/>
      <c r="AH842" s="604"/>
      <c r="AI842" s="604"/>
      <c r="AJ842" s="604"/>
      <c r="AK842" s="604"/>
      <c r="AL842" s="604"/>
      <c r="AM842" s="604"/>
      <c r="AN842" s="604"/>
    </row>
    <row r="843" spans="1:40" ht="15.75" hidden="1" customHeight="1">
      <c r="A843" s="650">
        <v>45230</v>
      </c>
      <c r="B843" s="615"/>
      <c r="C843" s="611" t="s">
        <v>320</v>
      </c>
      <c r="D843" s="608"/>
      <c r="E843" s="518"/>
      <c r="F843" s="518"/>
      <c r="G843" s="608"/>
      <c r="H843" s="518"/>
      <c r="I843" s="518"/>
      <c r="J843" s="518"/>
      <c r="K843" s="518">
        <v>76.010000000000005</v>
      </c>
      <c r="L843" s="518"/>
      <c r="M843" s="518"/>
      <c r="N843" s="518"/>
      <c r="O843" s="518"/>
      <c r="P843" s="518"/>
      <c r="Q843" s="518"/>
      <c r="R843" s="518"/>
      <c r="S843" s="518"/>
      <c r="T843" s="518"/>
      <c r="U843" s="518"/>
      <c r="V843" s="518"/>
      <c r="W843" s="518"/>
      <c r="X843" s="518"/>
      <c r="Y843" s="518"/>
      <c r="Z843" s="518"/>
      <c r="AA843" s="604"/>
      <c r="AB843" s="604"/>
      <c r="AC843" s="604"/>
      <c r="AD843" s="604"/>
      <c r="AE843" s="604"/>
      <c r="AF843" s="604"/>
      <c r="AG843" s="604"/>
      <c r="AH843" s="604"/>
      <c r="AI843" s="604"/>
      <c r="AJ843" s="604"/>
      <c r="AK843" s="604"/>
      <c r="AL843" s="604"/>
      <c r="AM843" s="604"/>
      <c r="AN843" s="604"/>
    </row>
    <row r="844" spans="1:40" ht="15.75" hidden="1" customHeight="1">
      <c r="A844" s="650">
        <v>45230</v>
      </c>
      <c r="B844" s="615"/>
      <c r="C844" s="614" t="s">
        <v>260</v>
      </c>
      <c r="D844" s="608"/>
      <c r="E844" s="518">
        <v>605.5</v>
      </c>
      <c r="F844" s="518"/>
      <c r="G844" s="608"/>
      <c r="H844" s="518"/>
      <c r="I844" s="518"/>
      <c r="J844" s="518"/>
      <c r="K844" s="518"/>
      <c r="L844" s="518"/>
      <c r="M844" s="518"/>
      <c r="N844" s="518"/>
      <c r="O844" s="518"/>
      <c r="P844" s="518"/>
      <c r="Q844" s="518"/>
      <c r="R844" s="518"/>
      <c r="S844" s="518"/>
      <c r="T844" s="518"/>
      <c r="U844" s="518"/>
      <c r="V844" s="518"/>
      <c r="W844" s="518"/>
      <c r="X844" s="518"/>
      <c r="Y844" s="518"/>
      <c r="Z844" s="518"/>
      <c r="AA844" s="604"/>
      <c r="AB844" s="604"/>
      <c r="AC844" s="604"/>
      <c r="AD844" s="604"/>
      <c r="AE844" s="604"/>
      <c r="AF844" s="604"/>
      <c r="AG844" s="604"/>
      <c r="AH844" s="604"/>
      <c r="AI844" s="604"/>
      <c r="AJ844" s="604"/>
      <c r="AK844" s="604"/>
      <c r="AL844" s="604"/>
      <c r="AM844" s="604"/>
      <c r="AN844" s="604"/>
    </row>
    <row r="845" spans="1:40" ht="15.75" hidden="1" customHeight="1">
      <c r="A845" s="650">
        <v>45230</v>
      </c>
      <c r="B845" s="612"/>
      <c r="C845" s="611" t="s">
        <v>208</v>
      </c>
      <c r="D845" s="608"/>
      <c r="E845" s="518"/>
      <c r="F845" s="518"/>
      <c r="G845" s="608"/>
      <c r="H845" s="518"/>
      <c r="I845" s="518"/>
      <c r="J845" s="518"/>
      <c r="K845" s="518"/>
      <c r="L845" s="518"/>
      <c r="M845" s="518"/>
      <c r="N845" s="518"/>
      <c r="O845" s="518"/>
      <c r="P845" s="518"/>
      <c r="Q845" s="518"/>
      <c r="R845" s="518"/>
      <c r="S845" s="518">
        <v>21.59</v>
      </c>
      <c r="T845" s="518"/>
      <c r="U845" s="518"/>
      <c r="V845" s="518"/>
      <c r="W845" s="518"/>
      <c r="X845" s="518"/>
      <c r="Y845" s="518"/>
      <c r="Z845" s="518"/>
      <c r="AA845" s="604"/>
      <c r="AB845" s="604"/>
      <c r="AC845" s="604"/>
      <c r="AD845" s="604"/>
      <c r="AE845" s="604"/>
      <c r="AF845" s="604"/>
      <c r="AG845" s="604"/>
      <c r="AH845" s="604"/>
      <c r="AI845" s="604"/>
      <c r="AJ845" s="604"/>
      <c r="AK845" s="604"/>
      <c r="AL845" s="604"/>
      <c r="AM845" s="604"/>
      <c r="AN845" s="604"/>
    </row>
    <row r="846" spans="1:40" ht="15.75" hidden="1" customHeight="1">
      <c r="A846" s="650">
        <v>45230</v>
      </c>
      <c r="B846" s="612"/>
      <c r="C846" s="611" t="s">
        <v>366</v>
      </c>
      <c r="D846" s="608"/>
      <c r="E846" s="518"/>
      <c r="F846" s="518"/>
      <c r="G846" s="608"/>
      <c r="H846" s="518"/>
      <c r="I846" s="518"/>
      <c r="J846" s="518"/>
      <c r="K846" s="518"/>
      <c r="L846" s="518"/>
      <c r="M846" s="518"/>
      <c r="N846" s="518"/>
      <c r="O846" s="518"/>
      <c r="P846" s="518"/>
      <c r="Q846" s="518"/>
      <c r="R846" s="518"/>
      <c r="S846" s="518">
        <v>20.7</v>
      </c>
      <c r="T846" s="518"/>
      <c r="U846" s="518"/>
      <c r="V846" s="518"/>
      <c r="W846" s="518"/>
      <c r="X846" s="518"/>
      <c r="Y846" s="518"/>
      <c r="Z846" s="518"/>
      <c r="AA846" s="604"/>
      <c r="AB846" s="604"/>
      <c r="AC846" s="604"/>
      <c r="AD846" s="604"/>
      <c r="AE846" s="604"/>
      <c r="AF846" s="604"/>
      <c r="AG846" s="604"/>
      <c r="AH846" s="604"/>
      <c r="AI846" s="604"/>
      <c r="AJ846" s="604"/>
      <c r="AK846" s="604"/>
      <c r="AL846" s="604"/>
      <c r="AM846" s="604"/>
      <c r="AN846" s="604"/>
    </row>
    <row r="847" spans="1:40" ht="15.75" hidden="1" customHeight="1">
      <c r="A847" s="651" t="s">
        <v>466</v>
      </c>
      <c r="B847" s="613"/>
      <c r="C847" s="611" t="s">
        <v>168</v>
      </c>
      <c r="D847" s="608"/>
      <c r="E847" s="518"/>
      <c r="F847" s="518"/>
      <c r="G847" s="608"/>
      <c r="H847" s="518"/>
      <c r="I847" s="518"/>
      <c r="J847" s="518"/>
      <c r="K847" s="518"/>
      <c r="L847" s="518"/>
      <c r="M847" s="518"/>
      <c r="N847" s="518"/>
      <c r="O847" s="518"/>
      <c r="P847" s="518"/>
      <c r="Q847" s="518"/>
      <c r="R847" s="518"/>
      <c r="S847" s="518"/>
      <c r="T847" s="518">
        <v>1608.68</v>
      </c>
      <c r="U847" s="518"/>
      <c r="V847" s="518"/>
      <c r="W847" s="518"/>
      <c r="X847" s="518"/>
      <c r="Y847" s="518"/>
      <c r="Z847" s="518"/>
      <c r="AA847" s="604"/>
      <c r="AB847" s="604"/>
      <c r="AC847" s="604"/>
      <c r="AD847" s="604"/>
      <c r="AE847" s="604"/>
      <c r="AF847" s="604"/>
      <c r="AG847" s="604"/>
      <c r="AH847" s="604"/>
      <c r="AI847" s="604"/>
      <c r="AJ847" s="604"/>
      <c r="AK847" s="604"/>
      <c r="AL847" s="604"/>
      <c r="AM847" s="604"/>
      <c r="AN847" s="604"/>
    </row>
    <row r="848" spans="1:40" ht="15.75" hidden="1" customHeight="1">
      <c r="A848" s="650"/>
      <c r="B848" s="620"/>
      <c r="C848" s="621"/>
      <c r="D848" s="622"/>
      <c r="E848" s="623"/>
      <c r="F848" s="623"/>
      <c r="G848" s="623"/>
      <c r="H848" s="623"/>
      <c r="I848" s="623"/>
      <c r="J848" s="623"/>
      <c r="K848" s="623"/>
      <c r="L848" s="623"/>
      <c r="M848" s="623"/>
      <c r="N848" s="623"/>
      <c r="O848" s="623"/>
      <c r="P848" s="623"/>
      <c r="Q848" s="623"/>
      <c r="R848" s="623"/>
      <c r="S848" s="623"/>
      <c r="T848" s="623"/>
      <c r="U848" s="623"/>
      <c r="V848" s="623"/>
      <c r="W848" s="623"/>
      <c r="X848" s="623"/>
      <c r="Y848" s="623"/>
      <c r="Z848" s="623"/>
      <c r="AA848" s="604"/>
      <c r="AB848" s="604"/>
      <c r="AC848" s="604"/>
      <c r="AD848" s="604"/>
      <c r="AE848" s="604"/>
      <c r="AF848" s="604"/>
      <c r="AG848" s="604"/>
      <c r="AH848" s="604"/>
      <c r="AI848" s="604"/>
      <c r="AJ848" s="604"/>
      <c r="AK848" s="604"/>
      <c r="AL848" s="604"/>
      <c r="AM848" s="604"/>
      <c r="AN848" s="604"/>
    </row>
    <row r="849" spans="1:40" ht="15.75" hidden="1" customHeight="1">
      <c r="A849" s="650"/>
      <c r="B849" s="596"/>
      <c r="C849" s="624"/>
      <c r="D849" s="608"/>
      <c r="E849" s="518"/>
      <c r="F849" s="518"/>
      <c r="G849" s="518"/>
      <c r="H849" s="518"/>
      <c r="I849" s="518"/>
      <c r="J849" s="518"/>
      <c r="K849" s="518"/>
      <c r="L849" s="518"/>
      <c r="M849" s="518"/>
      <c r="N849" s="518"/>
      <c r="O849" s="518"/>
      <c r="P849" s="518"/>
      <c r="Q849" s="518"/>
      <c r="R849" s="518"/>
      <c r="S849" s="518"/>
      <c r="T849" s="518"/>
      <c r="U849" s="518"/>
      <c r="V849" s="518"/>
      <c r="W849" s="518"/>
      <c r="X849" s="518"/>
      <c r="Y849" s="518"/>
      <c r="Z849" s="518"/>
      <c r="AA849" s="604"/>
      <c r="AB849" s="604"/>
      <c r="AC849" s="604"/>
      <c r="AD849" s="604"/>
      <c r="AE849" s="604"/>
      <c r="AF849" s="604"/>
      <c r="AG849" s="604"/>
      <c r="AH849" s="604"/>
      <c r="AI849" s="604"/>
      <c r="AJ849" s="604"/>
      <c r="AK849" s="604"/>
      <c r="AL849" s="604"/>
      <c r="AM849" s="604"/>
      <c r="AN849" s="604"/>
    </row>
    <row r="850" spans="1:40" ht="15.75" hidden="1" customHeight="1">
      <c r="A850" s="650">
        <v>45202</v>
      </c>
      <c r="B850" s="624" t="s">
        <v>467</v>
      </c>
      <c r="C850" s="624" t="s">
        <v>468</v>
      </c>
      <c r="D850" s="608">
        <v>1600</v>
      </c>
      <c r="E850" s="518"/>
      <c r="F850" s="518"/>
      <c r="G850" s="518"/>
      <c r="H850" s="518"/>
      <c r="I850" s="518"/>
      <c r="J850" s="518"/>
      <c r="K850" s="518"/>
      <c r="L850" s="518"/>
      <c r="M850" s="518"/>
      <c r="N850" s="518"/>
      <c r="O850" s="518"/>
      <c r="P850" s="518"/>
      <c r="Q850" s="518"/>
      <c r="R850" s="518"/>
      <c r="S850" s="518"/>
      <c r="T850" s="518"/>
      <c r="U850" s="518"/>
      <c r="V850" s="518"/>
      <c r="W850" s="518"/>
      <c r="X850" s="518"/>
      <c r="Y850" s="518"/>
      <c r="Z850" s="518"/>
      <c r="AA850" s="604"/>
      <c r="AB850" s="604"/>
      <c r="AC850" s="604"/>
      <c r="AD850" s="604"/>
      <c r="AE850" s="604"/>
      <c r="AF850" s="604"/>
      <c r="AG850" s="604"/>
      <c r="AH850" s="604"/>
      <c r="AI850" s="604"/>
      <c r="AJ850" s="604"/>
      <c r="AK850" s="604"/>
      <c r="AL850" s="604"/>
      <c r="AM850" s="604"/>
      <c r="AN850" s="604"/>
    </row>
    <row r="851" spans="1:40" ht="15.75" hidden="1" customHeight="1">
      <c r="A851" s="650">
        <v>45202</v>
      </c>
      <c r="B851" s="596"/>
      <c r="C851" s="624" t="s">
        <v>207</v>
      </c>
      <c r="D851" s="608"/>
      <c r="E851" s="518"/>
      <c r="F851" s="518"/>
      <c r="G851" s="518"/>
      <c r="H851" s="518"/>
      <c r="I851" s="518"/>
      <c r="J851" s="518"/>
      <c r="K851" s="518"/>
      <c r="L851" s="518"/>
      <c r="M851" s="518">
        <v>27.78</v>
      </c>
      <c r="N851" s="518"/>
      <c r="O851" s="518"/>
      <c r="P851" s="518"/>
      <c r="Q851" s="518"/>
      <c r="R851" s="518"/>
      <c r="S851" s="518"/>
      <c r="T851" s="518"/>
      <c r="U851" s="518"/>
      <c r="V851" s="518"/>
      <c r="W851" s="518"/>
      <c r="X851" s="518"/>
      <c r="Y851" s="518"/>
      <c r="Z851" s="518"/>
      <c r="AA851" s="604"/>
      <c r="AB851" s="604"/>
      <c r="AC851" s="604"/>
      <c r="AD851" s="604"/>
      <c r="AE851" s="604"/>
      <c r="AF851" s="604"/>
      <c r="AG851" s="604"/>
      <c r="AH851" s="604"/>
      <c r="AI851" s="604"/>
      <c r="AJ851" s="604"/>
      <c r="AK851" s="604"/>
      <c r="AL851" s="604"/>
      <c r="AM851" s="604"/>
      <c r="AN851" s="604"/>
    </row>
    <row r="852" spans="1:40" ht="15.75" hidden="1" customHeight="1">
      <c r="A852" s="650">
        <v>45203</v>
      </c>
      <c r="B852" s="624" t="s">
        <v>469</v>
      </c>
      <c r="C852" s="624" t="s">
        <v>470</v>
      </c>
      <c r="D852" s="608"/>
      <c r="E852" s="518">
        <v>1260</v>
      </c>
      <c r="F852" s="518"/>
      <c r="G852" s="518"/>
      <c r="H852" s="518"/>
      <c r="I852" s="518"/>
      <c r="J852" s="518"/>
      <c r="K852" s="518"/>
      <c r="L852" s="518"/>
      <c r="M852" s="518"/>
      <c r="N852" s="518"/>
      <c r="O852" s="518"/>
      <c r="P852" s="518"/>
      <c r="Q852" s="518"/>
      <c r="R852" s="518"/>
      <c r="S852" s="518"/>
      <c r="T852" s="518"/>
      <c r="U852" s="518"/>
      <c r="V852" s="518"/>
      <c r="W852" s="518"/>
      <c r="X852" s="518"/>
      <c r="Y852" s="518"/>
      <c r="Z852" s="518"/>
      <c r="AA852" s="604"/>
      <c r="AB852" s="604"/>
      <c r="AC852" s="604"/>
      <c r="AD852" s="604"/>
      <c r="AE852" s="604"/>
      <c r="AF852" s="604"/>
      <c r="AG852" s="604"/>
      <c r="AH852" s="604"/>
      <c r="AI852" s="604"/>
      <c r="AJ852" s="604"/>
      <c r="AK852" s="604"/>
      <c r="AL852" s="604"/>
      <c r="AM852" s="604"/>
      <c r="AN852" s="604"/>
    </row>
    <row r="853" spans="1:40" ht="15.75" hidden="1" customHeight="1">
      <c r="A853" s="650">
        <v>45203</v>
      </c>
      <c r="B853" s="596"/>
      <c r="C853" s="624" t="s">
        <v>471</v>
      </c>
      <c r="D853" s="608"/>
      <c r="E853" s="518"/>
      <c r="F853" s="518"/>
      <c r="G853" s="518"/>
      <c r="H853" s="518"/>
      <c r="I853" s="518"/>
      <c r="J853" s="518"/>
      <c r="K853" s="518"/>
      <c r="L853" s="518"/>
      <c r="M853" s="518"/>
      <c r="N853" s="518"/>
      <c r="O853" s="518">
        <v>414.09</v>
      </c>
      <c r="P853" s="518"/>
      <c r="Q853" s="518"/>
      <c r="R853" s="518"/>
      <c r="S853" s="518"/>
      <c r="T853" s="518"/>
      <c r="U853" s="518"/>
      <c r="V853" s="518"/>
      <c r="W853" s="518"/>
      <c r="X853" s="518"/>
      <c r="Y853" s="518"/>
      <c r="Z853" s="518"/>
      <c r="AA853" s="604"/>
      <c r="AB853" s="604"/>
      <c r="AC853" s="604"/>
      <c r="AD853" s="604"/>
      <c r="AE853" s="604"/>
      <c r="AF853" s="604"/>
      <c r="AG853" s="604"/>
      <c r="AH853" s="604"/>
      <c r="AI853" s="604"/>
      <c r="AJ853" s="604"/>
      <c r="AK853" s="604"/>
      <c r="AL853" s="604"/>
      <c r="AM853" s="604"/>
      <c r="AN853" s="604"/>
    </row>
    <row r="854" spans="1:40" ht="15.75" hidden="1" customHeight="1">
      <c r="A854" s="650">
        <v>45204</v>
      </c>
      <c r="B854" s="596"/>
      <c r="C854" s="624" t="s">
        <v>472</v>
      </c>
      <c r="D854" s="608"/>
      <c r="E854" s="518"/>
      <c r="F854" s="518"/>
      <c r="G854" s="518"/>
      <c r="H854" s="518"/>
      <c r="I854" s="518"/>
      <c r="J854" s="518"/>
      <c r="K854" s="518"/>
      <c r="L854" s="518"/>
      <c r="M854" s="518"/>
      <c r="N854" s="518"/>
      <c r="O854" s="518">
        <v>153.66</v>
      </c>
      <c r="P854" s="518"/>
      <c r="Q854" s="518"/>
      <c r="R854" s="518"/>
      <c r="S854" s="518"/>
      <c r="T854" s="518"/>
      <c r="U854" s="518"/>
      <c r="V854" s="518"/>
      <c r="W854" s="518"/>
      <c r="X854" s="518"/>
      <c r="Y854" s="518"/>
      <c r="Z854" s="518"/>
      <c r="AA854" s="604"/>
      <c r="AB854" s="604"/>
      <c r="AC854" s="604"/>
      <c r="AD854" s="604"/>
      <c r="AE854" s="604"/>
      <c r="AF854" s="604"/>
      <c r="AG854" s="604"/>
      <c r="AH854" s="604"/>
      <c r="AI854" s="604"/>
      <c r="AJ854" s="604"/>
      <c r="AK854" s="604"/>
      <c r="AL854" s="604"/>
      <c r="AM854" s="604"/>
      <c r="AN854" s="604"/>
    </row>
    <row r="855" spans="1:40" ht="15.75" hidden="1" customHeight="1">
      <c r="A855" s="650">
        <v>45204</v>
      </c>
      <c r="B855" s="596"/>
      <c r="C855" s="624" t="s">
        <v>473</v>
      </c>
      <c r="D855" s="608"/>
      <c r="E855" s="518"/>
      <c r="F855" s="518"/>
      <c r="G855" s="518"/>
      <c r="H855" s="518"/>
      <c r="I855" s="518"/>
      <c r="J855" s="518"/>
      <c r="K855" s="518"/>
      <c r="L855" s="518"/>
      <c r="M855" s="518"/>
      <c r="N855" s="518"/>
      <c r="O855" s="518">
        <v>37.17</v>
      </c>
      <c r="P855" s="518"/>
      <c r="Q855" s="518"/>
      <c r="R855" s="518"/>
      <c r="S855" s="518"/>
      <c r="T855" s="518"/>
      <c r="U855" s="518"/>
      <c r="V855" s="518"/>
      <c r="W855" s="518"/>
      <c r="X855" s="518"/>
      <c r="Y855" s="518"/>
      <c r="Z855" s="518"/>
      <c r="AA855" s="604"/>
      <c r="AB855" s="604"/>
      <c r="AC855" s="604"/>
      <c r="AD855" s="604"/>
      <c r="AE855" s="604"/>
      <c r="AF855" s="604"/>
      <c r="AG855" s="604"/>
      <c r="AH855" s="604"/>
      <c r="AI855" s="604"/>
      <c r="AJ855" s="604"/>
      <c r="AK855" s="604"/>
      <c r="AL855" s="604"/>
      <c r="AM855" s="604"/>
      <c r="AN855" s="604"/>
    </row>
    <row r="856" spans="1:40" ht="15.75" hidden="1" customHeight="1">
      <c r="A856" s="650">
        <v>45208</v>
      </c>
      <c r="B856" s="596"/>
      <c r="C856" s="624" t="s">
        <v>474</v>
      </c>
      <c r="D856" s="608"/>
      <c r="E856" s="518"/>
      <c r="F856" s="518"/>
      <c r="G856" s="518"/>
      <c r="H856" s="518"/>
      <c r="I856" s="518"/>
      <c r="J856" s="518"/>
      <c r="K856" s="518"/>
      <c r="L856" s="518"/>
      <c r="M856" s="518"/>
      <c r="N856" s="518"/>
      <c r="O856" s="518">
        <f>20.48*B833</f>
        <v>0</v>
      </c>
      <c r="P856" s="518"/>
      <c r="Q856" s="518"/>
      <c r="R856" s="518"/>
      <c r="S856" s="518"/>
      <c r="T856" s="518"/>
      <c r="U856" s="518"/>
      <c r="V856" s="518"/>
      <c r="W856" s="518"/>
      <c r="X856" s="518"/>
      <c r="Y856" s="518"/>
      <c r="Z856" s="518"/>
      <c r="AA856" s="604"/>
      <c r="AB856" s="604"/>
      <c r="AC856" s="604"/>
      <c r="AD856" s="604"/>
      <c r="AE856" s="604"/>
      <c r="AF856" s="604"/>
      <c r="AG856" s="604"/>
      <c r="AH856" s="604"/>
      <c r="AI856" s="604"/>
      <c r="AJ856" s="604"/>
      <c r="AK856" s="604"/>
      <c r="AL856" s="604"/>
      <c r="AM856" s="604"/>
      <c r="AN856" s="604"/>
    </row>
    <row r="857" spans="1:40" ht="15.75" hidden="1" customHeight="1">
      <c r="A857" s="650">
        <v>45208</v>
      </c>
      <c r="B857" s="596"/>
      <c r="C857" s="624" t="s">
        <v>475</v>
      </c>
      <c r="D857" s="608"/>
      <c r="E857" s="518"/>
      <c r="F857" s="518"/>
      <c r="G857" s="518"/>
      <c r="H857" s="518"/>
      <c r="I857" s="518"/>
      <c r="J857" s="518"/>
      <c r="K857" s="518"/>
      <c r="L857" s="518">
        <v>230.61</v>
      </c>
      <c r="M857" s="518"/>
      <c r="N857" s="518"/>
      <c r="O857" s="518"/>
      <c r="P857" s="518"/>
      <c r="Q857" s="518"/>
      <c r="R857" s="518"/>
      <c r="S857" s="518"/>
      <c r="T857" s="518"/>
      <c r="U857" s="518"/>
      <c r="V857" s="518"/>
      <c r="W857" s="518"/>
      <c r="X857" s="518"/>
      <c r="Y857" s="518"/>
      <c r="Z857" s="518"/>
      <c r="AA857" s="604"/>
      <c r="AB857" s="604"/>
      <c r="AC857" s="604"/>
      <c r="AD857" s="604"/>
      <c r="AE857" s="604"/>
      <c r="AF857" s="604"/>
      <c r="AG857" s="604"/>
      <c r="AH857" s="604"/>
      <c r="AI857" s="604"/>
      <c r="AJ857" s="604"/>
      <c r="AK857" s="604"/>
      <c r="AL857" s="604"/>
      <c r="AM857" s="604"/>
      <c r="AN857" s="604"/>
    </row>
    <row r="858" spans="1:40" ht="15.75" hidden="1" customHeight="1">
      <c r="A858" s="650">
        <v>45209</v>
      </c>
      <c r="B858" s="596"/>
      <c r="C858" s="624" t="s">
        <v>476</v>
      </c>
      <c r="D858" s="608"/>
      <c r="E858" s="518"/>
      <c r="F858" s="518"/>
      <c r="G858" s="518"/>
      <c r="H858" s="518"/>
      <c r="I858" s="518"/>
      <c r="J858" s="518"/>
      <c r="K858" s="518"/>
      <c r="L858" s="518"/>
      <c r="M858" s="518">
        <v>8.1</v>
      </c>
      <c r="N858" s="518"/>
      <c r="O858" s="518"/>
      <c r="P858" s="518"/>
      <c r="Q858" s="518"/>
      <c r="R858" s="518"/>
      <c r="S858" s="518"/>
      <c r="T858" s="518"/>
      <c r="U858" s="518"/>
      <c r="V858" s="518"/>
      <c r="W858" s="518"/>
      <c r="X858" s="518"/>
      <c r="Y858" s="518"/>
      <c r="Z858" s="518"/>
      <c r="AA858" s="604"/>
      <c r="AB858" s="604"/>
      <c r="AC858" s="604"/>
      <c r="AD858" s="604"/>
      <c r="AE858" s="604"/>
      <c r="AF858" s="604"/>
      <c r="AG858" s="604"/>
      <c r="AH858" s="604"/>
      <c r="AI858" s="604"/>
      <c r="AJ858" s="604"/>
      <c r="AK858" s="604"/>
      <c r="AL858" s="604"/>
      <c r="AM858" s="604"/>
      <c r="AN858" s="604"/>
    </row>
    <row r="859" spans="1:40" ht="15.75" hidden="1" customHeight="1">
      <c r="A859" s="650">
        <v>45209</v>
      </c>
      <c r="B859" s="596"/>
      <c r="C859" s="624" t="s">
        <v>477</v>
      </c>
      <c r="D859" s="608"/>
      <c r="E859" s="518"/>
      <c r="F859" s="518"/>
      <c r="G859" s="518"/>
      <c r="H859" s="518"/>
      <c r="I859" s="518"/>
      <c r="J859" s="518"/>
      <c r="K859" s="518"/>
      <c r="L859" s="518"/>
      <c r="M859" s="518">
        <v>35.4</v>
      </c>
      <c r="N859" s="518"/>
      <c r="O859" s="518"/>
      <c r="P859" s="518"/>
      <c r="Q859" s="518"/>
      <c r="R859" s="518"/>
      <c r="S859" s="518"/>
      <c r="T859" s="518"/>
      <c r="U859" s="518"/>
      <c r="V859" s="518"/>
      <c r="W859" s="518"/>
      <c r="X859" s="518"/>
      <c r="Y859" s="518"/>
      <c r="Z859" s="518"/>
      <c r="AA859" s="604"/>
      <c r="AB859" s="604"/>
      <c r="AC859" s="604"/>
      <c r="AD859" s="604"/>
      <c r="AE859" s="604"/>
      <c r="AF859" s="604"/>
      <c r="AG859" s="604"/>
      <c r="AH859" s="604"/>
      <c r="AI859" s="604"/>
      <c r="AJ859" s="604"/>
      <c r="AK859" s="604"/>
      <c r="AL859" s="604"/>
      <c r="AM859" s="604"/>
      <c r="AN859" s="604"/>
    </row>
    <row r="860" spans="1:40" ht="15.75" hidden="1" customHeight="1">
      <c r="A860" s="659">
        <v>45210</v>
      </c>
      <c r="B860" s="596"/>
      <c r="C860" s="624" t="s">
        <v>82</v>
      </c>
      <c r="D860" s="608"/>
      <c r="E860" s="518"/>
      <c r="F860" s="518"/>
      <c r="G860" s="518"/>
      <c r="H860" s="518"/>
      <c r="I860" s="518"/>
      <c r="J860" s="518"/>
      <c r="K860" s="518"/>
      <c r="L860" s="518">
        <v>7.53</v>
      </c>
      <c r="M860" s="518"/>
      <c r="N860" s="518"/>
      <c r="O860" s="518"/>
      <c r="P860" s="518"/>
      <c r="Q860" s="518"/>
      <c r="R860" s="518"/>
      <c r="S860" s="518"/>
      <c r="T860" s="518"/>
      <c r="U860" s="518"/>
      <c r="V860" s="518"/>
      <c r="W860" s="518"/>
      <c r="X860" s="518"/>
      <c r="Y860" s="518"/>
      <c r="Z860" s="518"/>
      <c r="AA860" s="604"/>
      <c r="AB860" s="604"/>
      <c r="AC860" s="604"/>
      <c r="AD860" s="604"/>
      <c r="AE860" s="604"/>
      <c r="AF860" s="604"/>
      <c r="AG860" s="604"/>
      <c r="AH860" s="604"/>
      <c r="AI860" s="604"/>
      <c r="AJ860" s="604"/>
      <c r="AK860" s="604"/>
      <c r="AL860" s="604"/>
      <c r="AM860" s="604"/>
      <c r="AN860" s="604"/>
    </row>
    <row r="861" spans="1:40" ht="15.75" hidden="1" customHeight="1">
      <c r="A861" s="650">
        <v>45210</v>
      </c>
      <c r="B861" s="596"/>
      <c r="C861" s="624" t="s">
        <v>82</v>
      </c>
      <c r="D861" s="608"/>
      <c r="E861" s="518"/>
      <c r="F861" s="518"/>
      <c r="G861" s="518"/>
      <c r="H861" s="518"/>
      <c r="I861" s="518"/>
      <c r="J861" s="518"/>
      <c r="K861" s="518"/>
      <c r="L861" s="518">
        <v>57.95</v>
      </c>
      <c r="M861" s="518"/>
      <c r="N861" s="518"/>
      <c r="O861" s="518"/>
      <c r="P861" s="518"/>
      <c r="Q861" s="518"/>
      <c r="R861" s="518"/>
      <c r="S861" s="518"/>
      <c r="T861" s="518"/>
      <c r="U861" s="518"/>
      <c r="V861" s="518"/>
      <c r="W861" s="518"/>
      <c r="X861" s="518"/>
      <c r="Y861" s="518"/>
      <c r="Z861" s="518"/>
      <c r="AA861" s="604"/>
      <c r="AB861" s="604"/>
      <c r="AC861" s="604"/>
      <c r="AD861" s="604"/>
      <c r="AE861" s="604"/>
      <c r="AF861" s="604"/>
      <c r="AG861" s="604"/>
      <c r="AH861" s="604"/>
      <c r="AI861" s="604"/>
      <c r="AJ861" s="604"/>
      <c r="AK861" s="604"/>
      <c r="AL861" s="604"/>
      <c r="AM861" s="604"/>
      <c r="AN861" s="604"/>
    </row>
    <row r="862" spans="1:40" ht="15.75" hidden="1" customHeight="1">
      <c r="A862" s="650">
        <v>45216</v>
      </c>
      <c r="B862" s="596"/>
      <c r="C862" s="624" t="s">
        <v>207</v>
      </c>
      <c r="D862" s="608"/>
      <c r="E862" s="518"/>
      <c r="F862" s="518"/>
      <c r="G862" s="518"/>
      <c r="H862" s="518"/>
      <c r="I862" s="518"/>
      <c r="J862" s="518"/>
      <c r="K862" s="518"/>
      <c r="L862" s="518"/>
      <c r="M862" s="518">
        <v>70.83</v>
      </c>
      <c r="N862" s="518"/>
      <c r="O862" s="518"/>
      <c r="P862" s="518"/>
      <c r="Q862" s="518"/>
      <c r="R862" s="518"/>
      <c r="S862" s="518"/>
      <c r="T862" s="518"/>
      <c r="U862" s="518"/>
      <c r="V862" s="518"/>
      <c r="W862" s="518"/>
      <c r="X862" s="518"/>
      <c r="Y862" s="518"/>
      <c r="Z862" s="518"/>
      <c r="AA862" s="604"/>
      <c r="AB862" s="604"/>
      <c r="AC862" s="604"/>
      <c r="AD862" s="604"/>
      <c r="AE862" s="604"/>
      <c r="AF862" s="604"/>
      <c r="AG862" s="604"/>
      <c r="AH862" s="604"/>
      <c r="AI862" s="604"/>
      <c r="AJ862" s="604"/>
      <c r="AK862" s="604"/>
      <c r="AL862" s="604"/>
      <c r="AM862" s="604"/>
      <c r="AN862" s="604"/>
    </row>
    <row r="863" spans="1:40" ht="15.75" hidden="1" customHeight="1">
      <c r="A863" s="650">
        <v>45219</v>
      </c>
      <c r="B863" s="624" t="s">
        <v>478</v>
      </c>
      <c r="C863" s="624" t="s">
        <v>479</v>
      </c>
      <c r="D863" s="608">
        <f>1425+950</f>
        <v>2375</v>
      </c>
      <c r="E863" s="518"/>
      <c r="F863" s="518"/>
      <c r="G863" s="518"/>
      <c r="H863" s="518"/>
      <c r="I863" s="518"/>
      <c r="J863" s="518"/>
      <c r="K863" s="518"/>
      <c r="L863" s="518"/>
      <c r="M863" s="518"/>
      <c r="N863" s="518"/>
      <c r="O863" s="518"/>
      <c r="P863" s="518"/>
      <c r="Q863" s="518"/>
      <c r="R863" s="518"/>
      <c r="S863" s="518"/>
      <c r="T863" s="518"/>
      <c r="U863" s="518"/>
      <c r="V863" s="518"/>
      <c r="W863" s="518"/>
      <c r="X863" s="518"/>
      <c r="Y863" s="518"/>
      <c r="Z863" s="518"/>
      <c r="AA863" s="604"/>
      <c r="AB863" s="604"/>
      <c r="AC863" s="604"/>
      <c r="AD863" s="604"/>
      <c r="AE863" s="604"/>
      <c r="AF863" s="604"/>
      <c r="AG863" s="604"/>
      <c r="AH863" s="604"/>
      <c r="AI863" s="604"/>
      <c r="AJ863" s="604"/>
      <c r="AK863" s="604"/>
      <c r="AL863" s="604"/>
      <c r="AM863" s="604"/>
      <c r="AN863" s="604"/>
    </row>
    <row r="864" spans="1:40" ht="15.75" hidden="1" customHeight="1">
      <c r="A864" s="650">
        <v>45222</v>
      </c>
      <c r="B864" s="596"/>
      <c r="C864" s="624" t="s">
        <v>480</v>
      </c>
      <c r="D864" s="608"/>
      <c r="E864" s="518"/>
      <c r="F864" s="518"/>
      <c r="G864" s="518"/>
      <c r="H864" s="518"/>
      <c r="I864" s="518"/>
      <c r="J864" s="518"/>
      <c r="K864" s="518"/>
      <c r="L864" s="518"/>
      <c r="M864" s="518"/>
      <c r="N864" s="518"/>
      <c r="O864" s="518">
        <v>197.47</v>
      </c>
      <c r="P864" s="518"/>
      <c r="Q864" s="518"/>
      <c r="R864" s="518"/>
      <c r="S864" s="518"/>
      <c r="T864" s="518"/>
      <c r="U864" s="518"/>
      <c r="V864" s="518"/>
      <c r="W864" s="518"/>
      <c r="X864" s="518"/>
      <c r="Y864" s="518"/>
      <c r="Z864" s="518"/>
      <c r="AA864" s="604"/>
      <c r="AB864" s="604"/>
      <c r="AC864" s="604"/>
      <c r="AD864" s="604"/>
      <c r="AE864" s="604"/>
      <c r="AF864" s="604"/>
      <c r="AG864" s="604"/>
      <c r="AH864" s="604"/>
      <c r="AI864" s="604"/>
      <c r="AJ864" s="604"/>
      <c r="AK864" s="604"/>
      <c r="AL864" s="604"/>
      <c r="AM864" s="604"/>
      <c r="AN864" s="604"/>
    </row>
    <row r="865" spans="1:40" ht="15.75" hidden="1" customHeight="1">
      <c r="A865" s="650">
        <v>45224</v>
      </c>
      <c r="B865" s="624" t="s">
        <v>481</v>
      </c>
      <c r="C865" s="624" t="s">
        <v>479</v>
      </c>
      <c r="D865" s="608">
        <f>1140+380</f>
        <v>1520</v>
      </c>
      <c r="E865" s="518"/>
      <c r="F865" s="518"/>
      <c r="G865" s="518"/>
      <c r="H865" s="518"/>
      <c r="I865" s="518"/>
      <c r="J865" s="518"/>
      <c r="K865" s="518"/>
      <c r="L865" s="518"/>
      <c r="M865" s="518"/>
      <c r="N865" s="518"/>
      <c r="O865" s="518"/>
      <c r="P865" s="518"/>
      <c r="Q865" s="518"/>
      <c r="R865" s="518"/>
      <c r="S865" s="518"/>
      <c r="T865" s="518"/>
      <c r="U865" s="518"/>
      <c r="V865" s="518"/>
      <c r="W865" s="518"/>
      <c r="X865" s="518"/>
      <c r="Y865" s="518"/>
      <c r="Z865" s="518"/>
      <c r="AA865" s="604"/>
      <c r="AB865" s="604"/>
      <c r="AC865" s="604"/>
      <c r="AD865" s="604"/>
      <c r="AE865" s="604"/>
      <c r="AF865" s="604"/>
      <c r="AG865" s="604"/>
      <c r="AH865" s="604"/>
      <c r="AI865" s="604"/>
      <c r="AJ865" s="604"/>
      <c r="AK865" s="604"/>
      <c r="AL865" s="604"/>
      <c r="AM865" s="604"/>
      <c r="AN865" s="604"/>
    </row>
    <row r="866" spans="1:40" ht="15.75" hidden="1" customHeight="1">
      <c r="A866" s="650">
        <v>45228</v>
      </c>
      <c r="B866" s="596"/>
      <c r="C866" s="624" t="s">
        <v>474</v>
      </c>
      <c r="D866" s="608"/>
      <c r="E866" s="518"/>
      <c r="F866" s="518"/>
      <c r="G866" s="518"/>
      <c r="H866" s="518"/>
      <c r="I866" s="518"/>
      <c r="J866" s="518"/>
      <c r="K866" s="518"/>
      <c r="L866" s="518"/>
      <c r="M866" s="518"/>
      <c r="N866" s="518"/>
      <c r="O866" s="518">
        <v>48.51</v>
      </c>
      <c r="P866" s="518"/>
      <c r="Q866" s="518"/>
      <c r="R866" s="518"/>
      <c r="S866" s="518"/>
      <c r="T866" s="518"/>
      <c r="U866" s="518"/>
      <c r="V866" s="518"/>
      <c r="W866" s="518"/>
      <c r="X866" s="518"/>
      <c r="Y866" s="518"/>
      <c r="Z866" s="518"/>
      <c r="AA866" s="604"/>
      <c r="AB866" s="604"/>
      <c r="AC866" s="604"/>
      <c r="AD866" s="604"/>
      <c r="AE866" s="604"/>
      <c r="AF866" s="604"/>
      <c r="AG866" s="604"/>
      <c r="AH866" s="604"/>
      <c r="AI866" s="604"/>
      <c r="AJ866" s="604"/>
      <c r="AK866" s="604"/>
      <c r="AL866" s="604"/>
      <c r="AM866" s="604"/>
      <c r="AN866" s="604"/>
    </row>
    <row r="867" spans="1:40" ht="15.75" hidden="1" customHeight="1" thickBot="1">
      <c r="A867" s="650"/>
      <c r="B867" s="596"/>
      <c r="C867" s="624"/>
      <c r="D867" s="608"/>
      <c r="E867" s="518"/>
      <c r="F867" s="518"/>
      <c r="G867" s="518"/>
      <c r="H867" s="518"/>
      <c r="I867" s="518"/>
      <c r="J867" s="518"/>
      <c r="K867" s="518"/>
      <c r="L867" s="518"/>
      <c r="M867" s="518"/>
      <c r="N867" s="518"/>
      <c r="O867" s="518"/>
      <c r="P867" s="518"/>
      <c r="Q867" s="518"/>
      <c r="R867" s="518"/>
      <c r="S867" s="518"/>
      <c r="T867" s="518"/>
      <c r="U867" s="518"/>
      <c r="V867" s="518"/>
      <c r="W867" s="518"/>
      <c r="X867" s="518"/>
      <c r="Y867" s="518"/>
      <c r="Z867" s="518"/>
      <c r="AA867" s="604"/>
      <c r="AB867" s="604"/>
      <c r="AC867" s="604"/>
      <c r="AD867" s="604"/>
      <c r="AE867" s="604"/>
      <c r="AF867" s="604"/>
      <c r="AG867" s="604"/>
      <c r="AH867" s="604"/>
      <c r="AI867" s="604"/>
      <c r="AJ867" s="604"/>
      <c r="AK867" s="604"/>
      <c r="AL867" s="604"/>
      <c r="AM867" s="604"/>
      <c r="AN867" s="604"/>
    </row>
    <row r="868" spans="1:40" ht="15.75" hidden="1" customHeight="1" thickTop="1">
      <c r="A868" s="652"/>
      <c r="B868" s="655">
        <v>45231</v>
      </c>
      <c r="C868" s="627"/>
      <c r="D868" s="601"/>
      <c r="E868" s="602"/>
      <c r="F868" s="602"/>
      <c r="G868" s="602"/>
      <c r="H868" s="602"/>
      <c r="I868" s="602"/>
      <c r="J868" s="602"/>
      <c r="K868" s="602"/>
      <c r="L868" s="602"/>
      <c r="M868" s="602"/>
      <c r="N868" s="602"/>
      <c r="O868" s="602"/>
      <c r="P868" s="602"/>
      <c r="Q868" s="602"/>
      <c r="R868" s="602"/>
      <c r="S868" s="602"/>
      <c r="T868" s="602"/>
      <c r="U868" s="602"/>
      <c r="V868" s="602"/>
      <c r="W868" s="602"/>
      <c r="X868" s="602"/>
      <c r="Y868" s="602"/>
      <c r="Z868" s="602"/>
      <c r="AA868" s="604"/>
      <c r="AB868" s="604"/>
      <c r="AC868" s="604"/>
      <c r="AD868" s="604"/>
      <c r="AE868" s="604"/>
      <c r="AF868" s="604"/>
      <c r="AG868" s="604"/>
      <c r="AH868" s="604"/>
      <c r="AI868" s="604"/>
      <c r="AJ868" s="604"/>
      <c r="AK868" s="604"/>
      <c r="AL868" s="604"/>
      <c r="AM868" s="604"/>
      <c r="AN868" s="604"/>
    </row>
    <row r="869" spans="1:40" ht="15.75" hidden="1" customHeight="1">
      <c r="A869" s="650">
        <v>45231</v>
      </c>
      <c r="B869" s="606"/>
      <c r="C869" s="607" t="s">
        <v>62</v>
      </c>
      <c r="D869" s="608"/>
      <c r="E869" s="518"/>
      <c r="F869" s="518"/>
      <c r="G869" s="518"/>
      <c r="H869" s="518"/>
      <c r="I869" s="518"/>
      <c r="J869" s="518"/>
      <c r="K869" s="518"/>
      <c r="L869" s="518"/>
      <c r="M869" s="518"/>
      <c r="N869" s="518"/>
      <c r="O869" s="518"/>
      <c r="P869" s="518"/>
      <c r="Q869" s="518"/>
      <c r="R869" s="518"/>
      <c r="S869" s="518"/>
      <c r="T869" s="518"/>
      <c r="U869" s="518"/>
      <c r="V869" s="518">
        <v>1036.55</v>
      </c>
      <c r="W869" s="518"/>
      <c r="X869" s="518"/>
      <c r="Y869" s="518"/>
      <c r="Z869" s="518"/>
      <c r="AA869" s="604"/>
      <c r="AB869" s="604"/>
      <c r="AC869" s="604"/>
      <c r="AD869" s="604"/>
      <c r="AE869" s="604"/>
      <c r="AF869" s="604"/>
      <c r="AG869" s="604"/>
      <c r="AH869" s="604"/>
      <c r="AI869" s="604"/>
      <c r="AJ869" s="604"/>
      <c r="AK869" s="604"/>
      <c r="AL869" s="604"/>
      <c r="AM869" s="604"/>
      <c r="AN869" s="604"/>
    </row>
    <row r="870" spans="1:40" ht="15.75" hidden="1" customHeight="1">
      <c r="A870" s="650">
        <v>45232</v>
      </c>
      <c r="B870" s="612"/>
      <c r="C870" s="611" t="s">
        <v>63</v>
      </c>
      <c r="D870" s="608"/>
      <c r="E870" s="518"/>
      <c r="F870" s="518"/>
      <c r="G870" s="518"/>
      <c r="H870" s="518"/>
      <c r="I870" s="518"/>
      <c r="J870" s="518"/>
      <c r="K870" s="518"/>
      <c r="L870" s="518"/>
      <c r="M870" s="518"/>
      <c r="N870" s="518"/>
      <c r="O870" s="518"/>
      <c r="P870" s="518"/>
      <c r="Q870" s="518"/>
      <c r="R870" s="518"/>
      <c r="S870" s="518"/>
      <c r="T870" s="518">
        <v>283.77</v>
      </c>
      <c r="U870" s="518"/>
      <c r="V870" s="518"/>
      <c r="W870" s="518"/>
      <c r="X870" s="518"/>
      <c r="Y870" s="518"/>
      <c r="Z870" s="518"/>
      <c r="AA870" s="604"/>
      <c r="AB870" s="604"/>
      <c r="AC870" s="604"/>
      <c r="AD870" s="604"/>
      <c r="AE870" s="604"/>
      <c r="AF870" s="604"/>
      <c r="AG870" s="604"/>
      <c r="AH870" s="604"/>
      <c r="AI870" s="604"/>
      <c r="AJ870" s="604"/>
      <c r="AK870" s="604"/>
      <c r="AL870" s="604"/>
      <c r="AM870" s="604"/>
      <c r="AN870" s="604"/>
    </row>
    <row r="871" spans="1:40" ht="15.75" hidden="1" customHeight="1">
      <c r="A871" s="650">
        <v>45232</v>
      </c>
      <c r="B871" s="610">
        <f>'Conversion rates'!B26</f>
        <v>1.148463</v>
      </c>
      <c r="C871" s="611" t="s">
        <v>276</v>
      </c>
      <c r="D871" s="608"/>
      <c r="E871" s="518"/>
      <c r="F871" s="518"/>
      <c r="G871" s="608"/>
      <c r="H871" s="518"/>
      <c r="I871" s="518"/>
      <c r="J871" s="518"/>
      <c r="K871" s="518"/>
      <c r="L871" s="518"/>
      <c r="M871" s="518"/>
      <c r="N871" s="518"/>
      <c r="O871" s="518"/>
      <c r="P871" s="518"/>
      <c r="Q871" s="518"/>
      <c r="R871" s="518"/>
      <c r="S871" s="518"/>
      <c r="T871" s="518">
        <v>80</v>
      </c>
      <c r="U871" s="518"/>
      <c r="V871" s="518"/>
      <c r="W871" s="518"/>
      <c r="X871" s="518"/>
      <c r="Y871" s="518"/>
      <c r="Z871" s="518"/>
      <c r="AA871" s="604"/>
      <c r="AB871" s="604"/>
      <c r="AC871" s="604"/>
      <c r="AD871" s="604"/>
      <c r="AE871" s="604"/>
      <c r="AF871" s="604"/>
      <c r="AG871" s="604"/>
      <c r="AH871" s="604"/>
      <c r="AI871" s="604"/>
      <c r="AJ871" s="604"/>
      <c r="AK871" s="604"/>
      <c r="AL871" s="604"/>
      <c r="AM871" s="604"/>
      <c r="AN871" s="604"/>
    </row>
    <row r="872" spans="1:40" ht="15.75" hidden="1" customHeight="1">
      <c r="A872" s="650">
        <v>45244</v>
      </c>
      <c r="B872" s="615"/>
      <c r="C872" s="614" t="s">
        <v>421</v>
      </c>
      <c r="D872" s="608"/>
      <c r="E872" s="518"/>
      <c r="F872" s="518"/>
      <c r="G872" s="608"/>
      <c r="H872" s="518"/>
      <c r="I872" s="518"/>
      <c r="J872" s="518"/>
      <c r="K872" s="518"/>
      <c r="L872" s="518"/>
      <c r="M872" s="518">
        <v>49</v>
      </c>
      <c r="N872" s="518"/>
      <c r="O872" s="518"/>
      <c r="P872" s="518"/>
      <c r="Q872" s="518"/>
      <c r="R872" s="518"/>
      <c r="S872" s="518"/>
      <c r="T872" s="518"/>
      <c r="U872" s="518"/>
      <c r="V872" s="518"/>
      <c r="W872" s="518"/>
      <c r="X872" s="518"/>
      <c r="Y872" s="518"/>
      <c r="Z872" s="518"/>
      <c r="AA872" s="604"/>
      <c r="AB872" s="604"/>
      <c r="AC872" s="604"/>
      <c r="AD872" s="604"/>
      <c r="AE872" s="604"/>
      <c r="AF872" s="604"/>
      <c r="AG872" s="604"/>
      <c r="AH872" s="604"/>
      <c r="AI872" s="604"/>
      <c r="AJ872" s="604"/>
      <c r="AK872" s="604"/>
      <c r="AL872" s="604"/>
      <c r="AM872" s="604"/>
      <c r="AN872" s="604"/>
    </row>
    <row r="873" spans="1:40" ht="15.75" hidden="1" customHeight="1">
      <c r="A873" s="650">
        <v>45245</v>
      </c>
      <c r="B873" s="612"/>
      <c r="C873" s="611" t="s">
        <v>420</v>
      </c>
      <c r="D873" s="608"/>
      <c r="E873" s="518"/>
      <c r="F873" s="518"/>
      <c r="G873" s="608"/>
      <c r="H873" s="518"/>
      <c r="I873" s="518"/>
      <c r="J873" s="518"/>
      <c r="K873" s="518"/>
      <c r="L873" s="518"/>
      <c r="M873" s="518"/>
      <c r="N873" s="518"/>
      <c r="O873" s="518"/>
      <c r="P873" s="518"/>
      <c r="Q873" s="518"/>
      <c r="R873" s="518"/>
      <c r="S873" s="518"/>
      <c r="T873" s="518">
        <v>18</v>
      </c>
      <c r="U873" s="518"/>
      <c r="V873" s="518"/>
      <c r="W873" s="518"/>
      <c r="X873" s="518"/>
      <c r="Y873" s="518"/>
      <c r="Z873" s="518"/>
      <c r="AA873" s="604"/>
      <c r="AB873" s="604"/>
      <c r="AC873" s="604"/>
      <c r="AD873" s="604"/>
      <c r="AE873" s="604"/>
      <c r="AF873" s="604"/>
      <c r="AG873" s="604"/>
      <c r="AH873" s="604"/>
      <c r="AI873" s="604"/>
      <c r="AJ873" s="604"/>
      <c r="AK873" s="604"/>
      <c r="AL873" s="604"/>
      <c r="AM873" s="604"/>
      <c r="AN873" s="604"/>
    </row>
    <row r="874" spans="1:40" ht="15.75" hidden="1" customHeight="1">
      <c r="A874" s="660">
        <v>45245</v>
      </c>
      <c r="B874" s="613"/>
      <c r="C874" s="611" t="s">
        <v>168</v>
      </c>
      <c r="D874" s="608"/>
      <c r="E874" s="518"/>
      <c r="F874" s="518"/>
      <c r="G874" s="608"/>
      <c r="H874" s="518"/>
      <c r="I874" s="518"/>
      <c r="J874" s="518"/>
      <c r="K874" s="518"/>
      <c r="L874" s="518"/>
      <c r="M874" s="518"/>
      <c r="N874" s="518"/>
      <c r="O874" s="518"/>
      <c r="P874" s="518"/>
      <c r="Q874" s="518"/>
      <c r="R874" s="518"/>
      <c r="S874" s="518"/>
      <c r="T874" s="518">
        <v>1608.68</v>
      </c>
      <c r="U874" s="518"/>
      <c r="V874" s="518"/>
      <c r="W874" s="518"/>
      <c r="X874" s="518"/>
      <c r="Y874" s="518"/>
      <c r="Z874" s="518"/>
      <c r="AA874" s="604"/>
      <c r="AB874" s="604"/>
      <c r="AC874" s="604"/>
      <c r="AD874" s="604"/>
      <c r="AE874" s="604"/>
      <c r="AF874" s="604"/>
      <c r="AG874" s="604"/>
      <c r="AH874" s="604"/>
      <c r="AI874" s="604"/>
      <c r="AJ874" s="604"/>
      <c r="AK874" s="604"/>
      <c r="AL874" s="604"/>
      <c r="AM874" s="604"/>
      <c r="AN874" s="604"/>
    </row>
    <row r="875" spans="1:40" ht="15.75" hidden="1" customHeight="1">
      <c r="A875" s="650">
        <v>45245</v>
      </c>
      <c r="B875" s="615"/>
      <c r="C875" s="611" t="s">
        <v>341</v>
      </c>
      <c r="D875" s="608"/>
      <c r="E875" s="518"/>
      <c r="F875" s="518"/>
      <c r="G875" s="608"/>
      <c r="H875" s="518">
        <v>850.25</v>
      </c>
      <c r="I875" s="518"/>
      <c r="J875" s="518"/>
      <c r="K875" s="518"/>
      <c r="L875" s="518"/>
      <c r="M875" s="518"/>
      <c r="N875" s="518"/>
      <c r="O875" s="518"/>
      <c r="P875" s="518"/>
      <c r="Q875" s="518"/>
      <c r="R875" s="518"/>
      <c r="S875" s="518"/>
      <c r="T875" s="518"/>
      <c r="U875" s="518"/>
      <c r="V875" s="518"/>
      <c r="W875" s="518"/>
      <c r="X875" s="518"/>
      <c r="Y875" s="518"/>
      <c r="Z875" s="518"/>
      <c r="AA875" s="604"/>
      <c r="AB875" s="604"/>
      <c r="AC875" s="604"/>
      <c r="AD875" s="604"/>
      <c r="AE875" s="604"/>
      <c r="AF875" s="604"/>
      <c r="AG875" s="604"/>
      <c r="AH875" s="604"/>
      <c r="AI875" s="604"/>
      <c r="AJ875" s="604"/>
      <c r="AK875" s="604"/>
      <c r="AL875" s="604"/>
      <c r="AM875" s="604"/>
      <c r="AN875" s="604"/>
    </row>
    <row r="876" spans="1:40" ht="15.75" hidden="1" customHeight="1">
      <c r="A876" s="650">
        <v>45237</v>
      </c>
      <c r="B876" s="612" t="s">
        <v>310</v>
      </c>
      <c r="C876" s="614" t="s">
        <v>482</v>
      </c>
      <c r="D876" s="608"/>
      <c r="E876" s="518"/>
      <c r="F876" s="518"/>
      <c r="G876" s="608"/>
      <c r="H876" s="518"/>
      <c r="I876" s="518"/>
      <c r="J876" s="518"/>
      <c r="K876" s="518"/>
      <c r="L876" s="518"/>
      <c r="M876" s="616"/>
      <c r="N876" s="518">
        <f>800*B871</f>
        <v>918.7704</v>
      </c>
      <c r="O876" s="518"/>
      <c r="P876" s="518"/>
      <c r="Q876" s="518"/>
      <c r="R876" s="518"/>
      <c r="S876" s="518"/>
      <c r="T876" s="518"/>
      <c r="U876" s="518"/>
      <c r="V876" s="518"/>
      <c r="W876" s="518"/>
      <c r="X876" s="518"/>
      <c r="Y876" s="518"/>
      <c r="Z876" s="518"/>
      <c r="AA876" s="604"/>
      <c r="AB876" s="604"/>
      <c r="AC876" s="604"/>
      <c r="AD876" s="604"/>
      <c r="AE876" s="604"/>
      <c r="AF876" s="604"/>
      <c r="AG876" s="604"/>
      <c r="AH876" s="604"/>
      <c r="AI876" s="604"/>
      <c r="AJ876" s="604"/>
      <c r="AK876" s="604"/>
      <c r="AL876" s="604"/>
      <c r="AM876" s="604"/>
      <c r="AN876" s="604"/>
    </row>
    <row r="877" spans="1:40" ht="15.75" hidden="1" customHeight="1">
      <c r="A877" s="650">
        <v>45247</v>
      </c>
      <c r="B877" s="613"/>
      <c r="C877" s="611" t="s">
        <v>111</v>
      </c>
      <c r="D877" s="608"/>
      <c r="E877" s="518"/>
      <c r="F877" s="518"/>
      <c r="G877" s="608"/>
      <c r="H877" s="518"/>
      <c r="I877" s="518"/>
      <c r="J877" s="518"/>
      <c r="K877" s="518">
        <v>34.99</v>
      </c>
      <c r="L877" s="518"/>
      <c r="M877" s="518"/>
      <c r="N877" s="518"/>
      <c r="O877" s="518"/>
      <c r="P877" s="518"/>
      <c r="Q877" s="518"/>
      <c r="R877" s="518"/>
      <c r="S877" s="518"/>
      <c r="T877" s="518">
        <v>19.98</v>
      </c>
      <c r="U877" s="518"/>
      <c r="V877" s="518"/>
      <c r="W877" s="518"/>
      <c r="X877" s="518"/>
      <c r="Y877" s="518"/>
      <c r="Z877" s="518"/>
      <c r="AA877" s="604"/>
      <c r="AB877" s="604"/>
      <c r="AC877" s="604"/>
      <c r="AD877" s="604"/>
      <c r="AE877" s="604"/>
      <c r="AF877" s="604"/>
      <c r="AG877" s="604"/>
      <c r="AH877" s="604"/>
      <c r="AI877" s="604"/>
      <c r="AJ877" s="604"/>
      <c r="AK877" s="604"/>
      <c r="AL877" s="604"/>
      <c r="AM877" s="604"/>
      <c r="AN877" s="604"/>
    </row>
    <row r="878" spans="1:40" ht="15.75" hidden="1" customHeight="1">
      <c r="A878" s="650">
        <v>45250</v>
      </c>
      <c r="B878" s="613"/>
      <c r="C878" s="611" t="s">
        <v>78</v>
      </c>
      <c r="D878" s="608"/>
      <c r="E878" s="518"/>
      <c r="F878" s="518"/>
      <c r="G878" s="608"/>
      <c r="H878" s="518"/>
      <c r="I878" s="518"/>
      <c r="J878" s="518">
        <v>20.5</v>
      </c>
      <c r="K878" s="518"/>
      <c r="L878" s="518"/>
      <c r="M878" s="518"/>
      <c r="N878" s="518"/>
      <c r="O878" s="518"/>
      <c r="P878" s="518"/>
      <c r="Q878" s="518"/>
      <c r="R878" s="518"/>
      <c r="S878" s="518"/>
      <c r="T878" s="518"/>
      <c r="U878" s="518"/>
      <c r="V878" s="518"/>
      <c r="W878" s="518"/>
      <c r="X878" s="518"/>
      <c r="Y878" s="518"/>
      <c r="Z878" s="518"/>
      <c r="AA878" s="604"/>
      <c r="AB878" s="604"/>
      <c r="AC878" s="604"/>
      <c r="AD878" s="604"/>
      <c r="AE878" s="604"/>
      <c r="AF878" s="604"/>
      <c r="AG878" s="604"/>
      <c r="AH878" s="604"/>
      <c r="AI878" s="604"/>
      <c r="AJ878" s="604"/>
      <c r="AK878" s="604"/>
      <c r="AL878" s="604"/>
      <c r="AM878" s="604"/>
      <c r="AN878" s="604"/>
    </row>
    <row r="879" spans="1:40" ht="15.75" hidden="1" customHeight="1">
      <c r="A879" s="650">
        <v>45252</v>
      </c>
      <c r="B879" s="615"/>
      <c r="C879" s="661" t="s">
        <v>2217</v>
      </c>
      <c r="D879" s="608"/>
      <c r="E879" s="518"/>
      <c r="F879" s="518"/>
      <c r="G879" s="608"/>
      <c r="H879" s="518"/>
      <c r="I879" s="518"/>
      <c r="J879" s="518"/>
      <c r="K879" s="616"/>
      <c r="L879" s="518"/>
      <c r="M879" s="518"/>
      <c r="N879" s="518"/>
      <c r="O879" s="518"/>
      <c r="P879" s="518"/>
      <c r="Q879" s="518">
        <v>5.39</v>
      </c>
      <c r="R879" s="518"/>
      <c r="S879" s="518"/>
      <c r="T879" s="518"/>
      <c r="U879" s="518"/>
      <c r="V879" s="518"/>
      <c r="W879" s="518"/>
      <c r="X879" s="518"/>
      <c r="Y879" s="518"/>
      <c r="Z879" s="518"/>
      <c r="AA879" s="604"/>
      <c r="AB879" s="604"/>
      <c r="AC879" s="604"/>
      <c r="AD879" s="604"/>
      <c r="AE879" s="604"/>
      <c r="AF879" s="604"/>
      <c r="AG879" s="604"/>
      <c r="AH879" s="604"/>
      <c r="AI879" s="604"/>
      <c r="AJ879" s="604"/>
      <c r="AK879" s="604"/>
      <c r="AL879" s="604"/>
      <c r="AM879" s="604"/>
      <c r="AN879" s="604"/>
    </row>
    <row r="880" spans="1:40" ht="15.75" hidden="1" customHeight="1">
      <c r="A880" s="650">
        <v>45239</v>
      </c>
      <c r="B880" s="615"/>
      <c r="C880" s="662" t="s">
        <v>483</v>
      </c>
      <c r="D880" s="608"/>
      <c r="E880" s="518"/>
      <c r="F880" s="518"/>
      <c r="G880" s="608"/>
      <c r="H880" s="518"/>
      <c r="I880" s="518"/>
      <c r="J880" s="518"/>
      <c r="K880" s="616"/>
      <c r="L880" s="518"/>
      <c r="M880" s="518"/>
      <c r="N880" s="518"/>
      <c r="O880" s="518"/>
      <c r="P880" s="518"/>
      <c r="Q880" s="518">
        <v>5.39</v>
      </c>
      <c r="R880" s="518"/>
      <c r="S880" s="518"/>
      <c r="T880" s="518"/>
      <c r="U880" s="518"/>
      <c r="V880" s="518"/>
      <c r="W880" s="518"/>
      <c r="X880" s="518"/>
      <c r="Y880" s="518"/>
      <c r="Z880" s="518"/>
      <c r="AA880" s="604"/>
      <c r="AB880" s="604"/>
      <c r="AC880" s="604"/>
      <c r="AD880" s="604"/>
      <c r="AE880" s="604"/>
      <c r="AF880" s="604"/>
      <c r="AG880" s="604"/>
      <c r="AH880" s="604"/>
      <c r="AI880" s="604"/>
      <c r="AJ880" s="604"/>
      <c r="AK880" s="604"/>
      <c r="AL880" s="604"/>
      <c r="AM880" s="604"/>
      <c r="AN880" s="604"/>
    </row>
    <row r="881" spans="1:40" ht="15.75" hidden="1" customHeight="1">
      <c r="A881" s="650">
        <v>45254</v>
      </c>
      <c r="B881" s="615"/>
      <c r="C881" s="611" t="s">
        <v>364</v>
      </c>
      <c r="D881" s="608"/>
      <c r="E881" s="518"/>
      <c r="F881" s="518"/>
      <c r="G881" s="608"/>
      <c r="H881" s="518"/>
      <c r="I881" s="518"/>
      <c r="J881" s="518"/>
      <c r="K881" s="518">
        <v>11.5</v>
      </c>
      <c r="L881" s="518"/>
      <c r="M881" s="518"/>
      <c r="N881" s="518"/>
      <c r="O881" s="518"/>
      <c r="P881" s="518"/>
      <c r="Q881" s="518"/>
      <c r="R881" s="518"/>
      <c r="S881" s="518"/>
      <c r="T881" s="518"/>
      <c r="U881" s="518"/>
      <c r="V881" s="518"/>
      <c r="W881" s="518"/>
      <c r="X881" s="518"/>
      <c r="Y881" s="518"/>
      <c r="Z881" s="518"/>
      <c r="AA881" s="604"/>
      <c r="AB881" s="604"/>
      <c r="AC881" s="604"/>
      <c r="AD881" s="604"/>
      <c r="AE881" s="604"/>
      <c r="AF881" s="604"/>
      <c r="AG881" s="604"/>
      <c r="AH881" s="604"/>
      <c r="AI881" s="604"/>
      <c r="AJ881" s="604"/>
      <c r="AK881" s="604"/>
      <c r="AL881" s="604"/>
      <c r="AM881" s="604"/>
      <c r="AN881" s="604"/>
    </row>
    <row r="882" spans="1:40" ht="18" hidden="1" customHeight="1">
      <c r="A882" s="650">
        <v>45260</v>
      </c>
      <c r="B882" s="615"/>
      <c r="C882" s="611" t="s">
        <v>344</v>
      </c>
      <c r="D882" s="608"/>
      <c r="E882" s="518"/>
      <c r="F882" s="518"/>
      <c r="G882" s="608"/>
      <c r="H882" s="518"/>
      <c r="I882" s="518"/>
      <c r="J882" s="518"/>
      <c r="K882" s="518"/>
      <c r="L882" s="518"/>
      <c r="M882" s="518"/>
      <c r="N882" s="518"/>
      <c r="O882" s="518"/>
      <c r="P882" s="518"/>
      <c r="Q882" s="518"/>
      <c r="R882" s="518"/>
      <c r="S882" s="518">
        <v>1.81</v>
      </c>
      <c r="T882" s="518"/>
      <c r="U882" s="518"/>
      <c r="V882" s="518"/>
      <c r="W882" s="518"/>
      <c r="X882" s="518"/>
      <c r="Y882" s="518"/>
      <c r="Z882" s="518"/>
      <c r="AA882" s="604"/>
      <c r="AB882" s="604"/>
      <c r="AC882" s="604"/>
      <c r="AD882" s="604"/>
      <c r="AE882" s="604"/>
      <c r="AF882" s="604"/>
      <c r="AG882" s="604"/>
      <c r="AH882" s="604"/>
      <c r="AI882" s="604"/>
      <c r="AJ882" s="604"/>
      <c r="AK882" s="604"/>
      <c r="AL882" s="604"/>
      <c r="AM882" s="604"/>
      <c r="AN882" s="604"/>
    </row>
    <row r="883" spans="1:40" ht="15.75" hidden="1" customHeight="1">
      <c r="A883" s="650">
        <v>45252</v>
      </c>
      <c r="B883" s="615"/>
      <c r="C883" s="614" t="s">
        <v>385</v>
      </c>
      <c r="D883" s="608"/>
      <c r="E883" s="518"/>
      <c r="F883" s="518"/>
      <c r="G883" s="608"/>
      <c r="H883" s="518"/>
      <c r="I883" s="518"/>
      <c r="J883" s="518"/>
      <c r="K883" s="518"/>
      <c r="L883" s="518"/>
      <c r="M883" s="518"/>
      <c r="N883" s="518"/>
      <c r="O883" s="518"/>
      <c r="P883" s="518"/>
      <c r="Q883" s="518"/>
      <c r="R883" s="518"/>
      <c r="S883" s="518">
        <v>11.5</v>
      </c>
      <c r="T883" s="518"/>
      <c r="U883" s="518"/>
      <c r="V883" s="518"/>
      <c r="W883" s="518"/>
      <c r="X883" s="518"/>
      <c r="Y883" s="518"/>
      <c r="Z883" s="518"/>
      <c r="AA883" s="604"/>
      <c r="AB883" s="604"/>
      <c r="AC883" s="604"/>
      <c r="AD883" s="604"/>
      <c r="AE883" s="604"/>
      <c r="AF883" s="604"/>
      <c r="AG883" s="604"/>
      <c r="AH883" s="604"/>
      <c r="AI883" s="604"/>
      <c r="AJ883" s="604"/>
      <c r="AK883" s="604"/>
      <c r="AL883" s="604"/>
      <c r="AM883" s="604"/>
      <c r="AN883" s="604"/>
    </row>
    <row r="884" spans="1:40" ht="15.75" hidden="1" customHeight="1">
      <c r="A884" s="650">
        <v>45251</v>
      </c>
      <c r="B884" s="612"/>
      <c r="C884" s="611" t="s">
        <v>320</v>
      </c>
      <c r="D884" s="608"/>
      <c r="E884" s="518"/>
      <c r="F884" s="518"/>
      <c r="G884" s="608"/>
      <c r="H884" s="518"/>
      <c r="I884" s="518"/>
      <c r="J884" s="518"/>
      <c r="K884" s="518">
        <v>36.74</v>
      </c>
      <c r="L884" s="518"/>
      <c r="M884" s="518"/>
      <c r="N884" s="518"/>
      <c r="O884" s="518"/>
      <c r="P884" s="518"/>
      <c r="Q884" s="518"/>
      <c r="R884" s="518"/>
      <c r="S884" s="518"/>
      <c r="T884" s="518"/>
      <c r="U884" s="518"/>
      <c r="V884" s="518"/>
      <c r="W884" s="518"/>
      <c r="X884" s="518"/>
      <c r="Y884" s="518"/>
      <c r="Z884" s="518"/>
      <c r="AA884" s="604"/>
      <c r="AB884" s="604"/>
      <c r="AC884" s="604"/>
      <c r="AD884" s="604"/>
      <c r="AE884" s="604"/>
      <c r="AF884" s="604"/>
      <c r="AG884" s="604"/>
      <c r="AH884" s="604"/>
      <c r="AI884" s="604"/>
      <c r="AJ884" s="604"/>
      <c r="AK884" s="604"/>
      <c r="AL884" s="604"/>
      <c r="AM884" s="604"/>
      <c r="AN884" s="604"/>
    </row>
    <row r="885" spans="1:40" ht="15.75" hidden="1" customHeight="1">
      <c r="A885" s="650">
        <v>45239</v>
      </c>
      <c r="B885" s="612"/>
      <c r="C885" s="611" t="s">
        <v>360</v>
      </c>
      <c r="D885" s="608"/>
      <c r="E885" s="518"/>
      <c r="F885" s="518">
        <v>522</v>
      </c>
      <c r="G885" s="608"/>
      <c r="H885" s="518"/>
      <c r="I885" s="518"/>
      <c r="J885" s="518"/>
      <c r="K885" s="518"/>
      <c r="L885" s="518"/>
      <c r="M885" s="518"/>
      <c r="N885" s="518"/>
      <c r="O885" s="518"/>
      <c r="P885" s="518"/>
      <c r="Q885" s="518"/>
      <c r="R885" s="518"/>
      <c r="S885" s="518"/>
      <c r="T885" s="518"/>
      <c r="U885" s="518"/>
      <c r="V885" s="518"/>
      <c r="W885" s="518"/>
      <c r="X885" s="518"/>
      <c r="Y885" s="518"/>
      <c r="Z885" s="518"/>
      <c r="AA885" s="604"/>
      <c r="AB885" s="604"/>
      <c r="AC885" s="604"/>
      <c r="AD885" s="604"/>
      <c r="AE885" s="604"/>
      <c r="AF885" s="604"/>
      <c r="AG885" s="604"/>
      <c r="AH885" s="604"/>
      <c r="AI885" s="604"/>
      <c r="AJ885" s="604"/>
      <c r="AK885" s="604"/>
      <c r="AL885" s="604"/>
      <c r="AM885" s="604"/>
      <c r="AN885" s="604"/>
    </row>
    <row r="886" spans="1:40" ht="15.75" hidden="1" customHeight="1">
      <c r="A886" s="650">
        <v>45246</v>
      </c>
      <c r="B886" s="612"/>
      <c r="C886" s="611" t="s">
        <v>484</v>
      </c>
      <c r="D886" s="608"/>
      <c r="E886" s="518"/>
      <c r="F886" s="518">
        <v>20.53</v>
      </c>
      <c r="G886" s="608"/>
      <c r="H886" s="518"/>
      <c r="I886" s="518"/>
      <c r="J886" s="518"/>
      <c r="K886" s="518"/>
      <c r="L886" s="518"/>
      <c r="M886" s="518"/>
      <c r="N886" s="518"/>
      <c r="O886" s="518"/>
      <c r="P886" s="518"/>
      <c r="Q886" s="518"/>
      <c r="R886" s="518"/>
      <c r="S886" s="518"/>
      <c r="T886" s="518"/>
      <c r="U886" s="518"/>
      <c r="V886" s="518"/>
      <c r="W886" s="518"/>
      <c r="X886" s="518"/>
      <c r="Y886" s="518"/>
      <c r="Z886" s="518"/>
      <c r="AA886" s="604"/>
      <c r="AB886" s="604"/>
      <c r="AC886" s="604"/>
      <c r="AD886" s="604"/>
      <c r="AE886" s="604"/>
      <c r="AF886" s="604"/>
      <c r="AG886" s="604"/>
      <c r="AH886" s="604"/>
      <c r="AI886" s="604"/>
      <c r="AJ886" s="604"/>
      <c r="AK886" s="604"/>
      <c r="AL886" s="604"/>
      <c r="AM886" s="604"/>
      <c r="AN886" s="604"/>
    </row>
    <row r="887" spans="1:40" ht="15.75" hidden="1" customHeight="1">
      <c r="A887" s="650">
        <v>45252</v>
      </c>
      <c r="B887" s="612"/>
      <c r="C887" s="611" t="s">
        <v>485</v>
      </c>
      <c r="D887" s="608"/>
      <c r="E887" s="518"/>
      <c r="F887" s="518"/>
      <c r="G887" s="608"/>
      <c r="H887" s="518"/>
      <c r="I887" s="518"/>
      <c r="J887" s="518"/>
      <c r="K887" s="518"/>
      <c r="L887" s="518"/>
      <c r="M887" s="518"/>
      <c r="N887" s="518"/>
      <c r="O887" s="518"/>
      <c r="P887" s="518"/>
      <c r="Q887" s="518"/>
      <c r="R887" s="518">
        <v>160.62</v>
      </c>
      <c r="S887" s="518"/>
      <c r="T887" s="518"/>
      <c r="U887" s="518"/>
      <c r="V887" s="518"/>
      <c r="W887" s="518"/>
      <c r="X887" s="518"/>
      <c r="Y887" s="518"/>
      <c r="Z887" s="518"/>
      <c r="AA887" s="604"/>
      <c r="AB887" s="604"/>
      <c r="AC887" s="604"/>
      <c r="AD887" s="604"/>
      <c r="AE887" s="604"/>
      <c r="AF887" s="604"/>
      <c r="AG887" s="604"/>
      <c r="AH887" s="604"/>
      <c r="AI887" s="604"/>
      <c r="AJ887" s="604"/>
      <c r="AK887" s="604"/>
      <c r="AL887" s="604"/>
      <c r="AM887" s="604"/>
      <c r="AN887" s="604"/>
    </row>
    <row r="888" spans="1:40" ht="15.75" hidden="1" customHeight="1">
      <c r="A888" s="650">
        <v>45260</v>
      </c>
      <c r="B888" s="612"/>
      <c r="C888" s="611" t="s">
        <v>182</v>
      </c>
      <c r="D888" s="608"/>
      <c r="E888" s="518"/>
      <c r="F888" s="518">
        <v>1305</v>
      </c>
      <c r="G888" s="608"/>
      <c r="H888" s="518"/>
      <c r="I888" s="518"/>
      <c r="J888" s="518"/>
      <c r="K888" s="518"/>
      <c r="L888" s="518"/>
      <c r="M888" s="518"/>
      <c r="N888" s="518"/>
      <c r="O888" s="518"/>
      <c r="P888" s="518"/>
      <c r="Q888" s="518"/>
      <c r="R888" s="518"/>
      <c r="S888" s="518"/>
      <c r="T888" s="518"/>
      <c r="U888" s="518"/>
      <c r="V888" s="518"/>
      <c r="W888" s="518"/>
      <c r="X888" s="518"/>
      <c r="Y888" s="518"/>
      <c r="Z888" s="518"/>
      <c r="AA888" s="604"/>
      <c r="AB888" s="604"/>
      <c r="AC888" s="604"/>
      <c r="AD888" s="604"/>
      <c r="AE888" s="604"/>
      <c r="AF888" s="604"/>
      <c r="AG888" s="604"/>
      <c r="AH888" s="604"/>
      <c r="AI888" s="604"/>
      <c r="AJ888" s="604"/>
      <c r="AK888" s="604"/>
      <c r="AL888" s="604"/>
      <c r="AM888" s="604"/>
      <c r="AN888" s="604"/>
    </row>
    <row r="889" spans="1:40" ht="15.75" hidden="1" customHeight="1">
      <c r="A889" s="650"/>
      <c r="B889" s="620"/>
      <c r="C889" s="621"/>
      <c r="D889" s="622"/>
      <c r="E889" s="623"/>
      <c r="F889" s="623"/>
      <c r="G889" s="623"/>
      <c r="H889" s="623"/>
      <c r="I889" s="623"/>
      <c r="J889" s="623"/>
      <c r="K889" s="623"/>
      <c r="L889" s="623"/>
      <c r="M889" s="623"/>
      <c r="N889" s="623"/>
      <c r="O889" s="623"/>
      <c r="P889" s="623"/>
      <c r="Q889" s="623"/>
      <c r="R889" s="623"/>
      <c r="S889" s="623"/>
      <c r="T889" s="623"/>
      <c r="U889" s="623"/>
      <c r="V889" s="623"/>
      <c r="W889" s="623"/>
      <c r="X889" s="623"/>
      <c r="Y889" s="623"/>
      <c r="Z889" s="623"/>
      <c r="AA889" s="604"/>
      <c r="AB889" s="604"/>
      <c r="AC889" s="604"/>
      <c r="AD889" s="604"/>
      <c r="AE889" s="604"/>
      <c r="AF889" s="604"/>
      <c r="AG889" s="604"/>
      <c r="AH889" s="604"/>
      <c r="AI889" s="604"/>
      <c r="AJ889" s="604"/>
      <c r="AK889" s="604"/>
      <c r="AL889" s="604"/>
      <c r="AM889" s="604"/>
      <c r="AN889" s="604"/>
    </row>
    <row r="890" spans="1:40" ht="15.75" hidden="1" customHeight="1">
      <c r="A890" s="650">
        <v>45233</v>
      </c>
      <c r="B890" s="624" t="s">
        <v>486</v>
      </c>
      <c r="C890" s="624" t="s">
        <v>91</v>
      </c>
      <c r="D890" s="608"/>
      <c r="E890" s="518">
        <v>2615</v>
      </c>
      <c r="F890" s="518"/>
      <c r="G890" s="518"/>
      <c r="H890" s="518"/>
      <c r="I890" s="518"/>
      <c r="J890" s="518"/>
      <c r="K890" s="518"/>
      <c r="L890" s="518"/>
      <c r="M890" s="518"/>
      <c r="N890" s="518"/>
      <c r="O890" s="518"/>
      <c r="P890" s="518"/>
      <c r="Q890" s="518"/>
      <c r="R890" s="518"/>
      <c r="S890" s="518"/>
      <c r="T890" s="604"/>
      <c r="U890" s="604"/>
      <c r="V890" s="604"/>
      <c r="W890" s="604"/>
      <c r="X890" s="604"/>
      <c r="Y890" s="604"/>
      <c r="Z890" s="604"/>
      <c r="AA890" s="604"/>
      <c r="AB890" s="604"/>
      <c r="AC890" s="604"/>
      <c r="AD890" s="604"/>
      <c r="AE890" s="604"/>
      <c r="AF890" s="604"/>
      <c r="AG890" s="604"/>
      <c r="AH890" s="604"/>
      <c r="AI890" s="604"/>
      <c r="AJ890" s="604"/>
      <c r="AK890" s="604"/>
      <c r="AL890" s="604"/>
      <c r="AM890" s="604"/>
      <c r="AN890" s="604"/>
    </row>
    <row r="891" spans="1:40" ht="15.75" hidden="1" customHeight="1">
      <c r="A891" s="650">
        <v>45244</v>
      </c>
      <c r="B891" s="624"/>
      <c r="C891" s="624" t="s">
        <v>360</v>
      </c>
      <c r="D891" s="608"/>
      <c r="E891" s="518">
        <v>78</v>
      </c>
      <c r="F891" s="518"/>
      <c r="G891" s="518"/>
      <c r="H891" s="518"/>
      <c r="I891" s="518"/>
      <c r="J891" s="518"/>
      <c r="K891" s="518"/>
      <c r="L891" s="518"/>
      <c r="M891" s="518"/>
      <c r="N891" s="518"/>
      <c r="O891" s="518"/>
      <c r="P891" s="518"/>
      <c r="Q891" s="518"/>
      <c r="R891" s="518"/>
      <c r="S891" s="518"/>
      <c r="T891" s="604"/>
      <c r="U891" s="604"/>
      <c r="V891" s="604"/>
      <c r="W891" s="604"/>
      <c r="X891" s="604"/>
      <c r="Y891" s="604"/>
      <c r="Z891" s="604"/>
      <c r="AA891" s="604"/>
      <c r="AB891" s="604"/>
      <c r="AC891" s="604"/>
      <c r="AD891" s="604"/>
      <c r="AE891" s="604"/>
      <c r="AF891" s="604"/>
      <c r="AG891" s="604"/>
      <c r="AH891" s="604"/>
      <c r="AI891" s="604"/>
      <c r="AJ891" s="604"/>
      <c r="AK891" s="604"/>
      <c r="AL891" s="604"/>
      <c r="AM891" s="604"/>
      <c r="AN891" s="604"/>
    </row>
    <row r="892" spans="1:40" ht="15.75" hidden="1" customHeight="1">
      <c r="A892" s="650">
        <v>45260</v>
      </c>
      <c r="B892" s="624"/>
      <c r="C892" s="624" t="s">
        <v>487</v>
      </c>
      <c r="D892" s="608"/>
      <c r="E892" s="518">
        <v>605.5</v>
      </c>
      <c r="F892" s="518"/>
      <c r="G892" s="518"/>
      <c r="H892" s="518"/>
      <c r="I892" s="518"/>
      <c r="J892" s="518"/>
      <c r="K892" s="518"/>
      <c r="L892" s="518"/>
      <c r="M892" s="518"/>
      <c r="N892" s="518"/>
      <c r="O892" s="518"/>
      <c r="P892" s="518"/>
      <c r="Q892" s="518"/>
      <c r="R892" s="518"/>
      <c r="S892" s="518"/>
      <c r="T892" s="604"/>
      <c r="U892" s="604"/>
      <c r="V892" s="604"/>
      <c r="W892" s="604"/>
      <c r="X892" s="604"/>
      <c r="Y892" s="604"/>
      <c r="Z892" s="604"/>
      <c r="AA892" s="604"/>
      <c r="AB892" s="604"/>
      <c r="AC892" s="604"/>
      <c r="AD892" s="604"/>
      <c r="AE892" s="604"/>
      <c r="AF892" s="604"/>
      <c r="AG892" s="604"/>
      <c r="AH892" s="604"/>
      <c r="AI892" s="604"/>
      <c r="AJ892" s="604"/>
      <c r="AK892" s="604"/>
      <c r="AL892" s="604"/>
      <c r="AM892" s="604"/>
      <c r="AN892" s="604"/>
    </row>
    <row r="893" spans="1:40" ht="15.75" hidden="1" customHeight="1">
      <c r="A893" s="650">
        <v>45259</v>
      </c>
      <c r="B893" s="624" t="s">
        <v>488</v>
      </c>
      <c r="C893" s="624" t="s">
        <v>200</v>
      </c>
      <c r="D893" s="608">
        <v>1840</v>
      </c>
      <c r="E893" s="518"/>
      <c r="F893" s="518"/>
      <c r="G893" s="518"/>
      <c r="H893" s="518"/>
      <c r="I893" s="518"/>
      <c r="J893" s="518"/>
      <c r="K893" s="518"/>
      <c r="L893" s="518"/>
      <c r="M893" s="518"/>
      <c r="N893" s="518"/>
      <c r="O893" s="518"/>
      <c r="P893" s="518"/>
      <c r="Q893" s="518"/>
      <c r="R893" s="518"/>
      <c r="S893" s="518"/>
      <c r="T893" s="604"/>
      <c r="U893" s="604"/>
      <c r="V893" s="604"/>
      <c r="W893" s="604"/>
      <c r="X893" s="604"/>
      <c r="Y893" s="604"/>
      <c r="Z893" s="604"/>
      <c r="AA893" s="604"/>
      <c r="AB893" s="604"/>
      <c r="AC893" s="604"/>
      <c r="AD893" s="604"/>
      <c r="AE893" s="604"/>
      <c r="AF893" s="604"/>
      <c r="AG893" s="604"/>
      <c r="AH893" s="604"/>
      <c r="AI893" s="604"/>
      <c r="AJ893" s="604"/>
      <c r="AK893" s="604"/>
      <c r="AL893" s="604"/>
      <c r="AM893" s="604"/>
      <c r="AN893" s="604"/>
    </row>
    <row r="894" spans="1:40" ht="15.75" hidden="1" customHeight="1">
      <c r="A894" s="650">
        <v>45240</v>
      </c>
      <c r="B894" s="624" t="s">
        <v>489</v>
      </c>
      <c r="C894" s="658" t="s">
        <v>490</v>
      </c>
      <c r="D894" s="608">
        <f>6510+2940+2880</f>
        <v>12330</v>
      </c>
      <c r="E894" s="518"/>
      <c r="F894" s="518"/>
      <c r="G894" s="518"/>
      <c r="H894" s="518"/>
      <c r="I894" s="518"/>
      <c r="J894" s="518"/>
      <c r="K894" s="518"/>
      <c r="L894" s="518"/>
      <c r="M894" s="518"/>
      <c r="N894" s="518"/>
      <c r="O894" s="518"/>
      <c r="P894" s="518"/>
      <c r="Q894" s="518"/>
      <c r="R894" s="518"/>
      <c r="S894" s="518"/>
      <c r="T894" s="604"/>
      <c r="U894" s="604"/>
      <c r="V894" s="604"/>
      <c r="W894" s="604"/>
      <c r="X894" s="604"/>
      <c r="Y894" s="604"/>
      <c r="Z894" s="604"/>
      <c r="AA894" s="604"/>
      <c r="AB894" s="604"/>
      <c r="AC894" s="604"/>
      <c r="AD894" s="604"/>
      <c r="AE894" s="604"/>
      <c r="AF894" s="604"/>
      <c r="AG894" s="604"/>
      <c r="AH894" s="604"/>
      <c r="AI894" s="604"/>
      <c r="AJ894" s="604"/>
      <c r="AK894" s="604"/>
      <c r="AL894" s="604"/>
      <c r="AM894" s="604"/>
      <c r="AN894" s="604"/>
    </row>
    <row r="895" spans="1:40" ht="15.75" hidden="1" customHeight="1">
      <c r="A895" s="650">
        <v>45253</v>
      </c>
      <c r="B895" s="624"/>
      <c r="C895" s="624" t="s">
        <v>491</v>
      </c>
      <c r="D895" s="608"/>
      <c r="E895" s="518">
        <v>46.64</v>
      </c>
      <c r="F895" s="518"/>
      <c r="G895" s="518"/>
      <c r="H895" s="518"/>
      <c r="I895" s="518"/>
      <c r="J895" s="518"/>
      <c r="K895" s="518"/>
      <c r="L895" s="518"/>
      <c r="M895" s="518"/>
      <c r="N895" s="518"/>
      <c r="O895" s="518"/>
      <c r="P895" s="518"/>
      <c r="Q895" s="518"/>
      <c r="R895" s="518"/>
      <c r="S895" s="518"/>
      <c r="T895" s="604"/>
      <c r="U895" s="604"/>
      <c r="V895" s="604"/>
      <c r="W895" s="604"/>
      <c r="X895" s="604"/>
      <c r="Y895" s="604"/>
      <c r="Z895" s="604"/>
      <c r="AA895" s="604"/>
      <c r="AB895" s="604"/>
      <c r="AC895" s="604"/>
      <c r="AD895" s="604"/>
      <c r="AE895" s="604"/>
      <c r="AF895" s="604"/>
      <c r="AG895" s="604"/>
      <c r="AH895" s="604"/>
      <c r="AI895" s="604"/>
      <c r="AJ895" s="604"/>
      <c r="AK895" s="604"/>
      <c r="AL895" s="604"/>
      <c r="AM895" s="604"/>
      <c r="AN895" s="604"/>
    </row>
    <row r="896" spans="1:40" ht="15.75" hidden="1" customHeight="1">
      <c r="A896" s="650">
        <v>45236</v>
      </c>
      <c r="B896" s="624"/>
      <c r="C896" s="624" t="s">
        <v>492</v>
      </c>
      <c r="D896" s="608"/>
      <c r="E896" s="518"/>
      <c r="F896" s="518"/>
      <c r="G896" s="518"/>
      <c r="H896" s="518"/>
      <c r="I896" s="518"/>
      <c r="J896" s="518"/>
      <c r="K896" s="518"/>
      <c r="L896" s="518"/>
      <c r="M896" s="518"/>
      <c r="N896" s="518"/>
      <c r="O896" s="518">
        <v>102.67</v>
      </c>
      <c r="P896" s="518"/>
      <c r="Q896" s="518"/>
      <c r="R896" s="518"/>
      <c r="S896" s="518"/>
      <c r="T896" s="604"/>
      <c r="U896" s="604"/>
      <c r="V896" s="604"/>
      <c r="W896" s="604"/>
      <c r="X896" s="604"/>
      <c r="Y896" s="604"/>
      <c r="Z896" s="604"/>
      <c r="AA896" s="604"/>
      <c r="AB896" s="604"/>
      <c r="AC896" s="604"/>
      <c r="AD896" s="604"/>
      <c r="AE896" s="604"/>
      <c r="AF896" s="604"/>
      <c r="AG896" s="604"/>
      <c r="AH896" s="604"/>
      <c r="AI896" s="604"/>
      <c r="AJ896" s="604"/>
      <c r="AK896" s="604"/>
      <c r="AL896" s="604"/>
      <c r="AM896" s="604"/>
      <c r="AN896" s="604"/>
    </row>
    <row r="897" spans="1:40" ht="15.75" hidden="1" customHeight="1">
      <c r="A897" s="650">
        <v>45231</v>
      </c>
      <c r="B897" s="624"/>
      <c r="C897" s="624" t="s">
        <v>493</v>
      </c>
      <c r="D897" s="608"/>
      <c r="E897" s="518"/>
      <c r="F897" s="518"/>
      <c r="G897" s="518"/>
      <c r="H897" s="518"/>
      <c r="I897" s="518"/>
      <c r="J897" s="518"/>
      <c r="K897" s="518"/>
      <c r="L897" s="518"/>
      <c r="M897" s="518"/>
      <c r="N897" s="518"/>
      <c r="O897" s="518">
        <v>48.51</v>
      </c>
      <c r="P897" s="518"/>
      <c r="Q897" s="518"/>
      <c r="R897" s="518"/>
      <c r="S897" s="518"/>
      <c r="T897" s="604"/>
      <c r="U897" s="604"/>
      <c r="V897" s="604"/>
      <c r="W897" s="604"/>
      <c r="X897" s="604"/>
      <c r="Y897" s="604"/>
      <c r="Z897" s="604"/>
      <c r="AA897" s="604"/>
      <c r="AB897" s="604"/>
      <c r="AC897" s="604"/>
      <c r="AD897" s="604"/>
      <c r="AE897" s="604"/>
      <c r="AF897" s="604"/>
      <c r="AG897" s="604"/>
      <c r="AH897" s="604"/>
      <c r="AI897" s="604"/>
      <c r="AJ897" s="604"/>
      <c r="AK897" s="604"/>
      <c r="AL897" s="604"/>
      <c r="AM897" s="604"/>
      <c r="AN897" s="604"/>
    </row>
    <row r="898" spans="1:40" ht="15.75" hidden="1" customHeight="1">
      <c r="A898" s="650">
        <v>45231</v>
      </c>
      <c r="B898" s="624"/>
      <c r="C898" s="624" t="s">
        <v>494</v>
      </c>
      <c r="D898" s="608"/>
      <c r="E898" s="518"/>
      <c r="F898" s="518"/>
      <c r="G898" s="518"/>
      <c r="H898" s="518"/>
      <c r="I898" s="518"/>
      <c r="J898" s="518"/>
      <c r="K898" s="518"/>
      <c r="L898" s="518"/>
      <c r="M898" s="518">
        <v>44.43</v>
      </c>
      <c r="N898" s="518"/>
      <c r="O898" s="518"/>
      <c r="P898" s="518"/>
      <c r="Q898" s="518"/>
      <c r="R898" s="518"/>
      <c r="S898" s="518"/>
      <c r="T898" s="604"/>
      <c r="U898" s="604"/>
      <c r="V898" s="604"/>
      <c r="W898" s="604"/>
      <c r="X898" s="604"/>
      <c r="Y898" s="604"/>
      <c r="Z898" s="604"/>
      <c r="AA898" s="604"/>
      <c r="AB898" s="604"/>
      <c r="AC898" s="604"/>
      <c r="AD898" s="604"/>
      <c r="AE898" s="604"/>
      <c r="AF898" s="604"/>
      <c r="AG898" s="604"/>
      <c r="AH898" s="604"/>
      <c r="AI898" s="604"/>
      <c r="AJ898" s="604"/>
      <c r="AK898" s="604"/>
      <c r="AL898" s="604"/>
      <c r="AM898" s="604"/>
      <c r="AN898" s="604"/>
    </row>
    <row r="899" spans="1:40" ht="15.75" hidden="1" customHeight="1" thickBot="1">
      <c r="A899" s="650">
        <v>45233</v>
      </c>
      <c r="B899" s="624" t="s">
        <v>495</v>
      </c>
      <c r="C899" s="624" t="s">
        <v>496</v>
      </c>
      <c r="D899" s="608">
        <v>2350</v>
      </c>
      <c r="E899" s="518"/>
      <c r="F899" s="518"/>
      <c r="G899" s="518"/>
      <c r="H899" s="518"/>
      <c r="I899" s="518"/>
      <c r="J899" s="518"/>
      <c r="K899" s="518"/>
      <c r="L899" s="518"/>
      <c r="M899" s="518"/>
      <c r="N899" s="518"/>
      <c r="O899" s="518"/>
      <c r="P899" s="518"/>
      <c r="Q899" s="518"/>
      <c r="R899" s="518"/>
      <c r="S899" s="518"/>
      <c r="T899" s="604"/>
      <c r="U899" s="604"/>
      <c r="V899" s="604"/>
      <c r="W899" s="604"/>
      <c r="X899" s="604"/>
      <c r="Y899" s="604"/>
      <c r="Z899" s="604"/>
      <c r="AA899" s="604"/>
      <c r="AB899" s="604"/>
      <c r="AC899" s="604"/>
      <c r="AD899" s="604"/>
      <c r="AE899" s="604"/>
      <c r="AF899" s="604"/>
      <c r="AG899" s="604"/>
      <c r="AH899" s="604"/>
      <c r="AI899" s="604"/>
      <c r="AJ899" s="604"/>
      <c r="AK899" s="604"/>
      <c r="AL899" s="604"/>
      <c r="AM899" s="604"/>
      <c r="AN899" s="604"/>
    </row>
    <row r="900" spans="1:40" ht="15.75" hidden="1" customHeight="1" thickTop="1">
      <c r="A900" s="652"/>
      <c r="B900" s="655">
        <v>45261</v>
      </c>
      <c r="C900" s="627"/>
      <c r="D900" s="601"/>
      <c r="E900" s="602"/>
      <c r="F900" s="602"/>
      <c r="G900" s="602"/>
      <c r="H900" s="602"/>
      <c r="I900" s="602"/>
      <c r="J900" s="602"/>
      <c r="K900" s="602"/>
      <c r="L900" s="602"/>
      <c r="M900" s="602"/>
      <c r="N900" s="602"/>
      <c r="O900" s="602"/>
      <c r="P900" s="602"/>
      <c r="Q900" s="602"/>
      <c r="R900" s="602"/>
      <c r="S900" s="602"/>
      <c r="T900" s="602"/>
      <c r="U900" s="602"/>
      <c r="V900" s="602"/>
      <c r="W900" s="602"/>
      <c r="X900" s="602"/>
      <c r="Y900" s="602"/>
      <c r="Z900" s="602"/>
      <c r="AA900" s="604"/>
      <c r="AB900" s="604"/>
      <c r="AC900" s="604"/>
      <c r="AD900" s="604"/>
      <c r="AE900" s="604"/>
      <c r="AF900" s="604"/>
      <c r="AG900" s="604"/>
      <c r="AH900" s="604"/>
      <c r="AI900" s="604"/>
      <c r="AJ900" s="604"/>
      <c r="AK900" s="604"/>
      <c r="AL900" s="604"/>
      <c r="AM900" s="604"/>
      <c r="AN900" s="604"/>
    </row>
    <row r="901" spans="1:40" ht="15.75" hidden="1" customHeight="1">
      <c r="A901" s="650">
        <v>45234</v>
      </c>
      <c r="B901" s="630" t="s">
        <v>310</v>
      </c>
      <c r="C901" s="637" t="s">
        <v>497</v>
      </c>
      <c r="D901" s="608"/>
      <c r="E901" s="518"/>
      <c r="F901" s="518"/>
      <c r="G901" s="518"/>
      <c r="H901" s="518"/>
      <c r="I901" s="518"/>
      <c r="J901" s="518"/>
      <c r="K901" s="518"/>
      <c r="L901" s="518"/>
      <c r="M901" s="616"/>
      <c r="N901" s="518">
        <f>800*B905</f>
        <v>927.74719999999991</v>
      </c>
      <c r="O901" s="518"/>
      <c r="P901" s="518"/>
      <c r="Q901" s="518"/>
      <c r="R901" s="518"/>
      <c r="S901" s="518"/>
      <c r="T901" s="518"/>
      <c r="U901" s="518"/>
      <c r="V901" s="518"/>
      <c r="W901" s="518"/>
      <c r="X901" s="518"/>
      <c r="Y901" s="518"/>
      <c r="Z901" s="518"/>
      <c r="AA901" s="604"/>
      <c r="AB901" s="604"/>
      <c r="AC901" s="604"/>
      <c r="AD901" s="604"/>
      <c r="AE901" s="604"/>
      <c r="AF901" s="604"/>
      <c r="AG901" s="604"/>
      <c r="AH901" s="604"/>
      <c r="AI901" s="604"/>
      <c r="AJ901" s="604"/>
      <c r="AK901" s="604"/>
      <c r="AL901" s="604"/>
      <c r="AM901" s="604"/>
      <c r="AN901" s="604"/>
    </row>
    <row r="902" spans="1:40" ht="15.75" hidden="1" customHeight="1">
      <c r="A902" s="650">
        <v>45261</v>
      </c>
      <c r="B902" s="663"/>
      <c r="C902" s="611" t="s">
        <v>62</v>
      </c>
      <c r="D902" s="608"/>
      <c r="E902" s="518"/>
      <c r="F902" s="518"/>
      <c r="G902" s="518"/>
      <c r="H902" s="518"/>
      <c r="I902" s="518"/>
      <c r="J902" s="518"/>
      <c r="K902" s="518"/>
      <c r="L902" s="518"/>
      <c r="M902" s="518"/>
      <c r="N902" s="518"/>
      <c r="O902" s="518"/>
      <c r="P902" s="518"/>
      <c r="Q902" s="518"/>
      <c r="R902" s="518"/>
      <c r="S902" s="518"/>
      <c r="T902" s="518"/>
      <c r="U902" s="518"/>
      <c r="V902" s="518">
        <v>1036.55</v>
      </c>
      <c r="W902" s="518"/>
      <c r="X902" s="518"/>
      <c r="Y902" s="518"/>
      <c r="Z902" s="518"/>
      <c r="AA902" s="604"/>
      <c r="AB902" s="604"/>
      <c r="AC902" s="604"/>
      <c r="AD902" s="604"/>
      <c r="AE902" s="604"/>
      <c r="AF902" s="604"/>
      <c r="AG902" s="604"/>
      <c r="AH902" s="604"/>
      <c r="AI902" s="604"/>
      <c r="AJ902" s="604"/>
      <c r="AK902" s="604"/>
      <c r="AL902" s="604"/>
      <c r="AM902" s="604"/>
      <c r="AN902" s="604"/>
    </row>
    <row r="903" spans="1:40" ht="15.75" hidden="1" customHeight="1">
      <c r="A903" s="650">
        <v>45261</v>
      </c>
      <c r="B903" s="612"/>
      <c r="C903" s="611" t="s">
        <v>63</v>
      </c>
      <c r="D903" s="608"/>
      <c r="E903" s="518"/>
      <c r="F903" s="518"/>
      <c r="G903" s="518"/>
      <c r="H903" s="518"/>
      <c r="I903" s="518"/>
      <c r="J903" s="518"/>
      <c r="K903" s="518"/>
      <c r="L903" s="518"/>
      <c r="M903" s="518"/>
      <c r="N903" s="518"/>
      <c r="O903" s="518"/>
      <c r="P903" s="518"/>
      <c r="Q903" s="518"/>
      <c r="R903" s="518"/>
      <c r="S903" s="518"/>
      <c r="T903" s="518">
        <v>292.54000000000002</v>
      </c>
      <c r="U903" s="518"/>
      <c r="V903" s="518"/>
      <c r="W903" s="518"/>
      <c r="X903" s="518"/>
      <c r="Y903" s="518"/>
      <c r="Z903" s="518"/>
      <c r="AA903" s="604"/>
      <c r="AB903" s="604"/>
      <c r="AC903" s="604"/>
      <c r="AD903" s="604"/>
      <c r="AE903" s="604"/>
      <c r="AF903" s="604"/>
      <c r="AG903" s="604"/>
      <c r="AH903" s="604"/>
      <c r="AI903" s="604"/>
      <c r="AJ903" s="604"/>
      <c r="AK903" s="604"/>
      <c r="AL903" s="604"/>
      <c r="AM903" s="604"/>
      <c r="AN903" s="604"/>
    </row>
    <row r="904" spans="1:40" ht="15.75" hidden="1" customHeight="1">
      <c r="A904" s="650">
        <v>45261</v>
      </c>
      <c r="B904" s="612"/>
      <c r="C904" s="611" t="s">
        <v>498</v>
      </c>
      <c r="D904" s="608"/>
      <c r="E904" s="518"/>
      <c r="F904" s="518"/>
      <c r="G904" s="518"/>
      <c r="H904" s="518"/>
      <c r="I904" s="518"/>
      <c r="J904" s="518"/>
      <c r="K904" s="518"/>
      <c r="L904" s="518"/>
      <c r="M904" s="518"/>
      <c r="N904" s="518"/>
      <c r="O904" s="518"/>
      <c r="P904" s="518"/>
      <c r="Q904" s="518"/>
      <c r="R904" s="518"/>
      <c r="S904" s="518"/>
      <c r="T904" s="518">
        <v>102.62</v>
      </c>
      <c r="U904" s="518"/>
      <c r="V904" s="518"/>
      <c r="W904" s="518"/>
      <c r="X904" s="518"/>
      <c r="Y904" s="518"/>
      <c r="Z904" s="518"/>
      <c r="AA904" s="604"/>
      <c r="AB904" s="604"/>
      <c r="AC904" s="604"/>
      <c r="AD904" s="604"/>
      <c r="AE904" s="604"/>
      <c r="AF904" s="604"/>
      <c r="AG904" s="604"/>
      <c r="AH904" s="604"/>
      <c r="AI904" s="604"/>
      <c r="AJ904" s="604"/>
      <c r="AK904" s="604"/>
      <c r="AL904" s="604"/>
      <c r="AM904" s="604"/>
      <c r="AN904" s="604"/>
    </row>
    <row r="905" spans="1:40" ht="15.75" hidden="1" customHeight="1">
      <c r="A905" s="650">
        <v>45264</v>
      </c>
      <c r="B905" s="610">
        <f>'Conversion rates'!B27</f>
        <v>1.1596839999999999</v>
      </c>
      <c r="C905" s="611" t="s">
        <v>276</v>
      </c>
      <c r="D905" s="608"/>
      <c r="E905" s="518"/>
      <c r="F905" s="518"/>
      <c r="G905" s="518"/>
      <c r="H905" s="518"/>
      <c r="I905" s="518"/>
      <c r="J905" s="518"/>
      <c r="K905" s="518"/>
      <c r="L905" s="518"/>
      <c r="M905" s="518"/>
      <c r="N905" s="518"/>
      <c r="O905" s="518"/>
      <c r="P905" s="518"/>
      <c r="Q905" s="518"/>
      <c r="R905" s="518"/>
      <c r="S905" s="518"/>
      <c r="T905" s="518">
        <v>80</v>
      </c>
      <c r="U905" s="518"/>
      <c r="V905" s="518"/>
      <c r="W905" s="518"/>
      <c r="X905" s="518"/>
      <c r="Y905" s="518"/>
      <c r="Z905" s="518"/>
      <c r="AA905" s="604"/>
      <c r="AB905" s="604"/>
      <c r="AC905" s="604"/>
      <c r="AD905" s="604"/>
      <c r="AE905" s="604"/>
      <c r="AF905" s="604"/>
      <c r="AG905" s="604"/>
      <c r="AH905" s="604"/>
      <c r="AI905" s="604"/>
      <c r="AJ905" s="604"/>
      <c r="AK905" s="604"/>
      <c r="AL905" s="604"/>
      <c r="AM905" s="604"/>
      <c r="AN905" s="604"/>
    </row>
    <row r="906" spans="1:40" ht="15.75" hidden="1" customHeight="1">
      <c r="A906" s="650">
        <v>45275</v>
      </c>
      <c r="B906" s="615"/>
      <c r="C906" s="614" t="s">
        <v>421</v>
      </c>
      <c r="D906" s="608"/>
      <c r="E906" s="518"/>
      <c r="F906" s="518"/>
      <c r="G906" s="518"/>
      <c r="H906" s="518"/>
      <c r="I906" s="518"/>
      <c r="J906" s="518"/>
      <c r="K906" s="518"/>
      <c r="L906" s="518"/>
      <c r="M906" s="518">
        <v>49</v>
      </c>
      <c r="N906" s="518"/>
      <c r="O906" s="518"/>
      <c r="P906" s="518"/>
      <c r="Q906" s="518"/>
      <c r="R906" s="518"/>
      <c r="S906" s="518"/>
      <c r="T906" s="518"/>
      <c r="U906" s="518"/>
      <c r="V906" s="518"/>
      <c r="W906" s="518"/>
      <c r="X906" s="518"/>
      <c r="Y906" s="518"/>
      <c r="Z906" s="518"/>
      <c r="AA906" s="604"/>
      <c r="AB906" s="604"/>
      <c r="AC906" s="604"/>
      <c r="AD906" s="604"/>
      <c r="AE906" s="604"/>
      <c r="AF906" s="604"/>
      <c r="AG906" s="604"/>
      <c r="AH906" s="604"/>
      <c r="AI906" s="604"/>
      <c r="AJ906" s="604"/>
      <c r="AK906" s="604"/>
      <c r="AL906" s="604"/>
      <c r="AM906" s="604"/>
      <c r="AN906" s="604"/>
    </row>
    <row r="907" spans="1:40" ht="15.75" hidden="1" customHeight="1">
      <c r="A907" s="650">
        <v>45275</v>
      </c>
      <c r="B907" s="612"/>
      <c r="C907" s="611" t="s">
        <v>420</v>
      </c>
      <c r="D907" s="608"/>
      <c r="E907" s="518"/>
      <c r="F907" s="518"/>
      <c r="G907" s="518"/>
      <c r="H907" s="518"/>
      <c r="I907" s="518"/>
      <c r="J907" s="518"/>
      <c r="K907" s="518"/>
      <c r="L907" s="518"/>
      <c r="M907" s="518"/>
      <c r="N907" s="518"/>
      <c r="O907" s="518"/>
      <c r="P907" s="518"/>
      <c r="Q907" s="518"/>
      <c r="R907" s="518"/>
      <c r="S907" s="518"/>
      <c r="T907" s="518">
        <v>18</v>
      </c>
      <c r="U907" s="518"/>
      <c r="V907" s="518"/>
      <c r="W907" s="518"/>
      <c r="X907" s="518"/>
      <c r="Y907" s="518"/>
      <c r="Z907" s="518"/>
      <c r="AA907" s="604"/>
      <c r="AB907" s="604"/>
      <c r="AC907" s="604"/>
      <c r="AD907" s="604"/>
      <c r="AE907" s="604"/>
      <c r="AF907" s="604"/>
      <c r="AG907" s="604"/>
      <c r="AH907" s="604"/>
      <c r="AI907" s="604"/>
      <c r="AJ907" s="604"/>
      <c r="AK907" s="604"/>
      <c r="AL907" s="604"/>
      <c r="AM907" s="604"/>
      <c r="AN907" s="604"/>
    </row>
    <row r="908" spans="1:40" ht="15.75" hidden="1" customHeight="1">
      <c r="A908" s="660">
        <v>45275</v>
      </c>
      <c r="B908" s="613"/>
      <c r="C908" s="611" t="s">
        <v>168</v>
      </c>
      <c r="D908" s="608"/>
      <c r="E908" s="518"/>
      <c r="F908" s="518"/>
      <c r="G908" s="518"/>
      <c r="H908" s="518"/>
      <c r="I908" s="518"/>
      <c r="J908" s="518"/>
      <c r="K908" s="518"/>
      <c r="L908" s="518"/>
      <c r="M908" s="518"/>
      <c r="N908" s="518"/>
      <c r="O908" s="518"/>
      <c r="P908" s="518"/>
      <c r="Q908" s="518"/>
      <c r="R908" s="518"/>
      <c r="S908" s="518"/>
      <c r="T908" s="518">
        <v>1608.68</v>
      </c>
      <c r="U908" s="518"/>
      <c r="V908" s="518"/>
      <c r="W908" s="518"/>
      <c r="X908" s="518"/>
      <c r="Y908" s="518"/>
      <c r="Z908" s="518"/>
      <c r="AA908" s="604"/>
      <c r="AB908" s="604"/>
      <c r="AC908" s="604"/>
      <c r="AD908" s="604"/>
      <c r="AE908" s="604"/>
      <c r="AF908" s="604"/>
      <c r="AG908" s="604"/>
      <c r="AH908" s="604"/>
      <c r="AI908" s="604"/>
      <c r="AJ908" s="604"/>
      <c r="AK908" s="604"/>
      <c r="AL908" s="604"/>
      <c r="AM908" s="604"/>
      <c r="AN908" s="604"/>
    </row>
    <row r="909" spans="1:40" ht="15.75" hidden="1" customHeight="1">
      <c r="A909" s="650">
        <v>45275</v>
      </c>
      <c r="B909" s="615"/>
      <c r="C909" s="611" t="s">
        <v>341</v>
      </c>
      <c r="D909" s="608"/>
      <c r="E909" s="518"/>
      <c r="F909" s="518"/>
      <c r="G909" s="518"/>
      <c r="H909" s="518">
        <v>850.25</v>
      </c>
      <c r="I909" s="518"/>
      <c r="J909" s="518"/>
      <c r="K909" s="518"/>
      <c r="L909" s="518"/>
      <c r="M909" s="518"/>
      <c r="N909" s="518"/>
      <c r="O909" s="518"/>
      <c r="P909" s="518"/>
      <c r="Q909" s="518"/>
      <c r="R909" s="518"/>
      <c r="S909" s="518"/>
      <c r="T909" s="518"/>
      <c r="U909" s="518"/>
      <c r="V909" s="518"/>
      <c r="W909" s="518"/>
      <c r="X909" s="518"/>
      <c r="Y909" s="518"/>
      <c r="Z909" s="518"/>
      <c r="AA909" s="604"/>
      <c r="AB909" s="604"/>
      <c r="AC909" s="604"/>
      <c r="AD909" s="604"/>
      <c r="AE909" s="604"/>
      <c r="AF909" s="604"/>
      <c r="AG909" s="604"/>
      <c r="AH909" s="604"/>
      <c r="AI909" s="604"/>
      <c r="AJ909" s="604"/>
      <c r="AK909" s="604"/>
      <c r="AL909" s="604"/>
      <c r="AM909" s="604"/>
      <c r="AN909" s="604"/>
    </row>
    <row r="910" spans="1:40" ht="15.75" hidden="1" customHeight="1">
      <c r="A910" s="650">
        <v>45279</v>
      </c>
      <c r="B910" s="613"/>
      <c r="C910" s="611" t="s">
        <v>111</v>
      </c>
      <c r="D910" s="608"/>
      <c r="E910" s="518"/>
      <c r="F910" s="518"/>
      <c r="G910" s="518"/>
      <c r="H910" s="518"/>
      <c r="I910" s="518"/>
      <c r="J910" s="518"/>
      <c r="K910" s="518">
        <v>34.99</v>
      </c>
      <c r="L910" s="518"/>
      <c r="M910" s="518"/>
      <c r="N910" s="518"/>
      <c r="O910" s="518"/>
      <c r="P910" s="518"/>
      <c r="Q910" s="518"/>
      <c r="R910" s="518"/>
      <c r="S910" s="518"/>
      <c r="T910" s="518">
        <v>19.98</v>
      </c>
      <c r="U910" s="518"/>
      <c r="V910" s="518"/>
      <c r="W910" s="518"/>
      <c r="X910" s="518"/>
      <c r="Y910" s="518"/>
      <c r="Z910" s="518"/>
      <c r="AA910" s="604"/>
      <c r="AB910" s="604"/>
      <c r="AC910" s="604"/>
      <c r="AD910" s="604"/>
      <c r="AE910" s="604"/>
      <c r="AF910" s="604"/>
      <c r="AG910" s="604"/>
      <c r="AH910" s="604"/>
      <c r="AI910" s="604"/>
      <c r="AJ910" s="604"/>
      <c r="AK910" s="604"/>
      <c r="AL910" s="604"/>
      <c r="AM910" s="604"/>
      <c r="AN910" s="604"/>
    </row>
    <row r="911" spans="1:40" ht="15.75" hidden="1" customHeight="1">
      <c r="A911" s="650">
        <v>45279</v>
      </c>
      <c r="B911" s="613"/>
      <c r="C911" s="611" t="s">
        <v>78</v>
      </c>
      <c r="D911" s="608"/>
      <c r="E911" s="518"/>
      <c r="F911" s="518"/>
      <c r="G911" s="518"/>
      <c r="H911" s="518"/>
      <c r="I911" s="518"/>
      <c r="J911" s="518">
        <v>20.43</v>
      </c>
      <c r="K911" s="518"/>
      <c r="L911" s="518"/>
      <c r="M911" s="518"/>
      <c r="N911" s="518"/>
      <c r="O911" s="518"/>
      <c r="P911" s="518"/>
      <c r="Q911" s="518"/>
      <c r="R911" s="518"/>
      <c r="S911" s="518"/>
      <c r="T911" s="518"/>
      <c r="U911" s="518"/>
      <c r="V911" s="518"/>
      <c r="W911" s="518"/>
      <c r="X911" s="518"/>
      <c r="Y911" s="518"/>
      <c r="Z911" s="518"/>
      <c r="AA911" s="604"/>
      <c r="AB911" s="604"/>
      <c r="AC911" s="604"/>
      <c r="AD911" s="604"/>
      <c r="AE911" s="604"/>
      <c r="AF911" s="604"/>
      <c r="AG911" s="604"/>
      <c r="AH911" s="604"/>
      <c r="AI911" s="604"/>
      <c r="AJ911" s="604"/>
      <c r="AK911" s="604"/>
      <c r="AL911" s="604"/>
      <c r="AM911" s="604"/>
      <c r="AN911" s="604"/>
    </row>
    <row r="912" spans="1:40" ht="18" hidden="1" customHeight="1">
      <c r="A912" s="650">
        <v>45282</v>
      </c>
      <c r="B912" s="615"/>
      <c r="C912" s="614" t="s">
        <v>385</v>
      </c>
      <c r="D912" s="608"/>
      <c r="E912" s="518"/>
      <c r="F912" s="518"/>
      <c r="G912" s="518"/>
      <c r="H912" s="518"/>
      <c r="I912" s="518"/>
      <c r="J912" s="518"/>
      <c r="K912" s="518"/>
      <c r="L912" s="518"/>
      <c r="M912" s="518"/>
      <c r="N912" s="518"/>
      <c r="O912" s="518"/>
      <c r="P912" s="518"/>
      <c r="Q912" s="518"/>
      <c r="R912" s="518"/>
      <c r="S912" s="518">
        <v>11.5</v>
      </c>
      <c r="T912" s="518"/>
      <c r="U912" s="518"/>
      <c r="V912" s="518"/>
      <c r="W912" s="518"/>
      <c r="X912" s="518"/>
      <c r="Y912" s="518"/>
      <c r="Z912" s="518"/>
      <c r="AA912" s="604"/>
      <c r="AB912" s="604"/>
      <c r="AC912" s="604"/>
      <c r="AD912" s="604"/>
      <c r="AE912" s="604"/>
      <c r="AF912" s="604"/>
      <c r="AG912" s="604"/>
      <c r="AH912" s="604"/>
      <c r="AI912" s="604"/>
      <c r="AJ912" s="604"/>
      <c r="AK912" s="604"/>
      <c r="AL912" s="604"/>
      <c r="AM912" s="604"/>
      <c r="AN912" s="604"/>
    </row>
    <row r="913" spans="1:40" ht="15.75" hidden="1" customHeight="1">
      <c r="A913" s="650">
        <v>45282</v>
      </c>
      <c r="B913" s="615"/>
      <c r="C913" s="664" t="s">
        <v>483</v>
      </c>
      <c r="D913" s="608"/>
      <c r="E913" s="518"/>
      <c r="F913" s="518"/>
      <c r="G913" s="518"/>
      <c r="H913" s="518"/>
      <c r="I913" s="518"/>
      <c r="J913" s="518"/>
      <c r="K913" s="518"/>
      <c r="L913" s="518"/>
      <c r="M913" s="518"/>
      <c r="N913" s="518"/>
      <c r="O913" s="518"/>
      <c r="P913" s="518"/>
      <c r="Q913" s="518">
        <v>5.39</v>
      </c>
      <c r="R913" s="518"/>
      <c r="S913" s="518"/>
      <c r="T913" s="518"/>
      <c r="U913" s="518"/>
      <c r="V913" s="518"/>
      <c r="W913" s="518"/>
      <c r="X913" s="518"/>
      <c r="Y913" s="518"/>
      <c r="Z913" s="518"/>
      <c r="AA913" s="604"/>
      <c r="AB913" s="604"/>
      <c r="AC913" s="604"/>
      <c r="AD913" s="604"/>
      <c r="AE913" s="604"/>
      <c r="AF913" s="604"/>
      <c r="AG913" s="604"/>
      <c r="AH913" s="604"/>
      <c r="AI913" s="604"/>
      <c r="AJ913" s="604"/>
      <c r="AK913" s="604"/>
      <c r="AL913" s="604"/>
      <c r="AM913" s="604"/>
      <c r="AN913" s="604"/>
    </row>
    <row r="914" spans="1:40" ht="15.75" hidden="1" customHeight="1">
      <c r="A914" s="650">
        <v>45282</v>
      </c>
      <c r="B914" s="612"/>
      <c r="C914" s="629" t="s">
        <v>320</v>
      </c>
      <c r="D914" s="608"/>
      <c r="E914" s="518"/>
      <c r="F914" s="518"/>
      <c r="G914" s="518"/>
      <c r="H914" s="518"/>
      <c r="I914" s="518"/>
      <c r="J914" s="518"/>
      <c r="K914" s="518">
        <v>74.3</v>
      </c>
      <c r="L914" s="518"/>
      <c r="M914" s="518"/>
      <c r="N914" s="518"/>
      <c r="O914" s="518"/>
      <c r="P914" s="518"/>
      <c r="Q914" s="518"/>
      <c r="R914" s="518"/>
      <c r="S914" s="518"/>
      <c r="T914" s="518"/>
      <c r="U914" s="518"/>
      <c r="V914" s="518"/>
      <c r="W914" s="518"/>
      <c r="X914" s="518"/>
      <c r="Y914" s="518"/>
      <c r="Z914" s="518"/>
      <c r="AA914" s="604"/>
      <c r="AB914" s="604"/>
      <c r="AC914" s="604"/>
      <c r="AD914" s="604"/>
      <c r="AE914" s="604"/>
      <c r="AF914" s="604"/>
      <c r="AG914" s="604"/>
      <c r="AH914" s="604"/>
      <c r="AI914" s="604"/>
      <c r="AJ914" s="604"/>
      <c r="AK914" s="604"/>
      <c r="AL914" s="604"/>
      <c r="AM914" s="604"/>
      <c r="AN914" s="604"/>
    </row>
    <row r="915" spans="1:40" ht="15.75" hidden="1" customHeight="1">
      <c r="A915" s="650">
        <v>45287</v>
      </c>
      <c r="B915" s="615"/>
      <c r="C915" s="611" t="s">
        <v>364</v>
      </c>
      <c r="D915" s="608"/>
      <c r="E915" s="518"/>
      <c r="F915" s="518"/>
      <c r="G915" s="518"/>
      <c r="H915" s="518"/>
      <c r="I915" s="518"/>
      <c r="J915" s="518"/>
      <c r="K915" s="518">
        <v>11.5</v>
      </c>
      <c r="L915" s="518"/>
      <c r="M915" s="518"/>
      <c r="N915" s="518"/>
      <c r="O915" s="518"/>
      <c r="P915" s="518"/>
      <c r="Q915" s="518"/>
      <c r="R915" s="518"/>
      <c r="S915" s="518"/>
      <c r="T915" s="518"/>
      <c r="U915" s="518"/>
      <c r="V915" s="518"/>
      <c r="W915" s="518"/>
      <c r="X915" s="518"/>
      <c r="Y915" s="518"/>
      <c r="Z915" s="518"/>
      <c r="AA915" s="604"/>
      <c r="AB915" s="604"/>
      <c r="AC915" s="604"/>
      <c r="AD915" s="604"/>
      <c r="AE915" s="604"/>
      <c r="AF915" s="604"/>
      <c r="AG915" s="604"/>
      <c r="AH915" s="604"/>
      <c r="AI915" s="604"/>
      <c r="AJ915" s="604"/>
      <c r="AK915" s="604"/>
      <c r="AL915" s="604"/>
      <c r="AM915" s="604"/>
      <c r="AN915" s="604"/>
    </row>
    <row r="916" spans="1:40" ht="15.75" hidden="1" customHeight="1">
      <c r="A916" s="650">
        <v>45289</v>
      </c>
      <c r="B916" s="612"/>
      <c r="C916" s="611" t="s">
        <v>366</v>
      </c>
      <c r="D916" s="608"/>
      <c r="E916" s="518"/>
      <c r="F916" s="518"/>
      <c r="G916" s="518"/>
      <c r="H916" s="518"/>
      <c r="I916" s="518"/>
      <c r="J916" s="518"/>
      <c r="K916" s="518"/>
      <c r="L916" s="518"/>
      <c r="M916" s="518"/>
      <c r="N916" s="518"/>
      <c r="O916" s="518"/>
      <c r="P916" s="518"/>
      <c r="Q916" s="518"/>
      <c r="R916" s="518"/>
      <c r="S916" s="518">
        <v>21.3</v>
      </c>
      <c r="T916" s="518"/>
      <c r="U916" s="518"/>
      <c r="V916" s="518"/>
      <c r="W916" s="518"/>
      <c r="X916" s="518"/>
      <c r="Y916" s="518"/>
      <c r="Z916" s="518"/>
      <c r="AA916" s="604"/>
      <c r="AB916" s="604"/>
      <c r="AC916" s="604"/>
      <c r="AD916" s="604"/>
      <c r="AE916" s="604"/>
      <c r="AF916" s="604"/>
      <c r="AG916" s="604"/>
      <c r="AH916" s="604"/>
      <c r="AI916" s="604"/>
      <c r="AJ916" s="604"/>
      <c r="AK916" s="604"/>
      <c r="AL916" s="604"/>
      <c r="AM916" s="604"/>
      <c r="AN916" s="604"/>
    </row>
    <row r="917" spans="1:40" ht="15.75" hidden="1" customHeight="1">
      <c r="A917" s="650">
        <v>45291</v>
      </c>
      <c r="B917" s="615"/>
      <c r="C917" s="611" t="s">
        <v>344</v>
      </c>
      <c r="D917" s="608"/>
      <c r="E917" s="518"/>
      <c r="F917" s="518"/>
      <c r="G917" s="518"/>
      <c r="H917" s="518"/>
      <c r="I917" s="518"/>
      <c r="J917" s="518"/>
      <c r="K917" s="518"/>
      <c r="L917" s="518"/>
      <c r="M917" s="518"/>
      <c r="N917" s="518"/>
      <c r="O917" s="518"/>
      <c r="P917" s="518"/>
      <c r="Q917" s="518"/>
      <c r="R917" s="518"/>
      <c r="S917" s="518">
        <v>6.81</v>
      </c>
      <c r="T917" s="518"/>
      <c r="U917" s="518"/>
      <c r="V917" s="518"/>
      <c r="W917" s="518"/>
      <c r="X917" s="518"/>
      <c r="Y917" s="518"/>
      <c r="Z917" s="518"/>
      <c r="AA917" s="604"/>
      <c r="AB917" s="604"/>
      <c r="AC917" s="604"/>
      <c r="AD917" s="604"/>
      <c r="AE917" s="604"/>
      <c r="AF917" s="604"/>
      <c r="AG917" s="604"/>
      <c r="AH917" s="604"/>
      <c r="AI917" s="604"/>
      <c r="AJ917" s="604"/>
      <c r="AK917" s="604"/>
      <c r="AL917" s="604"/>
      <c r="AM917" s="604"/>
      <c r="AN917" s="604"/>
    </row>
    <row r="918" spans="1:40" ht="15.75" hidden="1" customHeight="1">
      <c r="A918" s="650"/>
      <c r="B918" s="612"/>
      <c r="C918" s="611"/>
      <c r="D918" s="608"/>
      <c r="E918" s="518"/>
      <c r="F918" s="518"/>
      <c r="G918" s="518"/>
      <c r="H918" s="518"/>
      <c r="I918" s="518"/>
      <c r="J918" s="518"/>
      <c r="K918" s="518"/>
      <c r="L918" s="518"/>
      <c r="M918" s="518"/>
      <c r="N918" s="518"/>
      <c r="O918" s="518"/>
      <c r="P918" s="518"/>
      <c r="Q918" s="518"/>
      <c r="R918" s="518"/>
      <c r="S918" s="518"/>
      <c r="T918" s="518"/>
      <c r="U918" s="518"/>
      <c r="V918" s="518"/>
      <c r="W918" s="518"/>
      <c r="X918" s="518"/>
      <c r="Y918" s="518"/>
      <c r="Z918" s="518"/>
      <c r="AA918" s="604"/>
      <c r="AB918" s="604"/>
      <c r="AC918" s="604"/>
      <c r="AD918" s="604"/>
      <c r="AE918" s="604"/>
      <c r="AF918" s="604"/>
      <c r="AG918" s="604"/>
      <c r="AH918" s="604"/>
      <c r="AI918" s="604"/>
      <c r="AJ918" s="604"/>
      <c r="AK918" s="604"/>
      <c r="AL918" s="604"/>
      <c r="AM918" s="604"/>
      <c r="AN918" s="604"/>
    </row>
    <row r="919" spans="1:40" ht="15.75" hidden="1" customHeight="1">
      <c r="A919" s="650"/>
      <c r="B919" s="620"/>
      <c r="C919" s="621"/>
      <c r="D919" s="622"/>
      <c r="E919" s="623"/>
      <c r="F919" s="623"/>
      <c r="G919" s="623"/>
      <c r="H919" s="623"/>
      <c r="I919" s="623"/>
      <c r="J919" s="623"/>
      <c r="K919" s="623"/>
      <c r="L919" s="623"/>
      <c r="M919" s="623"/>
      <c r="N919" s="623"/>
      <c r="O919" s="623"/>
      <c r="P919" s="623"/>
      <c r="Q919" s="623"/>
      <c r="R919" s="623"/>
      <c r="S919" s="623"/>
      <c r="T919" s="623"/>
      <c r="U919" s="623"/>
      <c r="V919" s="623"/>
      <c r="W919" s="623"/>
      <c r="X919" s="623"/>
      <c r="Y919" s="623"/>
      <c r="Z919" s="623"/>
      <c r="AA919" s="604"/>
      <c r="AB919" s="604"/>
      <c r="AC919" s="604"/>
      <c r="AD919" s="604"/>
      <c r="AE919" s="604"/>
      <c r="AF919" s="604"/>
      <c r="AG919" s="604"/>
      <c r="AH919" s="604"/>
      <c r="AI919" s="604"/>
      <c r="AJ919" s="604"/>
      <c r="AK919" s="604"/>
      <c r="AL919" s="604"/>
      <c r="AM919" s="604"/>
      <c r="AN919" s="604"/>
    </row>
    <row r="920" spans="1:40" ht="15.75" hidden="1" customHeight="1">
      <c r="A920" s="650">
        <v>45273</v>
      </c>
      <c r="B920" s="596"/>
      <c r="C920" s="624" t="s">
        <v>82</v>
      </c>
      <c r="D920" s="608"/>
      <c r="E920" s="518"/>
      <c r="F920" s="518"/>
      <c r="G920" s="518"/>
      <c r="H920" s="518"/>
      <c r="I920" s="518"/>
      <c r="J920" s="518"/>
      <c r="K920" s="518"/>
      <c r="L920" s="518">
        <v>83.14</v>
      </c>
      <c r="M920" s="518"/>
      <c r="N920" s="518"/>
      <c r="O920" s="518"/>
      <c r="P920" s="518"/>
      <c r="Q920" s="518"/>
      <c r="R920" s="518"/>
      <c r="S920" s="518"/>
      <c r="T920" s="604"/>
      <c r="U920" s="604"/>
      <c r="V920" s="604"/>
      <c r="W920" s="604"/>
      <c r="X920" s="604"/>
      <c r="Y920" s="604"/>
      <c r="Z920" s="604"/>
      <c r="AA920" s="604"/>
      <c r="AB920" s="604"/>
      <c r="AC920" s="604"/>
      <c r="AD920" s="604"/>
      <c r="AE920" s="604"/>
      <c r="AF920" s="604"/>
      <c r="AG920" s="604"/>
      <c r="AH920" s="604"/>
      <c r="AI920" s="604"/>
      <c r="AJ920" s="604"/>
      <c r="AK920" s="604"/>
      <c r="AL920" s="604"/>
      <c r="AM920" s="604"/>
      <c r="AN920" s="604"/>
    </row>
    <row r="921" spans="1:40" ht="15.75" hidden="1" customHeight="1">
      <c r="A921" s="650">
        <v>45274</v>
      </c>
      <c r="B921" s="596"/>
      <c r="C921" s="624" t="s">
        <v>499</v>
      </c>
      <c r="D921" s="608"/>
      <c r="E921" s="518"/>
      <c r="F921" s="518"/>
      <c r="G921" s="518"/>
      <c r="H921" s="518"/>
      <c r="I921" s="518"/>
      <c r="J921" s="518"/>
      <c r="K921" s="518"/>
      <c r="L921" s="518"/>
      <c r="M921" s="518"/>
      <c r="N921" s="518"/>
      <c r="O921" s="518">
        <v>185.81</v>
      </c>
      <c r="P921" s="518"/>
      <c r="Q921" s="518"/>
      <c r="R921" s="518"/>
      <c r="S921" s="518"/>
      <c r="T921" s="604"/>
      <c r="U921" s="604"/>
      <c r="V921" s="604"/>
      <c r="W921" s="604"/>
      <c r="X921" s="604"/>
      <c r="Y921" s="604"/>
      <c r="Z921" s="604"/>
      <c r="AA921" s="604"/>
      <c r="AB921" s="604"/>
      <c r="AC921" s="604"/>
      <c r="AD921" s="604"/>
      <c r="AE921" s="604"/>
      <c r="AF921" s="604"/>
      <c r="AG921" s="604"/>
      <c r="AH921" s="604"/>
      <c r="AI921" s="604"/>
      <c r="AJ921" s="604"/>
      <c r="AK921" s="604"/>
      <c r="AL921" s="604"/>
      <c r="AM921" s="604"/>
      <c r="AN921" s="604"/>
    </row>
    <row r="922" spans="1:40" ht="15.75" hidden="1" customHeight="1">
      <c r="A922" s="650">
        <v>45281</v>
      </c>
      <c r="B922" s="596" t="s">
        <v>500</v>
      </c>
      <c r="C922" s="624" t="s">
        <v>501</v>
      </c>
      <c r="D922" s="608"/>
      <c r="E922" s="518">
        <v>2410</v>
      </c>
      <c r="F922" s="518"/>
      <c r="G922" s="518"/>
      <c r="H922" s="518"/>
      <c r="I922" s="518"/>
      <c r="J922" s="518"/>
      <c r="K922" s="518"/>
      <c r="L922" s="518"/>
      <c r="M922" s="518"/>
      <c r="N922" s="518"/>
      <c r="O922" s="518"/>
      <c r="P922" s="518"/>
      <c r="Q922" s="518"/>
      <c r="R922" s="518"/>
      <c r="S922" s="518"/>
      <c r="T922" s="604"/>
      <c r="U922" s="604"/>
      <c r="V922" s="604"/>
      <c r="W922" s="604"/>
      <c r="X922" s="604"/>
      <c r="Y922" s="604"/>
      <c r="Z922" s="604"/>
      <c r="AA922" s="604"/>
      <c r="AB922" s="604"/>
      <c r="AC922" s="604"/>
      <c r="AD922" s="604"/>
      <c r="AE922" s="604"/>
      <c r="AF922" s="604"/>
      <c r="AG922" s="604"/>
      <c r="AH922" s="604"/>
      <c r="AI922" s="604"/>
      <c r="AJ922" s="604"/>
      <c r="AK922" s="604"/>
      <c r="AL922" s="604"/>
      <c r="AM922" s="604"/>
      <c r="AN922" s="604"/>
    </row>
    <row r="923" spans="1:40" ht="15.75" hidden="1" customHeight="1">
      <c r="A923" s="650">
        <v>45281</v>
      </c>
      <c r="B923" s="596" t="s">
        <v>502</v>
      </c>
      <c r="C923" s="624" t="s">
        <v>503</v>
      </c>
      <c r="D923" s="608">
        <v>2350</v>
      </c>
      <c r="E923" s="518"/>
      <c r="F923" s="518"/>
      <c r="G923" s="518"/>
      <c r="H923" s="518"/>
      <c r="I923" s="518"/>
      <c r="J923" s="518"/>
      <c r="K923" s="518"/>
      <c r="L923" s="518"/>
      <c r="M923" s="518"/>
      <c r="N923" s="518"/>
      <c r="O923" s="518"/>
      <c r="P923" s="518"/>
      <c r="Q923" s="518"/>
      <c r="R923" s="518"/>
      <c r="S923" s="518"/>
      <c r="T923" s="604"/>
      <c r="U923" s="604"/>
      <c r="V923" s="604"/>
      <c r="W923" s="604"/>
      <c r="X923" s="604"/>
      <c r="Y923" s="604"/>
      <c r="Z923" s="604"/>
      <c r="AA923" s="604"/>
      <c r="AB923" s="604"/>
      <c r="AC923" s="604"/>
      <c r="AD923" s="604"/>
      <c r="AE923" s="604"/>
      <c r="AF923" s="604"/>
      <c r="AG923" s="604"/>
      <c r="AH923" s="604"/>
      <c r="AI923" s="604"/>
      <c r="AJ923" s="604"/>
      <c r="AK923" s="604"/>
      <c r="AL923" s="604"/>
      <c r="AM923" s="604"/>
      <c r="AN923" s="604"/>
    </row>
    <row r="924" spans="1:40" ht="15.75" hidden="1" customHeight="1">
      <c r="A924" s="650">
        <v>45282</v>
      </c>
      <c r="B924" s="596" t="s">
        <v>504</v>
      </c>
      <c r="C924" s="624" t="s">
        <v>479</v>
      </c>
      <c r="D924" s="608">
        <v>1140</v>
      </c>
      <c r="E924" s="518"/>
      <c r="F924" s="518"/>
      <c r="G924" s="518"/>
      <c r="H924" s="518"/>
      <c r="I924" s="518"/>
      <c r="J924" s="518"/>
      <c r="K924" s="518"/>
      <c r="L924" s="518"/>
      <c r="M924" s="518"/>
      <c r="N924" s="518"/>
      <c r="O924" s="518"/>
      <c r="P924" s="518"/>
      <c r="Q924" s="518"/>
      <c r="R924" s="518"/>
      <c r="S924" s="518"/>
      <c r="T924" s="604"/>
      <c r="U924" s="604"/>
      <c r="V924" s="604"/>
      <c r="W924" s="604"/>
      <c r="X924" s="604"/>
      <c r="Y924" s="604"/>
      <c r="Z924" s="604"/>
      <c r="AA924" s="604"/>
      <c r="AB924" s="604"/>
      <c r="AC924" s="604"/>
      <c r="AD924" s="604"/>
      <c r="AE924" s="604"/>
      <c r="AF924" s="604"/>
      <c r="AG924" s="604"/>
      <c r="AH924" s="604"/>
      <c r="AI924" s="604"/>
      <c r="AJ924" s="604"/>
      <c r="AK924" s="604"/>
      <c r="AL924" s="604"/>
      <c r="AM924" s="604"/>
      <c r="AN924" s="604"/>
    </row>
    <row r="925" spans="1:40" ht="15.75" hidden="1" customHeight="1">
      <c r="A925" s="650">
        <v>45289</v>
      </c>
      <c r="B925" s="596"/>
      <c r="C925" s="624" t="s">
        <v>487</v>
      </c>
      <c r="D925" s="608"/>
      <c r="E925" s="518">
        <v>605.5</v>
      </c>
      <c r="F925" s="518"/>
      <c r="G925" s="518"/>
      <c r="H925" s="518"/>
      <c r="I925" s="518"/>
      <c r="J925" s="518"/>
      <c r="K925" s="518"/>
      <c r="L925" s="518"/>
      <c r="M925" s="518"/>
      <c r="N925" s="518"/>
      <c r="O925" s="518"/>
      <c r="P925" s="518"/>
      <c r="Q925" s="518"/>
      <c r="R925" s="518"/>
      <c r="S925" s="518"/>
      <c r="T925" s="604"/>
      <c r="U925" s="604"/>
      <c r="V925" s="604"/>
      <c r="W925" s="604"/>
      <c r="X925" s="604"/>
      <c r="Y925" s="604"/>
      <c r="Z925" s="604"/>
      <c r="AA925" s="604"/>
      <c r="AB925" s="604"/>
      <c r="AC925" s="604"/>
      <c r="AD925" s="604"/>
      <c r="AE925" s="604"/>
      <c r="AF925" s="604"/>
      <c r="AG925" s="604"/>
      <c r="AH925" s="604"/>
      <c r="AI925" s="604"/>
      <c r="AJ925" s="604"/>
      <c r="AK925" s="604"/>
      <c r="AL925" s="604"/>
      <c r="AM925" s="604"/>
      <c r="AN925" s="604"/>
    </row>
    <row r="926" spans="1:40" ht="15.75" hidden="1" customHeight="1" thickBot="1">
      <c r="A926" s="650"/>
      <c r="B926" s="596"/>
      <c r="C926" s="624"/>
      <c r="D926" s="608"/>
      <c r="E926" s="518"/>
      <c r="F926" s="518"/>
      <c r="G926" s="518"/>
      <c r="H926" s="518"/>
      <c r="I926" s="518"/>
      <c r="J926" s="518"/>
      <c r="K926" s="518"/>
      <c r="L926" s="518"/>
      <c r="M926" s="518"/>
      <c r="N926" s="518"/>
      <c r="O926" s="518"/>
      <c r="P926" s="518"/>
      <c r="Q926" s="518"/>
      <c r="R926" s="518"/>
      <c r="S926" s="518"/>
      <c r="T926" s="604"/>
      <c r="U926" s="604"/>
      <c r="V926" s="604"/>
      <c r="W926" s="604"/>
      <c r="X926" s="604"/>
      <c r="Y926" s="604"/>
      <c r="Z926" s="604"/>
      <c r="AA926" s="604"/>
      <c r="AB926" s="604"/>
      <c r="AC926" s="604"/>
      <c r="AD926" s="604"/>
      <c r="AE926" s="604"/>
      <c r="AF926" s="604"/>
      <c r="AG926" s="604"/>
      <c r="AH926" s="604"/>
      <c r="AI926" s="604"/>
      <c r="AJ926" s="604"/>
      <c r="AK926" s="604"/>
      <c r="AL926" s="604"/>
      <c r="AM926" s="604"/>
      <c r="AN926" s="604"/>
    </row>
    <row r="927" spans="1:40" ht="21.75" customHeight="1" thickTop="1" thickBot="1">
      <c r="A927" s="643"/>
      <c r="B927" s="665" t="s">
        <v>505</v>
      </c>
      <c r="C927" s="666" t="s">
        <v>339</v>
      </c>
      <c r="D927" s="646"/>
      <c r="E927" s="647"/>
      <c r="F927" s="647"/>
      <c r="G927" s="647"/>
      <c r="H927" s="667">
        <f>Zusammenfassung!H21</f>
        <v>0</v>
      </c>
      <c r="I927" s="667">
        <f>Zusammenfassung!I21</f>
        <v>1</v>
      </c>
      <c r="J927" s="667">
        <f>Zusammenfassung!J21</f>
        <v>0.6</v>
      </c>
      <c r="K927" s="667">
        <f>Zusammenfassung!K21</f>
        <v>0.6</v>
      </c>
      <c r="L927" s="667">
        <f>Zusammenfassung!L21</f>
        <v>0.6</v>
      </c>
      <c r="M927" s="667">
        <f>Zusammenfassung!M21</f>
        <v>1</v>
      </c>
      <c r="N927" s="667">
        <f>Zusammenfassung!N21</f>
        <v>1</v>
      </c>
      <c r="O927" s="667">
        <f>Zusammenfassung!O21</f>
        <v>0</v>
      </c>
      <c r="P927" s="667">
        <f>Zusammenfassung!P21</f>
        <v>1</v>
      </c>
      <c r="Q927" s="667">
        <f>Zusammenfassung!Q21</f>
        <v>0.6</v>
      </c>
      <c r="R927" s="667">
        <f>Zusammenfassung!R21</f>
        <v>1</v>
      </c>
      <c r="S927" s="667">
        <f>Zusammenfassung!S21</f>
        <v>0.6</v>
      </c>
      <c r="T927" s="668"/>
      <c r="U927" s="668"/>
      <c r="V927" s="668"/>
      <c r="W927" s="668"/>
      <c r="X927" s="668"/>
      <c r="Y927" s="668"/>
      <c r="Z927" s="668"/>
      <c r="AA927" s="604"/>
      <c r="AB927" s="604"/>
      <c r="AC927" s="604"/>
      <c r="AD927" s="604"/>
      <c r="AE927" s="604"/>
      <c r="AF927" s="604"/>
      <c r="AG927" s="604"/>
      <c r="AH927" s="604"/>
      <c r="AI927" s="604"/>
      <c r="AJ927" s="604"/>
      <c r="AK927" s="604"/>
      <c r="AL927" s="604"/>
      <c r="AM927" s="604"/>
      <c r="AN927" s="604"/>
    </row>
    <row r="928" spans="1:40" ht="15.75" customHeight="1" thickTop="1" thickBot="1">
      <c r="A928" s="598"/>
      <c r="B928" s="655">
        <v>45292</v>
      </c>
      <c r="C928" s="627"/>
      <c r="D928" s="601"/>
      <c r="E928" s="602"/>
      <c r="F928" s="602"/>
      <c r="G928" s="602"/>
      <c r="H928" s="602"/>
      <c r="I928" s="602"/>
      <c r="J928" s="602"/>
      <c r="K928" s="602"/>
      <c r="L928" s="602"/>
      <c r="M928" s="602"/>
      <c r="N928" s="602"/>
      <c r="O928" s="602"/>
      <c r="P928" s="602"/>
      <c r="Q928" s="602"/>
      <c r="R928" s="602"/>
      <c r="S928" s="602"/>
      <c r="T928" s="602"/>
      <c r="U928" s="602"/>
      <c r="V928" s="602"/>
      <c r="W928" s="602"/>
      <c r="X928" s="602"/>
      <c r="Y928" s="602"/>
      <c r="Z928" s="602"/>
      <c r="AA928" s="604"/>
      <c r="AB928" s="604"/>
      <c r="AC928" s="604"/>
      <c r="AD928" s="604"/>
      <c r="AE928" s="604"/>
      <c r="AF928" s="604"/>
      <c r="AG928" s="604"/>
      <c r="AH928" s="604"/>
      <c r="AI928" s="604"/>
      <c r="AJ928" s="604"/>
      <c r="AK928" s="604"/>
      <c r="AL928" s="604"/>
      <c r="AM928" s="604"/>
      <c r="AN928" s="604"/>
    </row>
    <row r="929" spans="1:40" ht="15.75" customHeight="1">
      <c r="A929" s="669">
        <v>45292</v>
      </c>
      <c r="B929" s="606"/>
      <c r="C929" s="607" t="s">
        <v>62</v>
      </c>
      <c r="D929" s="608"/>
      <c r="E929" s="518"/>
      <c r="F929" s="518"/>
      <c r="G929" s="518"/>
      <c r="H929" s="518"/>
      <c r="I929" s="518"/>
      <c r="J929" s="518"/>
      <c r="K929" s="518"/>
      <c r="L929" s="518"/>
      <c r="M929" s="518"/>
      <c r="N929" s="518"/>
      <c r="O929" s="518"/>
      <c r="P929" s="518"/>
      <c r="Q929" s="518"/>
      <c r="R929" s="518"/>
      <c r="S929" s="518"/>
      <c r="T929" s="518"/>
      <c r="U929" s="518"/>
      <c r="V929" s="518">
        <v>1036.55</v>
      </c>
      <c r="W929" s="518"/>
      <c r="X929" s="806"/>
      <c r="Y929" s="807"/>
      <c r="Z929" s="609"/>
      <c r="AA929" s="604"/>
      <c r="AB929" s="604"/>
      <c r="AC929" s="604"/>
      <c r="AD929" s="604"/>
      <c r="AE929" s="604"/>
      <c r="AF929" s="604"/>
      <c r="AG929" s="604"/>
      <c r="AH929" s="604"/>
      <c r="AI929" s="604"/>
      <c r="AJ929" s="604"/>
      <c r="AK929" s="604"/>
      <c r="AL929" s="604"/>
      <c r="AM929" s="604"/>
      <c r="AN929" s="604"/>
    </row>
    <row r="930" spans="1:40" ht="15.75" customHeight="1">
      <c r="A930" s="669">
        <v>45293</v>
      </c>
      <c r="B930" s="612"/>
      <c r="C930" s="611" t="s">
        <v>63</v>
      </c>
      <c r="D930" s="608"/>
      <c r="E930" s="518"/>
      <c r="F930" s="518"/>
      <c r="G930" s="608"/>
      <c r="H930" s="518"/>
      <c r="I930" s="518"/>
      <c r="J930" s="518"/>
      <c r="K930" s="518"/>
      <c r="L930" s="518"/>
      <c r="M930" s="518"/>
      <c r="N930" s="518"/>
      <c r="O930" s="518"/>
      <c r="P930" s="518"/>
      <c r="Q930" s="518"/>
      <c r="R930" s="518"/>
      <c r="S930" s="518"/>
      <c r="T930" s="518">
        <v>292.54000000000002</v>
      </c>
      <c r="U930" s="518"/>
      <c r="V930" s="518"/>
      <c r="W930" s="518"/>
      <c r="X930" s="808">
        <f>T930</f>
        <v>292.54000000000002</v>
      </c>
      <c r="Y930" s="809">
        <f>$T$3</f>
        <v>2300</v>
      </c>
      <c r="Z930" s="609"/>
      <c r="AA930" s="604"/>
      <c r="AB930" s="604"/>
      <c r="AC930" s="604"/>
      <c r="AD930" s="604"/>
      <c r="AE930" s="604"/>
      <c r="AF930" s="604"/>
      <c r="AG930" s="604"/>
      <c r="AH930" s="604"/>
      <c r="AI930" s="604"/>
      <c r="AJ930" s="604"/>
      <c r="AK930" s="604"/>
      <c r="AL930" s="604"/>
      <c r="AM930" s="604"/>
      <c r="AN930" s="604"/>
    </row>
    <row r="931" spans="1:40" ht="15.75" customHeight="1">
      <c r="A931" s="669">
        <v>45293</v>
      </c>
      <c r="B931" s="610">
        <f>'Conversion rates'!B28</f>
        <v>1.1644220000000001</v>
      </c>
      <c r="C931" s="611" t="s">
        <v>276</v>
      </c>
      <c r="D931" s="608"/>
      <c r="E931" s="518"/>
      <c r="F931" s="518"/>
      <c r="G931" s="608"/>
      <c r="H931" s="518"/>
      <c r="I931" s="518"/>
      <c r="J931" s="518"/>
      <c r="K931" s="518"/>
      <c r="L931" s="518"/>
      <c r="M931" s="518"/>
      <c r="N931" s="518"/>
      <c r="O931" s="518"/>
      <c r="P931" s="518"/>
      <c r="Q931" s="518"/>
      <c r="R931" s="518"/>
      <c r="S931" s="518"/>
      <c r="T931" s="518">
        <v>80</v>
      </c>
      <c r="U931" s="518"/>
      <c r="V931" s="518"/>
      <c r="W931" s="518"/>
      <c r="X931" s="808">
        <f>T931</f>
        <v>80</v>
      </c>
      <c r="Y931" s="809">
        <f>$T$3</f>
        <v>2300</v>
      </c>
      <c r="Z931" s="609"/>
      <c r="AA931" s="604"/>
      <c r="AB931" s="604"/>
      <c r="AC931" s="604"/>
      <c r="AD931" s="604"/>
      <c r="AE931" s="604"/>
      <c r="AF931" s="604"/>
      <c r="AG931" s="604"/>
      <c r="AH931" s="604"/>
      <c r="AI931" s="604"/>
      <c r="AJ931" s="604"/>
      <c r="AK931" s="604"/>
      <c r="AL931" s="604"/>
      <c r="AM931" s="604"/>
      <c r="AN931" s="604"/>
    </row>
    <row r="932" spans="1:40" ht="15.75" customHeight="1">
      <c r="A932" s="669">
        <v>45293</v>
      </c>
      <c r="B932" s="615"/>
      <c r="C932" s="614" t="s">
        <v>421</v>
      </c>
      <c r="D932" s="608"/>
      <c r="E932" s="518"/>
      <c r="F932" s="518"/>
      <c r="G932" s="608"/>
      <c r="H932" s="518"/>
      <c r="I932" s="518"/>
      <c r="J932" s="518"/>
      <c r="K932" s="518"/>
      <c r="L932" s="518"/>
      <c r="M932" s="518">
        <v>49</v>
      </c>
      <c r="N932" s="518"/>
      <c r="O932" s="518"/>
      <c r="P932" s="518"/>
      <c r="Q932" s="518"/>
      <c r="R932" s="518"/>
      <c r="S932" s="518"/>
      <c r="T932" s="518"/>
      <c r="U932" s="518"/>
      <c r="V932" s="518"/>
      <c r="W932" s="518"/>
      <c r="X932" s="808">
        <f>M932</f>
        <v>49</v>
      </c>
      <c r="Y932" s="809" t="str">
        <f>$M$3</f>
        <v>6673-2</v>
      </c>
      <c r="Z932" s="609"/>
      <c r="AA932" s="604"/>
      <c r="AB932" s="604"/>
      <c r="AC932" s="604"/>
      <c r="AD932" s="604"/>
      <c r="AE932" s="604"/>
      <c r="AF932" s="604"/>
      <c r="AG932" s="604"/>
      <c r="AH932" s="604"/>
      <c r="AI932" s="604"/>
      <c r="AJ932" s="604"/>
      <c r="AK932" s="604"/>
      <c r="AL932" s="604"/>
      <c r="AM932" s="604"/>
      <c r="AN932" s="604"/>
    </row>
    <row r="933" spans="1:40" ht="15.75" customHeight="1">
      <c r="A933" s="669">
        <v>45293</v>
      </c>
      <c r="B933" s="612"/>
      <c r="C933" s="611" t="s">
        <v>506</v>
      </c>
      <c r="D933" s="608"/>
      <c r="E933" s="518"/>
      <c r="F933" s="518"/>
      <c r="G933" s="608"/>
      <c r="H933" s="518"/>
      <c r="I933" s="518"/>
      <c r="J933" s="518"/>
      <c r="K933" s="518"/>
      <c r="L933" s="518"/>
      <c r="M933" s="518"/>
      <c r="N933" s="518"/>
      <c r="O933" s="518"/>
      <c r="P933" s="518"/>
      <c r="Q933" s="518"/>
      <c r="R933" s="518"/>
      <c r="S933" s="518"/>
      <c r="T933" s="518">
        <v>41.26</v>
      </c>
      <c r="U933" s="518"/>
      <c r="V933" s="518"/>
      <c r="W933" s="518"/>
      <c r="X933" s="808">
        <f>T933</f>
        <v>41.26</v>
      </c>
      <c r="Y933" s="809">
        <f>$T$3</f>
        <v>2300</v>
      </c>
      <c r="Z933" s="609"/>
      <c r="AA933" s="604"/>
      <c r="AB933" s="604"/>
      <c r="AC933" s="604"/>
      <c r="AD933" s="604"/>
      <c r="AE933" s="604"/>
      <c r="AF933" s="604"/>
      <c r="AG933" s="604"/>
      <c r="AH933" s="604"/>
      <c r="AI933" s="604"/>
      <c r="AJ933" s="604"/>
      <c r="AK933" s="604"/>
      <c r="AL933" s="604"/>
      <c r="AM933" s="604"/>
      <c r="AN933" s="604"/>
    </row>
    <row r="934" spans="1:40" ht="15.75" customHeight="1">
      <c r="A934" s="669">
        <v>45294</v>
      </c>
      <c r="B934" s="612" t="s">
        <v>310</v>
      </c>
      <c r="C934" s="614" t="s">
        <v>507</v>
      </c>
      <c r="D934" s="608"/>
      <c r="E934" s="518"/>
      <c r="F934" s="518"/>
      <c r="G934" s="608"/>
      <c r="H934" s="518"/>
      <c r="I934" s="518"/>
      <c r="J934" s="518"/>
      <c r="K934" s="518"/>
      <c r="L934" s="518"/>
      <c r="M934" s="616"/>
      <c r="N934" s="518">
        <f>800*B931</f>
        <v>931.53760000000011</v>
      </c>
      <c r="O934" s="518"/>
      <c r="P934" s="518"/>
      <c r="Q934" s="518"/>
      <c r="R934" s="518"/>
      <c r="S934" s="518"/>
      <c r="T934" s="518"/>
      <c r="U934" s="518"/>
      <c r="V934" s="518"/>
      <c r="W934" s="518"/>
      <c r="X934" s="808">
        <f>N934</f>
        <v>931.53760000000011</v>
      </c>
      <c r="Y934" s="809">
        <f>$N$3</f>
        <v>6680</v>
      </c>
      <c r="Z934" s="609"/>
      <c r="AA934" s="604"/>
      <c r="AB934" s="604"/>
      <c r="AC934" s="604"/>
      <c r="AD934" s="604"/>
      <c r="AE934" s="604"/>
      <c r="AF934" s="604"/>
      <c r="AG934" s="604"/>
      <c r="AH934" s="604"/>
      <c r="AI934" s="604"/>
      <c r="AJ934" s="604"/>
      <c r="AK934" s="604"/>
      <c r="AL934" s="604"/>
      <c r="AM934" s="604"/>
      <c r="AN934" s="604"/>
    </row>
    <row r="935" spans="1:40" ht="15.75" customHeight="1">
      <c r="A935" s="669">
        <v>45300</v>
      </c>
      <c r="B935" s="612"/>
      <c r="C935" s="611" t="s">
        <v>320</v>
      </c>
      <c r="D935" s="608"/>
      <c r="E935" s="518"/>
      <c r="F935" s="518"/>
      <c r="G935" s="608"/>
      <c r="H935" s="518"/>
      <c r="I935" s="518"/>
      <c r="J935" s="518"/>
      <c r="K935" s="518">
        <v>36.869999999999997</v>
      </c>
      <c r="L935" s="518"/>
      <c r="M935" s="518"/>
      <c r="N935" s="518"/>
      <c r="O935" s="518"/>
      <c r="P935" s="518"/>
      <c r="Q935" s="518"/>
      <c r="R935" s="518"/>
      <c r="S935" s="518"/>
      <c r="T935" s="518"/>
      <c r="U935" s="518"/>
      <c r="V935" s="518"/>
      <c r="W935" s="518"/>
      <c r="X935" s="1033">
        <f>K935</f>
        <v>36.869999999999997</v>
      </c>
      <c r="Y935" s="809" t="str">
        <f>$K$3</f>
        <v>6495-1</v>
      </c>
      <c r="Z935" s="609"/>
      <c r="AA935" s="604"/>
      <c r="AB935" s="604"/>
      <c r="AC935" s="604"/>
      <c r="AD935" s="604"/>
      <c r="AE935" s="604"/>
      <c r="AF935" s="604"/>
      <c r="AG935" s="604"/>
      <c r="AH935" s="604"/>
      <c r="AI935" s="604"/>
      <c r="AJ935" s="604"/>
      <c r="AK935" s="604"/>
      <c r="AL935" s="604"/>
      <c r="AM935" s="604"/>
      <c r="AN935" s="604"/>
    </row>
    <row r="936" spans="1:40" ht="15.75" customHeight="1">
      <c r="A936" s="669">
        <v>45306</v>
      </c>
      <c r="B936" s="615"/>
      <c r="C936" s="611" t="s">
        <v>341</v>
      </c>
      <c r="D936" s="608"/>
      <c r="E936" s="518"/>
      <c r="F936" s="518"/>
      <c r="G936" s="608"/>
      <c r="H936" s="518">
        <v>850.25</v>
      </c>
      <c r="I936" s="518"/>
      <c r="J936" s="518"/>
      <c r="K936" s="518"/>
      <c r="L936" s="518"/>
      <c r="M936" s="518"/>
      <c r="N936" s="518"/>
      <c r="O936" s="518"/>
      <c r="P936" s="518"/>
      <c r="Q936" s="518"/>
      <c r="R936" s="518"/>
      <c r="S936" s="518"/>
      <c r="T936" s="518"/>
      <c r="U936" s="518"/>
      <c r="V936" s="518"/>
      <c r="W936" s="518"/>
      <c r="X936" s="1033">
        <f>H936</f>
        <v>850.25</v>
      </c>
      <c r="Y936" s="809">
        <f>$H$3</f>
        <v>2200</v>
      </c>
      <c r="Z936" s="609"/>
      <c r="AA936" s="604"/>
      <c r="AB936" s="604"/>
      <c r="AC936" s="604"/>
      <c r="AD936" s="604"/>
      <c r="AE936" s="604"/>
      <c r="AF936" s="604"/>
      <c r="AG936" s="604"/>
      <c r="AH936" s="604"/>
      <c r="AI936" s="604"/>
      <c r="AJ936" s="604"/>
      <c r="AK936" s="604"/>
      <c r="AL936" s="604"/>
      <c r="AM936" s="604"/>
      <c r="AN936" s="604"/>
    </row>
    <row r="937" spans="1:40" ht="15.75" customHeight="1">
      <c r="A937" s="669">
        <v>45308</v>
      </c>
      <c r="B937" s="613"/>
      <c r="C937" s="611" t="s">
        <v>111</v>
      </c>
      <c r="D937" s="608"/>
      <c r="E937" s="518"/>
      <c r="F937" s="518"/>
      <c r="G937" s="608"/>
      <c r="H937" s="518"/>
      <c r="I937" s="518"/>
      <c r="J937" s="518"/>
      <c r="K937" s="518">
        <v>34.99</v>
      </c>
      <c r="L937" s="518"/>
      <c r="M937" s="518"/>
      <c r="N937" s="518"/>
      <c r="O937" s="518"/>
      <c r="P937" s="518"/>
      <c r="Q937" s="518"/>
      <c r="R937" s="518"/>
      <c r="S937" s="518"/>
      <c r="T937" s="518">
        <v>19.98</v>
      </c>
      <c r="U937" s="518"/>
      <c r="V937" s="518"/>
      <c r="W937" s="518"/>
      <c r="X937" s="808">
        <f>T937</f>
        <v>19.98</v>
      </c>
      <c r="Y937" s="809">
        <f>$T$3</f>
        <v>2300</v>
      </c>
      <c r="Z937" s="609"/>
      <c r="AA937" s="604"/>
      <c r="AB937" s="604"/>
      <c r="AC937" s="604"/>
      <c r="AD937" s="604"/>
      <c r="AE937" s="604"/>
      <c r="AF937" s="604"/>
      <c r="AG937" s="604"/>
      <c r="AH937" s="604"/>
      <c r="AI937" s="604"/>
      <c r="AJ937" s="604"/>
      <c r="AK937" s="604"/>
      <c r="AL937" s="604"/>
      <c r="AM937" s="604"/>
      <c r="AN937" s="604"/>
    </row>
    <row r="938" spans="1:40" ht="15.75" customHeight="1">
      <c r="A938" s="669">
        <v>45309</v>
      </c>
      <c r="B938" s="613"/>
      <c r="C938" s="611" t="s">
        <v>78</v>
      </c>
      <c r="D938" s="608"/>
      <c r="E938" s="518"/>
      <c r="F938" s="518"/>
      <c r="G938" s="608"/>
      <c r="H938" s="518"/>
      <c r="I938" s="518"/>
      <c r="J938" s="518">
        <v>20.57</v>
      </c>
      <c r="K938" s="518"/>
      <c r="L938" s="518"/>
      <c r="M938" s="518"/>
      <c r="N938" s="518"/>
      <c r="O938" s="518"/>
      <c r="P938" s="518"/>
      <c r="Q938" s="518"/>
      <c r="R938" s="518"/>
      <c r="S938" s="518"/>
      <c r="T938" s="518"/>
      <c r="U938" s="518"/>
      <c r="V938" s="518"/>
      <c r="W938" s="518"/>
      <c r="X938" s="1033">
        <f>J938</f>
        <v>20.57</v>
      </c>
      <c r="Y938" s="809">
        <f>$J$3</f>
        <v>6805</v>
      </c>
      <c r="Z938" s="609"/>
      <c r="AA938" s="604"/>
      <c r="AB938" s="604"/>
      <c r="AC938" s="604"/>
      <c r="AD938" s="604"/>
      <c r="AE938" s="604"/>
      <c r="AF938" s="604"/>
      <c r="AG938" s="604"/>
      <c r="AH938" s="604"/>
      <c r="AI938" s="604"/>
      <c r="AJ938" s="604"/>
      <c r="AK938" s="604"/>
      <c r="AL938" s="604"/>
      <c r="AM938" s="604"/>
      <c r="AN938" s="604"/>
    </row>
    <row r="939" spans="1:40" ht="18" customHeight="1">
      <c r="A939" s="669">
        <v>45313</v>
      </c>
      <c r="B939" s="615"/>
      <c r="C939" s="614" t="s">
        <v>385</v>
      </c>
      <c r="D939" s="608"/>
      <c r="E939" s="518"/>
      <c r="F939" s="518"/>
      <c r="G939" s="608"/>
      <c r="H939" s="518"/>
      <c r="I939" s="518"/>
      <c r="J939" s="518"/>
      <c r="K939" s="518"/>
      <c r="L939" s="518"/>
      <c r="M939" s="518"/>
      <c r="N939" s="518"/>
      <c r="O939" s="518"/>
      <c r="P939" s="518"/>
      <c r="Q939" s="518"/>
      <c r="R939" s="518"/>
      <c r="S939" s="518">
        <v>11.5</v>
      </c>
      <c r="T939" s="518"/>
      <c r="U939" s="518"/>
      <c r="V939" s="518"/>
      <c r="W939" s="518"/>
      <c r="X939" s="808">
        <f>S939</f>
        <v>11.5</v>
      </c>
      <c r="Y939" s="809">
        <f>$S$3</f>
        <v>6855</v>
      </c>
      <c r="Z939" s="609"/>
      <c r="AA939" s="604"/>
      <c r="AB939" s="604"/>
      <c r="AC939" s="604"/>
      <c r="AD939" s="604"/>
      <c r="AE939" s="604"/>
      <c r="AF939" s="604"/>
      <c r="AG939" s="604"/>
      <c r="AH939" s="604"/>
      <c r="AI939" s="604"/>
      <c r="AJ939" s="604"/>
      <c r="AK939" s="604"/>
      <c r="AL939" s="604"/>
      <c r="AM939" s="604"/>
      <c r="AN939" s="604"/>
    </row>
    <row r="940" spans="1:40" ht="15.75" customHeight="1">
      <c r="A940" s="669">
        <v>45313</v>
      </c>
      <c r="B940" s="612"/>
      <c r="C940" s="611" t="s">
        <v>194</v>
      </c>
      <c r="D940" s="608"/>
      <c r="E940" s="518"/>
      <c r="F940" s="518"/>
      <c r="G940" s="608"/>
      <c r="H940" s="518"/>
      <c r="I940" s="518"/>
      <c r="J940" s="518"/>
      <c r="K940" s="518"/>
      <c r="L940" s="518"/>
      <c r="M940" s="518"/>
      <c r="N940" s="518"/>
      <c r="O940" s="518"/>
      <c r="P940" s="518"/>
      <c r="Q940" s="518"/>
      <c r="R940" s="518"/>
      <c r="S940" s="518">
        <v>11.5</v>
      </c>
      <c r="T940" s="518"/>
      <c r="U940" s="518"/>
      <c r="V940" s="518"/>
      <c r="W940" s="518"/>
      <c r="X940" s="808">
        <f>S940</f>
        <v>11.5</v>
      </c>
      <c r="Y940" s="809">
        <f>$S$3</f>
        <v>6855</v>
      </c>
      <c r="Z940" s="609"/>
      <c r="AA940" s="604"/>
      <c r="AB940" s="604"/>
      <c r="AC940" s="604"/>
      <c r="AD940" s="604"/>
      <c r="AE940" s="604"/>
      <c r="AF940" s="604"/>
      <c r="AG940" s="604"/>
      <c r="AH940" s="604"/>
      <c r="AI940" s="604"/>
      <c r="AJ940" s="604"/>
      <c r="AK940" s="604"/>
      <c r="AL940" s="604"/>
      <c r="AM940" s="604"/>
      <c r="AN940" s="604"/>
    </row>
    <row r="941" spans="1:40" ht="15.75" customHeight="1">
      <c r="A941" s="669">
        <v>45314</v>
      </c>
      <c r="B941" s="615"/>
      <c r="C941" s="614" t="s">
        <v>508</v>
      </c>
      <c r="D941" s="608"/>
      <c r="E941" s="518"/>
      <c r="F941" s="518"/>
      <c r="G941" s="608"/>
      <c r="H941" s="518"/>
      <c r="I941" s="518"/>
      <c r="J941" s="518"/>
      <c r="K941" s="518"/>
      <c r="L941" s="518"/>
      <c r="M941" s="518"/>
      <c r="N941" s="518"/>
      <c r="O941" s="518"/>
      <c r="P941" s="518"/>
      <c r="Q941" s="518">
        <v>5.39</v>
      </c>
      <c r="R941" s="518"/>
      <c r="S941" s="518"/>
      <c r="T941" s="518"/>
      <c r="U941" s="518"/>
      <c r="V941" s="518"/>
      <c r="W941" s="518"/>
      <c r="X941" s="808">
        <f>Q941</f>
        <v>5.39</v>
      </c>
      <c r="Y941" s="809" t="str">
        <f>$Q$3</f>
        <v>6495-2</v>
      </c>
      <c r="Z941" s="609"/>
      <c r="AA941" s="604"/>
      <c r="AB941" s="604"/>
      <c r="AC941" s="604"/>
      <c r="AD941" s="604"/>
      <c r="AE941" s="604"/>
      <c r="AF941" s="604"/>
      <c r="AG941" s="604"/>
      <c r="AH941" s="604"/>
      <c r="AI941" s="604"/>
      <c r="AJ941" s="604"/>
      <c r="AK941" s="604"/>
      <c r="AL941" s="604"/>
      <c r="AM941" s="604"/>
      <c r="AN941" s="604"/>
    </row>
    <row r="942" spans="1:40" ht="15.75" customHeight="1">
      <c r="A942" s="669">
        <v>45315</v>
      </c>
      <c r="B942" s="615"/>
      <c r="C942" s="611" t="s">
        <v>364</v>
      </c>
      <c r="D942" s="608"/>
      <c r="E942" s="518"/>
      <c r="F942" s="518"/>
      <c r="G942" s="608"/>
      <c r="H942" s="518"/>
      <c r="I942" s="518"/>
      <c r="J942" s="518"/>
      <c r="K942" s="518">
        <v>11.7</v>
      </c>
      <c r="L942" s="518"/>
      <c r="M942" s="518"/>
      <c r="N942" s="518"/>
      <c r="O942" s="518"/>
      <c r="P942" s="518"/>
      <c r="Q942" s="518"/>
      <c r="R942" s="518"/>
      <c r="S942" s="518"/>
      <c r="T942" s="518"/>
      <c r="U942" s="518"/>
      <c r="V942" s="518"/>
      <c r="W942" s="518"/>
      <c r="X942" s="1033">
        <f>K942</f>
        <v>11.7</v>
      </c>
      <c r="Y942" s="809" t="str">
        <f>$K$3</f>
        <v>6495-1</v>
      </c>
      <c r="Z942" s="609"/>
      <c r="AA942" s="604"/>
      <c r="AB942" s="604"/>
      <c r="AC942" s="604"/>
      <c r="AD942" s="604"/>
      <c r="AE942" s="604"/>
      <c r="AF942" s="604"/>
      <c r="AG942" s="604"/>
      <c r="AH942" s="604"/>
      <c r="AI942" s="604"/>
      <c r="AJ942" s="604"/>
      <c r="AK942" s="604"/>
      <c r="AL942" s="604"/>
      <c r="AM942" s="604"/>
      <c r="AN942" s="604"/>
    </row>
    <row r="943" spans="1:40" ht="15.75" customHeight="1">
      <c r="A943" s="669">
        <v>45315</v>
      </c>
      <c r="B943" s="612"/>
      <c r="C943" s="611" t="s">
        <v>320</v>
      </c>
      <c r="D943" s="608"/>
      <c r="E943" s="518"/>
      <c r="F943" s="518"/>
      <c r="G943" s="608"/>
      <c r="H943" s="518"/>
      <c r="I943" s="518"/>
      <c r="J943" s="518"/>
      <c r="K943" s="518">
        <v>36.869999999999997</v>
      </c>
      <c r="L943" s="518"/>
      <c r="M943" s="518"/>
      <c r="N943" s="518"/>
      <c r="O943" s="518"/>
      <c r="P943" s="518"/>
      <c r="Q943" s="518"/>
      <c r="R943" s="518"/>
      <c r="S943" s="518"/>
      <c r="T943" s="518"/>
      <c r="U943" s="518"/>
      <c r="V943" s="518"/>
      <c r="W943" s="518"/>
      <c r="X943" s="1033">
        <f>K943</f>
        <v>36.869999999999997</v>
      </c>
      <c r="Y943" s="809" t="str">
        <f>$K$3</f>
        <v>6495-1</v>
      </c>
      <c r="Z943" s="609"/>
      <c r="AA943" s="604"/>
      <c r="AB943" s="604"/>
      <c r="AC943" s="604"/>
      <c r="AD943" s="604"/>
      <c r="AE943" s="604"/>
      <c r="AF943" s="604"/>
      <c r="AG943" s="604"/>
      <c r="AH943" s="604"/>
      <c r="AI943" s="604"/>
      <c r="AJ943" s="604"/>
      <c r="AK943" s="604"/>
      <c r="AL943" s="604"/>
      <c r="AM943" s="604"/>
      <c r="AN943" s="604"/>
    </row>
    <row r="944" spans="1:40" ht="15.75" customHeight="1">
      <c r="A944" s="669">
        <v>45317</v>
      </c>
      <c r="B944" s="615"/>
      <c r="C944" s="611" t="s">
        <v>344</v>
      </c>
      <c r="D944" s="608"/>
      <c r="E944" s="518"/>
      <c r="F944" s="518"/>
      <c r="G944" s="608"/>
      <c r="H944" s="518"/>
      <c r="I944" s="518"/>
      <c r="J944" s="518"/>
      <c r="K944" s="518"/>
      <c r="L944" s="518"/>
      <c r="M944" s="518"/>
      <c r="N944" s="518"/>
      <c r="O944" s="518"/>
      <c r="P944" s="518"/>
      <c r="Q944" s="518"/>
      <c r="R944" s="518"/>
      <c r="S944" s="518">
        <v>3.88</v>
      </c>
      <c r="T944" s="518"/>
      <c r="U944" s="518"/>
      <c r="V944" s="518"/>
      <c r="W944" s="518"/>
      <c r="X944" s="808">
        <f>S944</f>
        <v>3.88</v>
      </c>
      <c r="Y944" s="809">
        <f>$S$3</f>
        <v>6855</v>
      </c>
      <c r="Z944" s="609"/>
      <c r="AA944" s="604"/>
      <c r="AB944" s="604"/>
      <c r="AC944" s="604"/>
      <c r="AD944" s="604"/>
      <c r="AE944" s="604"/>
      <c r="AF944" s="604"/>
      <c r="AG944" s="604"/>
      <c r="AH944" s="604"/>
      <c r="AI944" s="604"/>
      <c r="AJ944" s="604"/>
      <c r="AK944" s="604"/>
      <c r="AL944" s="604"/>
      <c r="AM944" s="604"/>
      <c r="AN944" s="604"/>
    </row>
    <row r="945" spans="1:40" ht="15.75" customHeight="1">
      <c r="A945" s="669">
        <v>45322</v>
      </c>
      <c r="B945" s="615"/>
      <c r="C945" s="614" t="s">
        <v>260</v>
      </c>
      <c r="D945" s="608"/>
      <c r="E945" s="518">
        <v>605.5</v>
      </c>
      <c r="F945" s="518"/>
      <c r="G945" s="608"/>
      <c r="H945" s="518"/>
      <c r="I945" s="518"/>
      <c r="J945" s="518"/>
      <c r="K945" s="518"/>
      <c r="L945" s="518"/>
      <c r="M945" s="518"/>
      <c r="N945" s="518"/>
      <c r="O945" s="518"/>
      <c r="P945" s="518"/>
      <c r="Q945" s="518"/>
      <c r="R945" s="518"/>
      <c r="S945" s="518"/>
      <c r="T945" s="518"/>
      <c r="U945" s="518"/>
      <c r="V945" s="518"/>
      <c r="W945" s="518"/>
      <c r="X945" s="808">
        <f>E945</f>
        <v>605.5</v>
      </c>
      <c r="Y945" s="809" t="s">
        <v>2304</v>
      </c>
      <c r="Z945" s="609"/>
      <c r="AA945" s="604"/>
      <c r="AB945" s="604"/>
      <c r="AC945" s="604"/>
      <c r="AD945" s="604"/>
      <c r="AE945" s="604"/>
      <c r="AF945" s="604"/>
      <c r="AG945" s="604"/>
      <c r="AH945" s="604"/>
      <c r="AI945" s="604"/>
      <c r="AJ945" s="604"/>
      <c r="AK945" s="604"/>
      <c r="AL945" s="604"/>
      <c r="AM945" s="604"/>
      <c r="AN945" s="604"/>
    </row>
    <row r="946" spans="1:40" ht="15.75" customHeight="1">
      <c r="A946" s="669"/>
      <c r="B946" s="612"/>
      <c r="C946" s="611"/>
      <c r="D946" s="608"/>
      <c r="E946" s="518"/>
      <c r="F946" s="518"/>
      <c r="G946" s="518"/>
      <c r="H946" s="518"/>
      <c r="I946" s="518"/>
      <c r="J946" s="518"/>
      <c r="K946" s="518"/>
      <c r="L946" s="518"/>
      <c r="M946" s="518"/>
      <c r="N946" s="518"/>
      <c r="O946" s="518"/>
      <c r="P946" s="518"/>
      <c r="Q946" s="518"/>
      <c r="R946" s="518"/>
      <c r="S946" s="518"/>
      <c r="T946" s="518"/>
      <c r="U946" s="518"/>
      <c r="V946" s="518"/>
      <c r="W946" s="518"/>
      <c r="X946" s="808"/>
      <c r="Y946" s="809"/>
      <c r="Z946" s="609"/>
      <c r="AA946" s="604"/>
      <c r="AB946" s="604"/>
      <c r="AC946" s="604"/>
      <c r="AD946" s="604"/>
      <c r="AE946" s="604"/>
      <c r="AF946" s="604"/>
      <c r="AG946" s="604"/>
      <c r="AH946" s="604"/>
      <c r="AI946" s="604"/>
      <c r="AJ946" s="604"/>
      <c r="AK946" s="604"/>
      <c r="AL946" s="604"/>
      <c r="AM946" s="604"/>
      <c r="AN946" s="604"/>
    </row>
    <row r="947" spans="1:40" ht="15.75" customHeight="1">
      <c r="A947" s="670"/>
      <c r="B947" s="620"/>
      <c r="C947" s="621"/>
      <c r="D947" s="622"/>
      <c r="E947" s="623"/>
      <c r="F947" s="623"/>
      <c r="G947" s="623"/>
      <c r="H947" s="623"/>
      <c r="I947" s="623"/>
      <c r="J947" s="623"/>
      <c r="K947" s="623"/>
      <c r="L947" s="623"/>
      <c r="M947" s="623"/>
      <c r="N947" s="623"/>
      <c r="O947" s="623"/>
      <c r="P947" s="623"/>
      <c r="Q947" s="623"/>
      <c r="R947" s="623"/>
      <c r="S947" s="623"/>
      <c r="T947" s="623"/>
      <c r="U947" s="623"/>
      <c r="V947" s="623"/>
      <c r="W947" s="623"/>
      <c r="X947" s="808"/>
      <c r="Y947" s="809"/>
      <c r="Z947" s="609"/>
      <c r="AA947" s="604"/>
      <c r="AB947" s="604"/>
      <c r="AC947" s="604"/>
      <c r="AD947" s="604"/>
      <c r="AE947" s="604"/>
      <c r="AF947" s="604"/>
      <c r="AG947" s="604"/>
      <c r="AH947" s="604"/>
      <c r="AI947" s="604"/>
      <c r="AJ947" s="604"/>
      <c r="AK947" s="604"/>
      <c r="AL947" s="604"/>
      <c r="AM947" s="604"/>
      <c r="AN947" s="604"/>
    </row>
    <row r="948" spans="1:40" ht="15.75" customHeight="1">
      <c r="A948" s="669"/>
      <c r="B948" s="596"/>
      <c r="C948" s="624"/>
      <c r="D948" s="608"/>
      <c r="E948" s="518"/>
      <c r="F948" s="518"/>
      <c r="G948" s="518"/>
      <c r="H948" s="518"/>
      <c r="I948" s="518"/>
      <c r="J948" s="518"/>
      <c r="K948" s="518"/>
      <c r="L948" s="518"/>
      <c r="M948" s="518"/>
      <c r="N948" s="518"/>
      <c r="O948" s="518"/>
      <c r="P948" s="518"/>
      <c r="Q948" s="518"/>
      <c r="R948" s="518"/>
      <c r="S948" s="518"/>
      <c r="T948" s="604"/>
      <c r="U948" s="604"/>
      <c r="V948" s="604"/>
      <c r="W948" s="604"/>
      <c r="X948" s="808"/>
      <c r="Y948" s="809"/>
      <c r="Z948" s="609"/>
      <c r="AA948" s="604"/>
      <c r="AB948" s="604"/>
      <c r="AC948" s="604"/>
      <c r="AD948" s="604"/>
      <c r="AE948" s="604"/>
      <c r="AF948" s="604"/>
      <c r="AG948" s="604"/>
      <c r="AH948" s="604"/>
      <c r="AI948" s="604"/>
      <c r="AJ948" s="604"/>
      <c r="AK948" s="604"/>
      <c r="AL948" s="604"/>
      <c r="AM948" s="604"/>
      <c r="AN948" s="604"/>
    </row>
    <row r="949" spans="1:40" ht="15.75" customHeight="1">
      <c r="A949" s="669">
        <v>45299</v>
      </c>
      <c r="B949" s="596"/>
      <c r="C949" s="624" t="s">
        <v>207</v>
      </c>
      <c r="D949" s="608"/>
      <c r="E949" s="518"/>
      <c r="F949" s="518"/>
      <c r="G949" s="518"/>
      <c r="H949" s="518"/>
      <c r="I949" s="518"/>
      <c r="J949" s="518"/>
      <c r="K949" s="518"/>
      <c r="L949" s="518"/>
      <c r="M949" s="518">
        <v>36.869999999999997</v>
      </c>
      <c r="N949" s="518"/>
      <c r="O949" s="518"/>
      <c r="P949" s="518"/>
      <c r="Q949" s="518"/>
      <c r="R949" s="518"/>
      <c r="S949" s="518"/>
      <c r="T949" s="604"/>
      <c r="U949" s="604"/>
      <c r="V949" s="604"/>
      <c r="W949" s="604"/>
      <c r="X949" s="808">
        <f>M949</f>
        <v>36.869999999999997</v>
      </c>
      <c r="Y949" s="809" t="str">
        <f>$M$3</f>
        <v>6673-2</v>
      </c>
      <c r="Z949" s="609"/>
      <c r="AA949" s="604"/>
      <c r="AB949" s="604"/>
      <c r="AC949" s="604"/>
      <c r="AD949" s="604"/>
      <c r="AE949" s="604"/>
      <c r="AF949" s="604"/>
      <c r="AG949" s="604"/>
      <c r="AH949" s="604"/>
      <c r="AI949" s="604"/>
      <c r="AJ949" s="604"/>
      <c r="AK949" s="604"/>
      <c r="AL949" s="604"/>
      <c r="AM949" s="604"/>
      <c r="AN949" s="604"/>
    </row>
    <row r="950" spans="1:40" ht="15.75" customHeight="1">
      <c r="A950" s="669">
        <v>45308</v>
      </c>
      <c r="B950" s="596"/>
      <c r="C950" s="624" t="s">
        <v>509</v>
      </c>
      <c r="D950" s="608"/>
      <c r="E950" s="518"/>
      <c r="F950" s="518"/>
      <c r="G950" s="518"/>
      <c r="H950" s="518"/>
      <c r="I950" s="518"/>
      <c r="J950" s="518"/>
      <c r="K950" s="518"/>
      <c r="L950" s="518"/>
      <c r="M950" s="518">
        <v>9.34</v>
      </c>
      <c r="N950" s="518"/>
      <c r="O950" s="518"/>
      <c r="P950" s="518"/>
      <c r="Q950" s="518"/>
      <c r="R950" s="518"/>
      <c r="S950" s="518"/>
      <c r="T950" s="604"/>
      <c r="U950" s="604"/>
      <c r="V950" s="604"/>
      <c r="W950" s="604"/>
      <c r="X950" s="808">
        <f>M950</f>
        <v>9.34</v>
      </c>
      <c r="Y950" s="809" t="str">
        <f>$M$3</f>
        <v>6673-2</v>
      </c>
      <c r="Z950" s="609"/>
      <c r="AA950" s="604"/>
      <c r="AB950" s="604"/>
      <c r="AC950" s="604"/>
      <c r="AD950" s="604"/>
      <c r="AE950" s="604"/>
      <c r="AF950" s="604"/>
      <c r="AG950" s="604"/>
      <c r="AH950" s="604"/>
      <c r="AI950" s="604"/>
      <c r="AJ950" s="604"/>
      <c r="AK950" s="604"/>
      <c r="AL950" s="604"/>
      <c r="AM950" s="604"/>
      <c r="AN950" s="604"/>
    </row>
    <row r="951" spans="1:40" ht="15.75" customHeight="1">
      <c r="A951" s="669">
        <v>45309</v>
      </c>
      <c r="B951" s="596"/>
      <c r="C951" s="624" t="s">
        <v>510</v>
      </c>
      <c r="D951" s="608"/>
      <c r="E951" s="518"/>
      <c r="F951" s="518"/>
      <c r="G951" s="518"/>
      <c r="H951" s="518"/>
      <c r="I951" s="518"/>
      <c r="J951" s="518"/>
      <c r="K951" s="518"/>
      <c r="L951" s="518"/>
      <c r="M951" s="518">
        <v>14.01</v>
      </c>
      <c r="N951" s="518"/>
      <c r="O951" s="518"/>
      <c r="P951" s="518"/>
      <c r="Q951" s="518"/>
      <c r="R951" s="518"/>
      <c r="S951" s="518"/>
      <c r="T951" s="604"/>
      <c r="U951" s="604"/>
      <c r="V951" s="604"/>
      <c r="W951" s="604"/>
      <c r="X951" s="808">
        <f>M951</f>
        <v>14.01</v>
      </c>
      <c r="Y951" s="809" t="str">
        <f>$M$3</f>
        <v>6673-2</v>
      </c>
      <c r="Z951" s="609"/>
      <c r="AA951" s="604"/>
      <c r="AB951" s="604"/>
      <c r="AC951" s="604"/>
      <c r="AD951" s="604"/>
      <c r="AE951" s="604"/>
      <c r="AF951" s="604"/>
      <c r="AG951" s="604"/>
      <c r="AH951" s="604"/>
      <c r="AI951" s="604"/>
      <c r="AJ951" s="604"/>
      <c r="AK951" s="604"/>
      <c r="AL951" s="604"/>
      <c r="AM951" s="604"/>
      <c r="AN951" s="604"/>
    </row>
    <row r="952" spans="1:40" ht="15.75" customHeight="1">
      <c r="A952" s="669">
        <v>45310</v>
      </c>
      <c r="B952" s="596" t="s">
        <v>511</v>
      </c>
      <c r="C952" s="624" t="s">
        <v>228</v>
      </c>
      <c r="D952" s="608">
        <v>4500</v>
      </c>
      <c r="E952" s="518"/>
      <c r="F952" s="518"/>
      <c r="G952" s="518"/>
      <c r="H952" s="518"/>
      <c r="I952" s="518"/>
      <c r="J952" s="518"/>
      <c r="K952" s="518"/>
      <c r="L952" s="518"/>
      <c r="M952" s="518"/>
      <c r="N952" s="518"/>
      <c r="O952" s="518"/>
      <c r="P952" s="518"/>
      <c r="Q952" s="518"/>
      <c r="R952" s="518"/>
      <c r="S952" s="518"/>
      <c r="T952" s="604"/>
      <c r="U952" s="604"/>
      <c r="V952" s="604"/>
      <c r="W952" s="604"/>
      <c r="X952" s="1034">
        <f>D952</f>
        <v>4500</v>
      </c>
      <c r="Y952" s="809" t="s">
        <v>2300</v>
      </c>
      <c r="Z952" s="609"/>
      <c r="AA952" s="604"/>
      <c r="AB952" s="604"/>
      <c r="AC952" s="604"/>
      <c r="AD952" s="604"/>
      <c r="AE952" s="604"/>
      <c r="AF952" s="604"/>
      <c r="AG952" s="604"/>
      <c r="AH952" s="604"/>
      <c r="AI952" s="604"/>
      <c r="AJ952" s="604"/>
      <c r="AK952" s="604"/>
      <c r="AL952" s="604"/>
      <c r="AM952" s="604"/>
      <c r="AN952" s="604"/>
    </row>
    <row r="953" spans="1:40" ht="15.75" customHeight="1">
      <c r="A953" s="669">
        <v>45310</v>
      </c>
      <c r="B953" s="596" t="s">
        <v>512</v>
      </c>
      <c r="C953" s="624" t="s">
        <v>433</v>
      </c>
      <c r="D953" s="608">
        <v>3000</v>
      </c>
      <c r="E953" s="518"/>
      <c r="F953" s="518"/>
      <c r="G953" s="518"/>
      <c r="H953" s="518"/>
      <c r="I953" s="518"/>
      <c r="J953" s="518"/>
      <c r="K953" s="518"/>
      <c r="L953" s="518"/>
      <c r="M953" s="518"/>
      <c r="N953" s="518"/>
      <c r="O953" s="518"/>
      <c r="P953" s="518"/>
      <c r="Q953" s="518"/>
      <c r="R953" s="518"/>
      <c r="S953" s="518"/>
      <c r="T953" s="604"/>
      <c r="U953" s="604"/>
      <c r="V953" s="604"/>
      <c r="W953" s="604"/>
      <c r="X953" s="1034">
        <f>D953</f>
        <v>3000</v>
      </c>
      <c r="Y953" s="809" t="s">
        <v>2300</v>
      </c>
      <c r="Z953" s="609"/>
      <c r="AA953" s="604"/>
      <c r="AB953" s="604"/>
      <c r="AC953" s="604"/>
      <c r="AD953" s="604"/>
      <c r="AE953" s="604"/>
      <c r="AF953" s="604"/>
      <c r="AG953" s="604"/>
      <c r="AH953" s="604"/>
      <c r="AI953" s="604"/>
      <c r="AJ953" s="604"/>
      <c r="AK953" s="604"/>
      <c r="AL953" s="604"/>
      <c r="AM953" s="604"/>
      <c r="AN953" s="604"/>
    </row>
    <row r="954" spans="1:40" ht="15.75" customHeight="1">
      <c r="A954" s="669">
        <v>45310</v>
      </c>
      <c r="B954" s="596"/>
      <c r="C954" s="624" t="s">
        <v>513</v>
      </c>
      <c r="D954" s="608"/>
      <c r="E954" s="518"/>
      <c r="F954" s="518"/>
      <c r="G954" s="518"/>
      <c r="H954" s="518"/>
      <c r="I954" s="518"/>
      <c r="J954" s="518"/>
      <c r="K954" s="518"/>
      <c r="L954" s="518"/>
      <c r="M954" s="518"/>
      <c r="N954" s="518"/>
      <c r="O954" s="518">
        <v>687.25</v>
      </c>
      <c r="P954" s="518"/>
      <c r="Q954" s="518"/>
      <c r="R954" s="518"/>
      <c r="S954" s="518"/>
      <c r="T954" s="604"/>
      <c r="U954" s="604"/>
      <c r="V954" s="604"/>
      <c r="W954" s="604"/>
      <c r="X954" s="1033">
        <f>O954</f>
        <v>687.25</v>
      </c>
      <c r="Y954" s="809">
        <f>$O$3</f>
        <v>6530</v>
      </c>
      <c r="Z954" s="609"/>
      <c r="AA954" s="604"/>
      <c r="AB954" s="604"/>
      <c r="AC954" s="604"/>
      <c r="AD954" s="604"/>
      <c r="AE954" s="604"/>
      <c r="AF954" s="604"/>
      <c r="AG954" s="604"/>
      <c r="AH954" s="604"/>
      <c r="AI954" s="604"/>
      <c r="AJ954" s="604"/>
      <c r="AK954" s="604"/>
      <c r="AL954" s="604"/>
      <c r="AM954" s="604"/>
      <c r="AN954" s="604"/>
    </row>
    <row r="955" spans="1:40" ht="15.75" customHeight="1">
      <c r="A955" s="669">
        <v>45313</v>
      </c>
      <c r="B955" s="596" t="s">
        <v>514</v>
      </c>
      <c r="C955" s="624" t="s">
        <v>214</v>
      </c>
      <c r="D955" s="608">
        <v>1600</v>
      </c>
      <c r="E955" s="518"/>
      <c r="F955" s="518"/>
      <c r="G955" s="518"/>
      <c r="H955" s="518"/>
      <c r="I955" s="518"/>
      <c r="J955" s="518"/>
      <c r="K955" s="518"/>
      <c r="L955" s="518"/>
      <c r="M955" s="518"/>
      <c r="N955" s="518"/>
      <c r="O955" s="518"/>
      <c r="P955" s="518"/>
      <c r="Q955" s="518"/>
      <c r="R955" s="518"/>
      <c r="S955" s="518"/>
      <c r="T955" s="604"/>
      <c r="U955" s="604"/>
      <c r="V955" s="604"/>
      <c r="W955" s="604"/>
      <c r="X955" s="1034">
        <f>D955</f>
        <v>1600</v>
      </c>
      <c r="Y955" s="809" t="s">
        <v>2300</v>
      </c>
      <c r="Z955" s="609"/>
      <c r="AA955" s="604"/>
      <c r="AB955" s="604"/>
      <c r="AC955" s="604"/>
      <c r="AD955" s="604"/>
      <c r="AE955" s="604"/>
      <c r="AF955" s="604"/>
      <c r="AG955" s="604"/>
      <c r="AH955" s="604"/>
      <c r="AI955" s="604"/>
      <c r="AJ955" s="604"/>
      <c r="AK955" s="604"/>
      <c r="AL955" s="604"/>
      <c r="AM955" s="604"/>
      <c r="AN955" s="604"/>
    </row>
    <row r="956" spans="1:40" ht="15.75" customHeight="1">
      <c r="A956" s="669">
        <v>45313</v>
      </c>
      <c r="B956" s="596"/>
      <c r="C956" s="624" t="s">
        <v>515</v>
      </c>
      <c r="D956" s="608"/>
      <c r="E956" s="518"/>
      <c r="F956" s="518"/>
      <c r="G956" s="518"/>
      <c r="H956" s="518"/>
      <c r="I956" s="518"/>
      <c r="J956" s="518"/>
      <c r="K956" s="518"/>
      <c r="L956" s="518">
        <v>292.81</v>
      </c>
      <c r="M956" s="518"/>
      <c r="N956" s="518"/>
      <c r="O956" s="518"/>
      <c r="P956" s="518"/>
      <c r="Q956" s="518"/>
      <c r="R956" s="518"/>
      <c r="S956" s="518"/>
      <c r="T956" s="604"/>
      <c r="U956" s="604"/>
      <c r="V956" s="604"/>
      <c r="W956" s="604"/>
      <c r="X956" s="1033">
        <f>L956</f>
        <v>292.81</v>
      </c>
      <c r="Y956" s="809" t="str">
        <f>$L$3</f>
        <v>6673-1</v>
      </c>
      <c r="Z956" s="609"/>
      <c r="AA956" s="604"/>
      <c r="AB956" s="604"/>
      <c r="AC956" s="604"/>
      <c r="AD956" s="604"/>
      <c r="AE956" s="604"/>
      <c r="AF956" s="604"/>
      <c r="AG956" s="604"/>
      <c r="AH956" s="604"/>
      <c r="AI956" s="604"/>
      <c r="AJ956" s="604"/>
      <c r="AK956" s="604"/>
      <c r="AL956" s="604"/>
      <c r="AM956" s="604"/>
      <c r="AN956" s="604"/>
    </row>
    <row r="957" spans="1:40" ht="15.75" customHeight="1">
      <c r="A957" s="669">
        <v>45317</v>
      </c>
      <c r="B957" s="596"/>
      <c r="C957" s="624" t="s">
        <v>207</v>
      </c>
      <c r="D957" s="608"/>
      <c r="E957" s="518"/>
      <c r="F957" s="518"/>
      <c r="G957" s="518"/>
      <c r="H957" s="518"/>
      <c r="I957" s="518"/>
      <c r="J957" s="518"/>
      <c r="K957" s="518"/>
      <c r="L957" s="518"/>
      <c r="M957" s="518">
        <v>37.21</v>
      </c>
      <c r="N957" s="518"/>
      <c r="O957" s="518"/>
      <c r="P957" s="518"/>
      <c r="Q957" s="518"/>
      <c r="R957" s="518"/>
      <c r="S957" s="518"/>
      <c r="T957" s="604"/>
      <c r="U957" s="604"/>
      <c r="V957" s="604"/>
      <c r="W957" s="604"/>
      <c r="X957" s="808">
        <f>M957</f>
        <v>37.21</v>
      </c>
      <c r="Y957" s="809" t="str">
        <f>$M$3</f>
        <v>6673-2</v>
      </c>
      <c r="Z957" s="609"/>
      <c r="AA957" s="604"/>
      <c r="AB957" s="604"/>
      <c r="AC957" s="604"/>
      <c r="AD957" s="604"/>
      <c r="AE957" s="604"/>
      <c r="AF957" s="604"/>
      <c r="AG957" s="604"/>
      <c r="AH957" s="604"/>
      <c r="AI957" s="604"/>
      <c r="AJ957" s="604"/>
      <c r="AK957" s="604"/>
      <c r="AL957" s="604"/>
      <c r="AM957" s="604"/>
      <c r="AN957" s="604"/>
    </row>
    <row r="958" spans="1:40" ht="15.75" customHeight="1">
      <c r="A958" s="669">
        <v>45321</v>
      </c>
      <c r="B958" s="596" t="s">
        <v>516</v>
      </c>
      <c r="C958" s="624" t="s">
        <v>91</v>
      </c>
      <c r="D958" s="608"/>
      <c r="E958" s="518">
        <v>1260</v>
      </c>
      <c r="F958" s="518"/>
      <c r="G958" s="518"/>
      <c r="H958" s="518"/>
      <c r="I958" s="518"/>
      <c r="J958" s="518"/>
      <c r="K958" s="518"/>
      <c r="L958" s="518"/>
      <c r="M958" s="518"/>
      <c r="N958" s="518"/>
      <c r="O958" s="518"/>
      <c r="P958" s="518"/>
      <c r="Q958" s="518"/>
      <c r="R958" s="518"/>
      <c r="S958" s="518"/>
      <c r="T958" s="604"/>
      <c r="U958" s="604"/>
      <c r="V958" s="604"/>
      <c r="W958" s="604"/>
      <c r="X958" s="808">
        <f>E958</f>
        <v>1260</v>
      </c>
      <c r="Y958" s="809" t="s">
        <v>2304</v>
      </c>
      <c r="Z958" s="609"/>
      <c r="AA958" s="604"/>
      <c r="AB958" s="604"/>
      <c r="AC958" s="604"/>
      <c r="AD958" s="604"/>
      <c r="AE958" s="604"/>
      <c r="AF958" s="604"/>
      <c r="AG958" s="604"/>
      <c r="AH958" s="604"/>
      <c r="AI958" s="604"/>
      <c r="AJ958" s="604"/>
      <c r="AK958" s="604"/>
      <c r="AL958" s="604"/>
      <c r="AM958" s="604"/>
      <c r="AN958" s="604"/>
    </row>
    <row r="959" spans="1:40" ht="15.75" customHeight="1" thickBot="1">
      <c r="A959" s="669"/>
      <c r="B959" s="596"/>
      <c r="C959" s="624"/>
      <c r="D959" s="608"/>
      <c r="E959" s="518"/>
      <c r="F959" s="518"/>
      <c r="G959" s="518"/>
      <c r="H959" s="518"/>
      <c r="I959" s="518"/>
      <c r="J959" s="518"/>
      <c r="K959" s="518"/>
      <c r="L959" s="518"/>
      <c r="M959" s="518"/>
      <c r="N959" s="518"/>
      <c r="O959" s="518"/>
      <c r="P959" s="518"/>
      <c r="Q959" s="518"/>
      <c r="R959" s="518"/>
      <c r="S959" s="518"/>
      <c r="T959" s="604"/>
      <c r="U959" s="604"/>
      <c r="V959" s="604"/>
      <c r="W959" s="604"/>
      <c r="X959" s="808"/>
      <c r="Y959" s="809"/>
      <c r="Z959" s="609"/>
      <c r="AA959" s="604"/>
      <c r="AB959" s="604"/>
      <c r="AC959" s="604"/>
      <c r="AD959" s="604"/>
      <c r="AE959" s="604"/>
      <c r="AF959" s="604"/>
      <c r="AG959" s="604"/>
      <c r="AH959" s="604"/>
      <c r="AI959" s="604"/>
      <c r="AJ959" s="604"/>
      <c r="AK959" s="604"/>
      <c r="AL959" s="604"/>
      <c r="AM959" s="604"/>
      <c r="AN959" s="604"/>
    </row>
    <row r="960" spans="1:40" ht="15.75" customHeight="1" thickTop="1">
      <c r="A960" s="598"/>
      <c r="B960" s="655">
        <v>45323</v>
      </c>
      <c r="C960" s="627"/>
      <c r="D960" s="601"/>
      <c r="E960" s="602"/>
      <c r="F960" s="602"/>
      <c r="G960" s="602"/>
      <c r="H960" s="602"/>
      <c r="I960" s="602"/>
      <c r="J960" s="602"/>
      <c r="K960" s="602"/>
      <c r="L960" s="602"/>
      <c r="M960" s="602"/>
      <c r="N960" s="602"/>
      <c r="O960" s="602"/>
      <c r="P960" s="602"/>
      <c r="Q960" s="602"/>
      <c r="R960" s="602"/>
      <c r="S960" s="602"/>
      <c r="T960" s="602"/>
      <c r="U960" s="602"/>
      <c r="V960" s="602"/>
      <c r="W960" s="602"/>
      <c r="X960" s="808"/>
      <c r="Y960" s="809"/>
      <c r="Z960" s="602"/>
      <c r="AA960" s="604"/>
      <c r="AB960" s="604"/>
      <c r="AC960" s="604"/>
      <c r="AD960" s="604"/>
      <c r="AE960" s="604"/>
      <c r="AF960" s="604"/>
      <c r="AG960" s="604"/>
      <c r="AH960" s="604"/>
      <c r="AI960" s="604"/>
      <c r="AJ960" s="604"/>
      <c r="AK960" s="604"/>
      <c r="AL960" s="604"/>
      <c r="AM960" s="604"/>
      <c r="AN960" s="604"/>
    </row>
    <row r="961" spans="1:40" ht="15.75" customHeight="1">
      <c r="A961" s="671"/>
      <c r="B961" s="630"/>
      <c r="C961" s="607"/>
      <c r="D961" s="608"/>
      <c r="E961" s="518"/>
      <c r="F961" s="518"/>
      <c r="G961" s="518"/>
      <c r="H961" s="518"/>
      <c r="I961" s="518"/>
      <c r="J961" s="518"/>
      <c r="K961" s="518"/>
      <c r="L961" s="518"/>
      <c r="M961" s="518"/>
      <c r="N961" s="518"/>
      <c r="O961" s="518"/>
      <c r="P961" s="518"/>
      <c r="Q961" s="518"/>
      <c r="R961" s="518"/>
      <c r="S961" s="518"/>
      <c r="T961" s="518"/>
      <c r="U961" s="518"/>
      <c r="V961" s="518"/>
      <c r="W961" s="518"/>
      <c r="X961" s="808"/>
      <c r="Y961" s="809"/>
      <c r="Z961" s="609"/>
      <c r="AA961" s="604"/>
      <c r="AB961" s="604"/>
      <c r="AC961" s="604"/>
      <c r="AD961" s="604"/>
      <c r="AE961" s="604"/>
      <c r="AF961" s="604"/>
      <c r="AG961" s="604"/>
      <c r="AH961" s="604"/>
      <c r="AI961" s="604"/>
      <c r="AJ961" s="604"/>
      <c r="AK961" s="604"/>
      <c r="AL961" s="604"/>
      <c r="AM961" s="604"/>
      <c r="AN961" s="604"/>
    </row>
    <row r="962" spans="1:40" ht="15.75" customHeight="1">
      <c r="A962" s="669">
        <v>45323</v>
      </c>
      <c r="B962" s="663"/>
      <c r="C962" s="611" t="s">
        <v>62</v>
      </c>
      <c r="D962" s="608"/>
      <c r="E962" s="518"/>
      <c r="F962" s="518"/>
      <c r="G962" s="518"/>
      <c r="H962" s="518"/>
      <c r="I962" s="518"/>
      <c r="J962" s="518"/>
      <c r="K962" s="518"/>
      <c r="L962" s="518"/>
      <c r="M962" s="518"/>
      <c r="N962" s="518"/>
      <c r="O962" s="518"/>
      <c r="P962" s="518"/>
      <c r="Q962" s="518"/>
      <c r="R962" s="518"/>
      <c r="S962" s="518"/>
      <c r="T962" s="518"/>
      <c r="U962" s="518"/>
      <c r="V962" s="518">
        <v>1036.55</v>
      </c>
      <c r="W962" s="518"/>
      <c r="X962" s="808"/>
      <c r="Y962" s="809"/>
      <c r="Z962" s="609"/>
      <c r="AA962" s="604"/>
      <c r="AB962" s="604"/>
      <c r="AC962" s="604"/>
      <c r="AD962" s="604"/>
      <c r="AE962" s="604"/>
      <c r="AF962" s="604"/>
      <c r="AG962" s="604"/>
      <c r="AH962" s="604"/>
      <c r="AI962" s="604"/>
      <c r="AJ962" s="604"/>
      <c r="AK962" s="604"/>
      <c r="AL962" s="604"/>
      <c r="AM962" s="604"/>
      <c r="AN962" s="604"/>
    </row>
    <row r="963" spans="1:40" ht="15.75" customHeight="1">
      <c r="A963" s="669">
        <v>45323</v>
      </c>
      <c r="B963" s="612"/>
      <c r="C963" s="611" t="s">
        <v>63</v>
      </c>
      <c r="D963" s="608"/>
      <c r="E963" s="518"/>
      <c r="F963" s="518"/>
      <c r="G963" s="518"/>
      <c r="H963" s="518"/>
      <c r="I963" s="518"/>
      <c r="J963" s="518"/>
      <c r="K963" s="518"/>
      <c r="L963" s="518"/>
      <c r="M963" s="518"/>
      <c r="N963" s="518"/>
      <c r="O963" s="518"/>
      <c r="P963" s="518"/>
      <c r="Q963" s="518"/>
      <c r="R963" s="518"/>
      <c r="S963" s="518"/>
      <c r="T963" s="518">
        <v>292.54000000000002</v>
      </c>
      <c r="U963" s="518"/>
      <c r="V963" s="518"/>
      <c r="W963" s="518"/>
      <c r="X963" s="808">
        <f>T963</f>
        <v>292.54000000000002</v>
      </c>
      <c r="Y963" s="809">
        <f>$T$3</f>
        <v>2300</v>
      </c>
      <c r="Z963" s="609"/>
      <c r="AA963" s="604"/>
      <c r="AB963" s="604"/>
      <c r="AC963" s="604"/>
      <c r="AD963" s="604"/>
      <c r="AE963" s="604"/>
      <c r="AF963" s="604"/>
      <c r="AG963" s="604"/>
      <c r="AH963" s="604"/>
      <c r="AI963" s="604"/>
      <c r="AJ963" s="604"/>
      <c r="AK963" s="604"/>
      <c r="AL963" s="604"/>
      <c r="AM963" s="604"/>
      <c r="AN963" s="604"/>
    </row>
    <row r="964" spans="1:40" ht="15.75" customHeight="1">
      <c r="A964" s="669">
        <v>45323</v>
      </c>
      <c r="B964" s="615"/>
      <c r="C964" s="614" t="s">
        <v>421</v>
      </c>
      <c r="D964" s="608"/>
      <c r="E964" s="518"/>
      <c r="F964" s="518"/>
      <c r="G964" s="518"/>
      <c r="H964" s="518"/>
      <c r="I964" s="518"/>
      <c r="J964" s="518"/>
      <c r="K964" s="518"/>
      <c r="L964" s="518"/>
      <c r="M964" s="518">
        <v>49</v>
      </c>
      <c r="N964" s="518"/>
      <c r="O964" s="518"/>
      <c r="P964" s="518"/>
      <c r="Q964" s="518"/>
      <c r="R964" s="518"/>
      <c r="S964" s="518"/>
      <c r="T964" s="518"/>
      <c r="U964" s="518"/>
      <c r="V964" s="518"/>
      <c r="W964" s="518"/>
      <c r="X964" s="808">
        <f>M964</f>
        <v>49</v>
      </c>
      <c r="Y964" s="809" t="str">
        <f>$M$3</f>
        <v>6673-2</v>
      </c>
      <c r="Z964" s="609"/>
      <c r="AA964" s="604"/>
      <c r="AB964" s="604"/>
      <c r="AC964" s="604"/>
      <c r="AD964" s="604"/>
      <c r="AE964" s="604"/>
      <c r="AF964" s="604"/>
      <c r="AG964" s="604"/>
      <c r="AH964" s="604"/>
      <c r="AI964" s="604"/>
      <c r="AJ964" s="604"/>
      <c r="AK964" s="604"/>
      <c r="AL964" s="604"/>
      <c r="AM964" s="604"/>
      <c r="AN964" s="604"/>
    </row>
    <row r="965" spans="1:40" ht="15.75" customHeight="1">
      <c r="A965" s="669">
        <v>45324</v>
      </c>
      <c r="B965" s="672">
        <f>'Conversion rates'!B29</f>
        <v>1.170045</v>
      </c>
      <c r="C965" s="611" t="s">
        <v>276</v>
      </c>
      <c r="D965" s="608"/>
      <c r="E965" s="518"/>
      <c r="F965" s="518"/>
      <c r="G965" s="518"/>
      <c r="H965" s="518"/>
      <c r="I965" s="518"/>
      <c r="J965" s="518"/>
      <c r="K965" s="518"/>
      <c r="L965" s="518"/>
      <c r="M965" s="518"/>
      <c r="N965" s="518"/>
      <c r="O965" s="518"/>
      <c r="P965" s="518"/>
      <c r="Q965" s="518"/>
      <c r="R965" s="518"/>
      <c r="S965" s="518"/>
      <c r="T965" s="518">
        <v>80</v>
      </c>
      <c r="U965" s="518"/>
      <c r="V965" s="518"/>
      <c r="W965" s="518"/>
      <c r="X965" s="808">
        <f>T965</f>
        <v>80</v>
      </c>
      <c r="Y965" s="809">
        <f>$T$3</f>
        <v>2300</v>
      </c>
      <c r="Z965" s="609"/>
      <c r="AA965" s="604"/>
      <c r="AB965" s="604"/>
      <c r="AC965" s="604"/>
      <c r="AD965" s="604"/>
      <c r="AE965" s="604"/>
      <c r="AF965" s="604"/>
      <c r="AG965" s="604"/>
      <c r="AH965" s="604"/>
      <c r="AI965" s="604"/>
      <c r="AJ965" s="604"/>
      <c r="AK965" s="604"/>
      <c r="AL965" s="604"/>
      <c r="AM965" s="604"/>
      <c r="AN965" s="604"/>
    </row>
    <row r="966" spans="1:40" ht="15.75" customHeight="1">
      <c r="A966" s="669">
        <v>45327</v>
      </c>
      <c r="B966" s="612" t="s">
        <v>310</v>
      </c>
      <c r="C966" s="614" t="s">
        <v>351</v>
      </c>
      <c r="D966" s="608"/>
      <c r="E966" s="518"/>
      <c r="F966" s="518"/>
      <c r="G966" s="518"/>
      <c r="H966" s="518"/>
      <c r="I966" s="518"/>
      <c r="J966" s="518"/>
      <c r="K966" s="518"/>
      <c r="L966" s="518"/>
      <c r="M966" s="616"/>
      <c r="N966" s="518">
        <f>800*B965</f>
        <v>936.03600000000006</v>
      </c>
      <c r="O966" s="518"/>
      <c r="P966" s="518"/>
      <c r="Q966" s="518"/>
      <c r="R966" s="518"/>
      <c r="S966" s="518"/>
      <c r="T966" s="518"/>
      <c r="U966" s="518"/>
      <c r="V966" s="518"/>
      <c r="W966" s="518"/>
      <c r="X966" s="808">
        <f>N966</f>
        <v>936.03600000000006</v>
      </c>
      <c r="Y966" s="809">
        <f>$N$3</f>
        <v>6680</v>
      </c>
      <c r="Z966" s="609"/>
      <c r="AA966" s="604"/>
      <c r="AB966" s="604"/>
      <c r="AC966" s="604"/>
      <c r="AD966" s="604"/>
      <c r="AE966" s="604"/>
      <c r="AF966" s="604"/>
      <c r="AG966" s="604"/>
      <c r="AH966" s="604"/>
      <c r="AI966" s="604"/>
      <c r="AJ966" s="604"/>
      <c r="AK966" s="604"/>
      <c r="AL966" s="604"/>
      <c r="AM966" s="604"/>
      <c r="AN966" s="604"/>
    </row>
    <row r="967" spans="1:40" ht="15.75" customHeight="1">
      <c r="A967" s="669">
        <v>45337</v>
      </c>
      <c r="B967" s="612"/>
      <c r="C967" s="611" t="s">
        <v>517</v>
      </c>
      <c r="D967" s="608"/>
      <c r="E967" s="518"/>
      <c r="F967" s="518"/>
      <c r="G967" s="518"/>
      <c r="H967" s="518"/>
      <c r="I967" s="518"/>
      <c r="J967" s="518"/>
      <c r="K967" s="518"/>
      <c r="L967" s="518"/>
      <c r="M967" s="518"/>
      <c r="N967" s="518"/>
      <c r="O967" s="518"/>
      <c r="P967" s="518"/>
      <c r="Q967" s="518"/>
      <c r="R967" s="518"/>
      <c r="S967" s="518"/>
      <c r="T967" s="518">
        <v>18.36</v>
      </c>
      <c r="U967" s="518"/>
      <c r="V967" s="518"/>
      <c r="W967" s="518"/>
      <c r="X967" s="808">
        <f>T967</f>
        <v>18.36</v>
      </c>
      <c r="Y967" s="809">
        <f>$T$3</f>
        <v>2300</v>
      </c>
      <c r="Z967" s="609"/>
      <c r="AA967" s="604"/>
      <c r="AB967" s="604"/>
      <c r="AC967" s="604"/>
      <c r="AD967" s="604"/>
      <c r="AE967" s="604"/>
      <c r="AF967" s="604"/>
      <c r="AG967" s="604"/>
      <c r="AH967" s="604"/>
      <c r="AI967" s="604"/>
      <c r="AJ967" s="604"/>
      <c r="AK967" s="604"/>
      <c r="AL967" s="604"/>
      <c r="AM967" s="604"/>
      <c r="AN967" s="604"/>
    </row>
    <row r="968" spans="1:40" ht="15.75" customHeight="1">
      <c r="A968" s="669">
        <v>45337</v>
      </c>
      <c r="B968" s="615"/>
      <c r="C968" s="611" t="s">
        <v>341</v>
      </c>
      <c r="D968" s="608"/>
      <c r="E968" s="518"/>
      <c r="F968" s="518"/>
      <c r="G968" s="518"/>
      <c r="H968" s="518">
        <v>850.25</v>
      </c>
      <c r="I968" s="518"/>
      <c r="J968" s="518"/>
      <c r="K968" s="518"/>
      <c r="L968" s="518"/>
      <c r="M968" s="518"/>
      <c r="N968" s="518"/>
      <c r="O968" s="518"/>
      <c r="P968" s="518"/>
      <c r="Q968" s="518"/>
      <c r="R968" s="518"/>
      <c r="S968" s="518"/>
      <c r="T968" s="518"/>
      <c r="U968" s="518"/>
      <c r="V968" s="518"/>
      <c r="W968" s="518"/>
      <c r="X968" s="1033">
        <f>H968</f>
        <v>850.25</v>
      </c>
      <c r="Y968" s="809">
        <f>$H$3</f>
        <v>2200</v>
      </c>
      <c r="Z968" s="609"/>
      <c r="AA968" s="604"/>
      <c r="AB968" s="604"/>
      <c r="AC968" s="604"/>
      <c r="AD968" s="604"/>
      <c r="AE968" s="604"/>
      <c r="AF968" s="604"/>
      <c r="AG968" s="604"/>
      <c r="AH968" s="604"/>
      <c r="AI968" s="604"/>
      <c r="AJ968" s="604"/>
      <c r="AK968" s="604"/>
      <c r="AL968" s="604"/>
      <c r="AM968" s="604"/>
      <c r="AN968" s="604"/>
    </row>
    <row r="969" spans="1:40" ht="15.75" customHeight="1">
      <c r="A969" s="669">
        <v>45339</v>
      </c>
      <c r="B969" s="612"/>
      <c r="C969" s="611" t="s">
        <v>320</v>
      </c>
      <c r="D969" s="608"/>
      <c r="E969" s="518"/>
      <c r="F969" s="518"/>
      <c r="G969" s="518"/>
      <c r="H969" s="518"/>
      <c r="I969" s="518"/>
      <c r="J969" s="518"/>
      <c r="K969" s="518">
        <v>38.01</v>
      </c>
      <c r="L969" s="518"/>
      <c r="M969" s="518"/>
      <c r="N969" s="518"/>
      <c r="O969" s="518"/>
      <c r="P969" s="518"/>
      <c r="Q969" s="518"/>
      <c r="R969" s="518"/>
      <c r="S969" s="518"/>
      <c r="T969" s="518"/>
      <c r="U969" s="518"/>
      <c r="V969" s="518"/>
      <c r="W969" s="518"/>
      <c r="X969" s="1033">
        <f>K969</f>
        <v>38.01</v>
      </c>
      <c r="Y969" s="809" t="str">
        <f>$K$3</f>
        <v>6495-1</v>
      </c>
      <c r="Z969" s="609"/>
      <c r="AA969" s="604"/>
      <c r="AB969" s="604"/>
      <c r="AC969" s="604"/>
      <c r="AD969" s="604"/>
      <c r="AE969" s="604"/>
      <c r="AF969" s="604"/>
      <c r="AG969" s="604"/>
      <c r="AH969" s="604"/>
      <c r="AI969" s="604"/>
      <c r="AJ969" s="604"/>
      <c r="AK969" s="604"/>
      <c r="AL969" s="604"/>
      <c r="AM969" s="604"/>
      <c r="AN969" s="604"/>
    </row>
    <row r="970" spans="1:40" ht="15.75" customHeight="1">
      <c r="A970" s="669">
        <v>45341</v>
      </c>
      <c r="B970" s="613"/>
      <c r="C970" s="611" t="s">
        <v>518</v>
      </c>
      <c r="D970" s="608"/>
      <c r="E970" s="518"/>
      <c r="F970" s="518"/>
      <c r="G970" s="518"/>
      <c r="H970" s="518"/>
      <c r="I970" s="518"/>
      <c r="J970" s="518"/>
      <c r="K970" s="518">
        <v>34.99</v>
      </c>
      <c r="L970" s="518"/>
      <c r="M970" s="518"/>
      <c r="N970" s="518"/>
      <c r="O970" s="518"/>
      <c r="P970" s="518"/>
      <c r="Q970" s="518"/>
      <c r="R970" s="518"/>
      <c r="S970" s="518"/>
      <c r="T970" s="518"/>
      <c r="U970" s="518"/>
      <c r="V970" s="518"/>
      <c r="W970" s="518"/>
      <c r="X970" s="1033">
        <f>K970</f>
        <v>34.99</v>
      </c>
      <c r="Y970" s="809" t="str">
        <f>$K$3</f>
        <v>6495-1</v>
      </c>
      <c r="Z970" s="609"/>
      <c r="AA970" s="604"/>
      <c r="AB970" s="604"/>
      <c r="AC970" s="604"/>
      <c r="AD970" s="604"/>
      <c r="AE970" s="604"/>
      <c r="AF970" s="604"/>
      <c r="AG970" s="604"/>
      <c r="AH970" s="604"/>
      <c r="AI970" s="604"/>
      <c r="AJ970" s="604"/>
      <c r="AK970" s="604"/>
      <c r="AL970" s="604"/>
      <c r="AM970" s="604"/>
      <c r="AN970" s="604"/>
    </row>
    <row r="971" spans="1:40" ht="18" customHeight="1">
      <c r="A971" s="669">
        <v>45342</v>
      </c>
      <c r="B971" s="613"/>
      <c r="C971" s="611" t="s">
        <v>78</v>
      </c>
      <c r="D971" s="608"/>
      <c r="E971" s="518"/>
      <c r="F971" s="518"/>
      <c r="G971" s="518"/>
      <c r="H971" s="518"/>
      <c r="I971" s="518"/>
      <c r="J971" s="518">
        <v>19.98</v>
      </c>
      <c r="K971" s="518"/>
      <c r="L971" s="518"/>
      <c r="M971" s="518"/>
      <c r="N971" s="518"/>
      <c r="O971" s="518"/>
      <c r="P971" s="518"/>
      <c r="Q971" s="518"/>
      <c r="R971" s="518"/>
      <c r="S971" s="518"/>
      <c r="T971" s="518"/>
      <c r="U971" s="518"/>
      <c r="V971" s="518"/>
      <c r="W971" s="518"/>
      <c r="X971" s="1033">
        <f>J971</f>
        <v>19.98</v>
      </c>
      <c r="Y971" s="809">
        <f>$J$3</f>
        <v>6805</v>
      </c>
      <c r="Z971" s="609"/>
      <c r="AA971" s="604"/>
      <c r="AB971" s="604"/>
      <c r="AC971" s="604"/>
      <c r="AD971" s="604"/>
      <c r="AE971" s="604"/>
      <c r="AF971" s="604"/>
      <c r="AG971" s="604"/>
      <c r="AH971" s="604"/>
      <c r="AI971" s="604"/>
      <c r="AJ971" s="604"/>
      <c r="AK971" s="604"/>
      <c r="AL971" s="604"/>
      <c r="AM971" s="604"/>
      <c r="AN971" s="604"/>
    </row>
    <row r="972" spans="1:40" ht="15.75" customHeight="1">
      <c r="A972" s="669">
        <v>45343</v>
      </c>
      <c r="B972" s="615"/>
      <c r="C972" s="614" t="s">
        <v>508</v>
      </c>
      <c r="D972" s="608"/>
      <c r="E972" s="518"/>
      <c r="F972" s="518"/>
      <c r="G972" s="518"/>
      <c r="H972" s="518"/>
      <c r="I972" s="518"/>
      <c r="J972" s="518"/>
      <c r="K972" s="518"/>
      <c r="L972" s="518"/>
      <c r="M972" s="518"/>
      <c r="N972" s="518"/>
      <c r="O972" s="518"/>
      <c r="P972" s="518"/>
      <c r="Q972" s="518">
        <v>5.39</v>
      </c>
      <c r="R972" s="518"/>
      <c r="S972" s="518"/>
      <c r="T972" s="518"/>
      <c r="U972" s="518"/>
      <c r="V972" s="518"/>
      <c r="W972" s="518"/>
      <c r="X972" s="808">
        <f>Q972</f>
        <v>5.39</v>
      </c>
      <c r="Y972" s="809" t="str">
        <f>$Q$3</f>
        <v>6495-2</v>
      </c>
      <c r="Z972" s="609"/>
      <c r="AA972" s="604"/>
      <c r="AB972" s="604"/>
      <c r="AC972" s="604"/>
      <c r="AD972" s="604"/>
      <c r="AE972" s="604"/>
      <c r="AF972" s="604"/>
      <c r="AG972" s="604"/>
      <c r="AH972" s="604"/>
      <c r="AI972" s="604"/>
      <c r="AJ972" s="604"/>
      <c r="AK972" s="604"/>
      <c r="AL972" s="604"/>
      <c r="AM972" s="604"/>
      <c r="AN972" s="604"/>
    </row>
    <row r="973" spans="1:40" ht="15.75" customHeight="1">
      <c r="A973" s="669">
        <v>45344</v>
      </c>
      <c r="B973" s="612"/>
      <c r="C973" s="611" t="s">
        <v>194</v>
      </c>
      <c r="D973" s="608"/>
      <c r="E973" s="518"/>
      <c r="F973" s="518"/>
      <c r="G973" s="518"/>
      <c r="H973" s="518"/>
      <c r="I973" s="518"/>
      <c r="J973" s="518"/>
      <c r="K973" s="518"/>
      <c r="L973" s="518"/>
      <c r="M973" s="518"/>
      <c r="N973" s="518"/>
      <c r="O973" s="518"/>
      <c r="P973" s="518"/>
      <c r="Q973" s="518"/>
      <c r="R973" s="518"/>
      <c r="S973" s="518">
        <v>11.5</v>
      </c>
      <c r="T973" s="518"/>
      <c r="U973" s="518"/>
      <c r="V973" s="518"/>
      <c r="W973" s="518"/>
      <c r="X973" s="808">
        <f>S973</f>
        <v>11.5</v>
      </c>
      <c r="Y973" s="809">
        <f>$S$3</f>
        <v>6855</v>
      </c>
      <c r="Z973" s="609"/>
      <c r="AA973" s="604"/>
      <c r="AB973" s="604"/>
      <c r="AC973" s="604"/>
      <c r="AD973" s="604"/>
      <c r="AE973" s="604"/>
      <c r="AF973" s="604"/>
      <c r="AG973" s="604"/>
      <c r="AH973" s="604"/>
      <c r="AI973" s="604"/>
      <c r="AJ973" s="604"/>
      <c r="AK973" s="604"/>
      <c r="AL973" s="604"/>
      <c r="AM973" s="604"/>
      <c r="AN973" s="604"/>
    </row>
    <row r="974" spans="1:40" ht="15.75" customHeight="1">
      <c r="A974" s="669">
        <v>45345</v>
      </c>
      <c r="B974" s="615"/>
      <c r="C974" s="611" t="s">
        <v>364</v>
      </c>
      <c r="D974" s="608"/>
      <c r="E974" s="518"/>
      <c r="F974" s="518"/>
      <c r="G974" s="518"/>
      <c r="H974" s="518"/>
      <c r="I974" s="518"/>
      <c r="J974" s="518"/>
      <c r="K974" s="518">
        <v>11.7</v>
      </c>
      <c r="L974" s="518"/>
      <c r="M974" s="518"/>
      <c r="N974" s="518"/>
      <c r="O974" s="518"/>
      <c r="P974" s="518"/>
      <c r="Q974" s="518"/>
      <c r="R974" s="518"/>
      <c r="S974" s="518"/>
      <c r="T974" s="518"/>
      <c r="U974" s="518"/>
      <c r="V974" s="518"/>
      <c r="W974" s="518"/>
      <c r="X974" s="1033">
        <f>K974</f>
        <v>11.7</v>
      </c>
      <c r="Y974" s="809" t="str">
        <f>$K$3</f>
        <v>6495-1</v>
      </c>
      <c r="Z974" s="609"/>
      <c r="AA974" s="604"/>
      <c r="AB974" s="604"/>
      <c r="AC974" s="604"/>
      <c r="AD974" s="604"/>
      <c r="AE974" s="604"/>
      <c r="AF974" s="604"/>
      <c r="AG974" s="604"/>
      <c r="AH974" s="604"/>
      <c r="AI974" s="604"/>
      <c r="AJ974" s="604"/>
      <c r="AK974" s="604"/>
      <c r="AL974" s="604"/>
      <c r="AM974" s="604"/>
      <c r="AN974" s="604"/>
    </row>
    <row r="975" spans="1:40" ht="15.75" customHeight="1">
      <c r="A975" s="669">
        <v>45348</v>
      </c>
      <c r="B975" s="615"/>
      <c r="C975" s="611" t="s">
        <v>344</v>
      </c>
      <c r="D975" s="608"/>
      <c r="E975" s="518"/>
      <c r="F975" s="518"/>
      <c r="G975" s="518"/>
      <c r="H975" s="518"/>
      <c r="I975" s="518"/>
      <c r="J975" s="518"/>
      <c r="K975" s="518"/>
      <c r="L975" s="518"/>
      <c r="M975" s="518"/>
      <c r="N975" s="518"/>
      <c r="O975" s="518"/>
      <c r="P975" s="518"/>
      <c r="Q975" s="518"/>
      <c r="R975" s="518"/>
      <c r="S975" s="518">
        <v>16.82</v>
      </c>
      <c r="T975" s="518"/>
      <c r="U975" s="518"/>
      <c r="V975" s="518"/>
      <c r="W975" s="518"/>
      <c r="X975" s="808">
        <f>S975</f>
        <v>16.82</v>
      </c>
      <c r="Y975" s="809">
        <f>$S$3</f>
        <v>6855</v>
      </c>
      <c r="Z975" s="609"/>
      <c r="AA975" s="604"/>
      <c r="AB975" s="604"/>
      <c r="AC975" s="604"/>
      <c r="AD975" s="604"/>
      <c r="AE975" s="604"/>
      <c r="AF975" s="604"/>
      <c r="AG975" s="604"/>
      <c r="AH975" s="604"/>
      <c r="AI975" s="604"/>
      <c r="AJ975" s="604"/>
      <c r="AK975" s="604"/>
      <c r="AL975" s="604"/>
      <c r="AM975" s="604"/>
      <c r="AN975" s="604"/>
    </row>
    <row r="976" spans="1:40" ht="15.75" customHeight="1">
      <c r="A976" s="669">
        <v>45351</v>
      </c>
      <c r="B976" s="615"/>
      <c r="C976" s="614" t="s">
        <v>260</v>
      </c>
      <c r="D976" s="608"/>
      <c r="E976" s="518">
        <v>605.5</v>
      </c>
      <c r="F976" s="518"/>
      <c r="G976" s="518"/>
      <c r="H976" s="518"/>
      <c r="I976" s="518"/>
      <c r="J976" s="518"/>
      <c r="K976" s="518"/>
      <c r="L976" s="518"/>
      <c r="M976" s="518"/>
      <c r="N976" s="518"/>
      <c r="O976" s="518"/>
      <c r="P976" s="518"/>
      <c r="Q976" s="518"/>
      <c r="R976" s="518"/>
      <c r="S976" s="518"/>
      <c r="T976" s="518"/>
      <c r="U976" s="518"/>
      <c r="V976" s="518"/>
      <c r="W976" s="518"/>
      <c r="X976" s="808">
        <f>E976</f>
        <v>605.5</v>
      </c>
      <c r="Y976" s="809" t="s">
        <v>2304</v>
      </c>
      <c r="Z976" s="609"/>
      <c r="AA976" s="604"/>
      <c r="AB976" s="604"/>
      <c r="AC976" s="604"/>
      <c r="AD976" s="604"/>
      <c r="AE976" s="604"/>
      <c r="AF976" s="604"/>
      <c r="AG976" s="604"/>
      <c r="AH976" s="604"/>
      <c r="AI976" s="604"/>
      <c r="AJ976" s="604"/>
      <c r="AK976" s="604"/>
      <c r="AL976" s="604"/>
      <c r="AM976" s="604"/>
      <c r="AN976" s="604"/>
    </row>
    <row r="977" spans="1:40" ht="15.75" customHeight="1">
      <c r="A977" s="669"/>
      <c r="B977" s="612"/>
      <c r="C977" s="611"/>
      <c r="D977" s="608"/>
      <c r="E977" s="518"/>
      <c r="F977" s="518"/>
      <c r="G977" s="518"/>
      <c r="H977" s="518"/>
      <c r="I977" s="518"/>
      <c r="J977" s="518"/>
      <c r="K977" s="518"/>
      <c r="L977" s="518"/>
      <c r="M977" s="518"/>
      <c r="N977" s="518"/>
      <c r="O977" s="518"/>
      <c r="P977" s="518"/>
      <c r="Q977" s="518"/>
      <c r="R977" s="518"/>
      <c r="S977" s="518"/>
      <c r="T977" s="518"/>
      <c r="U977" s="518"/>
      <c r="V977" s="518"/>
      <c r="W977" s="518"/>
      <c r="X977" s="808"/>
      <c r="Y977" s="809"/>
      <c r="Z977" s="609"/>
      <c r="AA977" s="604"/>
      <c r="AB977" s="604"/>
      <c r="AC977" s="604"/>
      <c r="AD977" s="604"/>
      <c r="AE977" s="604"/>
      <c r="AF977" s="604"/>
      <c r="AG977" s="604"/>
      <c r="AH977" s="604"/>
      <c r="AI977" s="604"/>
      <c r="AJ977" s="604"/>
      <c r="AK977" s="604"/>
      <c r="AL977" s="604"/>
      <c r="AM977" s="604"/>
      <c r="AN977" s="604"/>
    </row>
    <row r="978" spans="1:40" ht="15.75" customHeight="1">
      <c r="A978" s="670"/>
      <c r="B978" s="620"/>
      <c r="C978" s="621"/>
      <c r="D978" s="622"/>
      <c r="E978" s="623"/>
      <c r="F978" s="623"/>
      <c r="G978" s="623"/>
      <c r="H978" s="623"/>
      <c r="I978" s="623"/>
      <c r="J978" s="623"/>
      <c r="K978" s="623"/>
      <c r="L978" s="623"/>
      <c r="M978" s="623"/>
      <c r="N978" s="623"/>
      <c r="O978" s="623"/>
      <c r="P978" s="623"/>
      <c r="Q978" s="623"/>
      <c r="R978" s="623"/>
      <c r="S978" s="623"/>
      <c r="T978" s="623"/>
      <c r="U978" s="623"/>
      <c r="V978" s="623"/>
      <c r="W978" s="623"/>
      <c r="X978" s="808"/>
      <c r="Y978" s="809"/>
      <c r="Z978" s="623"/>
      <c r="AA978" s="604"/>
      <c r="AB978" s="604"/>
      <c r="AC978" s="604"/>
      <c r="AD978" s="604"/>
      <c r="AE978" s="604"/>
      <c r="AF978" s="604"/>
      <c r="AG978" s="604"/>
      <c r="AH978" s="604"/>
      <c r="AI978" s="604"/>
      <c r="AJ978" s="604"/>
      <c r="AK978" s="604"/>
      <c r="AL978" s="604"/>
      <c r="AM978" s="604"/>
      <c r="AN978" s="604"/>
    </row>
    <row r="979" spans="1:40" ht="15.75" customHeight="1">
      <c r="A979" s="669"/>
      <c r="B979" s="596"/>
      <c r="C979" s="624"/>
      <c r="D979" s="608"/>
      <c r="E979" s="518"/>
      <c r="F979" s="518"/>
      <c r="G979" s="518"/>
      <c r="H979" s="518"/>
      <c r="I979" s="518"/>
      <c r="J979" s="518"/>
      <c r="K979" s="518"/>
      <c r="L979" s="518"/>
      <c r="M979" s="518"/>
      <c r="N979" s="518"/>
      <c r="O979" s="518"/>
      <c r="P979" s="518"/>
      <c r="Q979" s="518"/>
      <c r="R979" s="518"/>
      <c r="S979" s="518"/>
      <c r="T979" s="604"/>
      <c r="U979" s="604"/>
      <c r="V979" s="604"/>
      <c r="W979" s="604"/>
      <c r="X979" s="808"/>
      <c r="Y979" s="809"/>
      <c r="Z979" s="609"/>
      <c r="AA979" s="604"/>
      <c r="AB979" s="604"/>
      <c r="AC979" s="604"/>
      <c r="AD979" s="604"/>
      <c r="AE979" s="604"/>
      <c r="AF979" s="604"/>
      <c r="AG979" s="604"/>
      <c r="AH979" s="604"/>
      <c r="AI979" s="604"/>
      <c r="AJ979" s="604"/>
      <c r="AK979" s="604"/>
      <c r="AL979" s="604"/>
      <c r="AM979" s="604"/>
      <c r="AN979" s="604"/>
    </row>
    <row r="980" spans="1:40" ht="15.75" customHeight="1">
      <c r="A980" s="669">
        <v>45328</v>
      </c>
      <c r="B980" s="596"/>
      <c r="C980" s="624" t="s">
        <v>519</v>
      </c>
      <c r="D980" s="608"/>
      <c r="E980" s="518"/>
      <c r="F980" s="518"/>
      <c r="G980" s="608"/>
      <c r="H980" s="518"/>
      <c r="I980" s="518"/>
      <c r="J980" s="518"/>
      <c r="K980" s="518"/>
      <c r="L980" s="518"/>
      <c r="M980" s="518">
        <v>36.869999999999997</v>
      </c>
      <c r="N980" s="518"/>
      <c r="O980" s="518"/>
      <c r="P980" s="518"/>
      <c r="Q980" s="518">
        <v>295</v>
      </c>
      <c r="R980" s="518"/>
      <c r="S980" s="518"/>
      <c r="T980" s="604"/>
      <c r="U980" s="604"/>
      <c r="V980" s="604"/>
      <c r="W980" s="604"/>
      <c r="X980" s="808">
        <f>M980</f>
        <v>36.869999999999997</v>
      </c>
      <c r="Y980" s="809" t="str">
        <f>$M$3</f>
        <v>6673-2</v>
      </c>
      <c r="Z980" s="609"/>
      <c r="AA980" s="604"/>
      <c r="AB980" s="604"/>
      <c r="AC980" s="604"/>
      <c r="AD980" s="604"/>
      <c r="AE980" s="604"/>
      <c r="AF980" s="604"/>
      <c r="AG980" s="604"/>
      <c r="AH980" s="604"/>
      <c r="AI980" s="604"/>
      <c r="AJ980" s="604"/>
      <c r="AK980" s="604"/>
      <c r="AL980" s="604"/>
      <c r="AM980" s="604"/>
      <c r="AN980" s="604"/>
    </row>
    <row r="981" spans="1:40" ht="15.75" customHeight="1">
      <c r="A981" s="669">
        <v>45329</v>
      </c>
      <c r="B981" s="596"/>
      <c r="C981" s="624" t="s">
        <v>520</v>
      </c>
      <c r="D981" s="608"/>
      <c r="E981" s="518"/>
      <c r="F981" s="518"/>
      <c r="G981" s="608"/>
      <c r="H981" s="518"/>
      <c r="I981" s="518"/>
      <c r="J981" s="518"/>
      <c r="K981" s="518"/>
      <c r="L981" s="518">
        <v>228.93</v>
      </c>
      <c r="M981" s="518"/>
      <c r="N981" s="518"/>
      <c r="O981" s="518"/>
      <c r="P981" s="518"/>
      <c r="Q981" s="518"/>
      <c r="R981" s="518"/>
      <c r="S981" s="518"/>
      <c r="T981" s="604"/>
      <c r="U981" s="604"/>
      <c r="V981" s="604"/>
      <c r="W981" s="604"/>
      <c r="X981" s="1033">
        <f>L981</f>
        <v>228.93</v>
      </c>
      <c r="Y981" s="809" t="str">
        <f>$L$3</f>
        <v>6673-1</v>
      </c>
      <c r="Z981" s="609"/>
      <c r="AA981" s="604"/>
      <c r="AB981" s="604"/>
      <c r="AC981" s="604"/>
      <c r="AD981" s="604"/>
      <c r="AE981" s="604"/>
      <c r="AF981" s="604"/>
      <c r="AG981" s="604"/>
      <c r="AH981" s="604"/>
      <c r="AI981" s="604"/>
      <c r="AJ981" s="604"/>
      <c r="AK981" s="604"/>
      <c r="AL981" s="604"/>
      <c r="AM981" s="604"/>
      <c r="AN981" s="604"/>
    </row>
    <row r="982" spans="1:40" ht="15.75" customHeight="1">
      <c r="A982" s="669">
        <v>45329</v>
      </c>
      <c r="B982" s="596"/>
      <c r="C982" s="624" t="s">
        <v>521</v>
      </c>
      <c r="D982" s="608"/>
      <c r="E982" s="518"/>
      <c r="F982" s="518"/>
      <c r="G982" s="608"/>
      <c r="H982" s="518"/>
      <c r="I982" s="518"/>
      <c r="J982" s="518"/>
      <c r="K982" s="518"/>
      <c r="L982" s="518">
        <v>194.51</v>
      </c>
      <c r="M982" s="518"/>
      <c r="N982" s="518"/>
      <c r="O982" s="518"/>
      <c r="P982" s="518"/>
      <c r="Q982" s="518"/>
      <c r="R982" s="518"/>
      <c r="S982" s="518"/>
      <c r="T982" s="604"/>
      <c r="U982" s="604"/>
      <c r="V982" s="604"/>
      <c r="W982" s="604"/>
      <c r="X982" s="1033">
        <f>L982</f>
        <v>194.51</v>
      </c>
      <c r="Y982" s="809" t="str">
        <f>$L$3</f>
        <v>6673-1</v>
      </c>
      <c r="Z982" s="609"/>
      <c r="AA982" s="604"/>
      <c r="AB982" s="604"/>
      <c r="AC982" s="604"/>
      <c r="AD982" s="604"/>
      <c r="AE982" s="604"/>
      <c r="AF982" s="604"/>
      <c r="AG982" s="604"/>
      <c r="AH982" s="604"/>
      <c r="AI982" s="604"/>
      <c r="AJ982" s="604"/>
      <c r="AK982" s="604"/>
      <c r="AL982" s="604"/>
      <c r="AM982" s="604"/>
      <c r="AN982" s="604"/>
    </row>
    <row r="983" spans="1:40" ht="15.75" customHeight="1">
      <c r="A983" s="669">
        <v>45329</v>
      </c>
      <c r="B983" s="596"/>
      <c r="C983" s="624" t="s">
        <v>82</v>
      </c>
      <c r="D983" s="608"/>
      <c r="E983" s="518"/>
      <c r="F983" s="518"/>
      <c r="G983" s="608"/>
      <c r="H983" s="518"/>
      <c r="I983" s="518"/>
      <c r="J983" s="518"/>
      <c r="K983" s="518"/>
      <c r="L983" s="518">
        <v>102.55</v>
      </c>
      <c r="M983" s="518"/>
      <c r="N983" s="518"/>
      <c r="O983" s="518"/>
      <c r="P983" s="518"/>
      <c r="Q983" s="518"/>
      <c r="R983" s="518"/>
      <c r="S983" s="518"/>
      <c r="T983" s="604"/>
      <c r="U983" s="604"/>
      <c r="V983" s="604"/>
      <c r="W983" s="604"/>
      <c r="X983" s="1033">
        <f>L983</f>
        <v>102.55</v>
      </c>
      <c r="Y983" s="809" t="str">
        <f>$L$3</f>
        <v>6673-1</v>
      </c>
      <c r="Z983" s="609"/>
      <c r="AA983" s="604"/>
      <c r="AB983" s="604"/>
      <c r="AC983" s="604"/>
      <c r="AD983" s="604"/>
      <c r="AE983" s="604"/>
      <c r="AF983" s="604"/>
      <c r="AG983" s="604"/>
      <c r="AH983" s="604"/>
      <c r="AI983" s="604"/>
      <c r="AJ983" s="604"/>
      <c r="AK983" s="604"/>
      <c r="AL983" s="604"/>
      <c r="AM983" s="604"/>
      <c r="AN983" s="604"/>
    </row>
    <row r="984" spans="1:40" ht="15.75" customHeight="1">
      <c r="A984" s="669">
        <v>45330</v>
      </c>
      <c r="B984" s="596" t="s">
        <v>522</v>
      </c>
      <c r="C984" s="624" t="s">
        <v>413</v>
      </c>
      <c r="D984" s="608">
        <v>570</v>
      </c>
      <c r="E984" s="518"/>
      <c r="F984" s="518"/>
      <c r="G984" s="608"/>
      <c r="H984" s="518"/>
      <c r="I984" s="518"/>
      <c r="J984" s="518"/>
      <c r="K984" s="518"/>
      <c r="L984" s="518"/>
      <c r="M984" s="518"/>
      <c r="N984" s="518"/>
      <c r="O984" s="518"/>
      <c r="P984" s="518"/>
      <c r="Q984" s="518"/>
      <c r="R984" s="518"/>
      <c r="S984" s="518"/>
      <c r="T984" s="604"/>
      <c r="U984" s="604"/>
      <c r="V984" s="604"/>
      <c r="W984" s="604"/>
      <c r="X984" s="1034">
        <f>D984</f>
        <v>570</v>
      </c>
      <c r="Y984" s="809" t="s">
        <v>2300</v>
      </c>
      <c r="Z984" s="609"/>
      <c r="AA984" s="604"/>
      <c r="AB984" s="604"/>
      <c r="AC984" s="604"/>
      <c r="AD984" s="604"/>
      <c r="AE984" s="604"/>
      <c r="AF984" s="604"/>
      <c r="AG984" s="604"/>
      <c r="AH984" s="604"/>
      <c r="AI984" s="604"/>
      <c r="AJ984" s="604"/>
      <c r="AK984" s="604"/>
      <c r="AL984" s="604"/>
      <c r="AM984" s="604"/>
      <c r="AN984" s="604"/>
    </row>
    <row r="985" spans="1:40" ht="15.75" customHeight="1">
      <c r="A985" s="669">
        <v>45334</v>
      </c>
      <c r="B985" s="596"/>
      <c r="C985" s="624" t="s">
        <v>523</v>
      </c>
      <c r="D985" s="608"/>
      <c r="E985" s="518"/>
      <c r="F985" s="518">
        <v>522</v>
      </c>
      <c r="G985" s="608"/>
      <c r="H985" s="518"/>
      <c r="I985" s="518"/>
      <c r="J985" s="518"/>
      <c r="K985" s="518"/>
      <c r="L985" s="518"/>
      <c r="M985" s="518"/>
      <c r="N985" s="518"/>
      <c r="O985" s="518"/>
      <c r="P985" s="518"/>
      <c r="Q985" s="518"/>
      <c r="R985" s="518"/>
      <c r="S985" s="518"/>
      <c r="T985" s="604"/>
      <c r="U985" s="604"/>
      <c r="V985" s="604"/>
      <c r="W985" s="604"/>
      <c r="X985" s="808"/>
      <c r="Y985" s="809"/>
      <c r="Z985" s="609"/>
      <c r="AA985" s="604"/>
      <c r="AB985" s="604"/>
      <c r="AC985" s="604"/>
      <c r="AD985" s="604"/>
      <c r="AE985" s="604"/>
      <c r="AF985" s="604"/>
      <c r="AG985" s="604"/>
      <c r="AH985" s="604"/>
      <c r="AI985" s="604"/>
      <c r="AJ985" s="604"/>
      <c r="AK985" s="604"/>
      <c r="AL985" s="604"/>
      <c r="AM985" s="604"/>
      <c r="AN985" s="604"/>
    </row>
    <row r="986" spans="1:40" ht="15.75" customHeight="1">
      <c r="A986" s="669">
        <v>45335</v>
      </c>
      <c r="B986" s="596"/>
      <c r="C986" s="624" t="s">
        <v>524</v>
      </c>
      <c r="D986" s="608"/>
      <c r="E986" s="518"/>
      <c r="F986" s="518"/>
      <c r="G986" s="608"/>
      <c r="H986" s="518"/>
      <c r="I986" s="518"/>
      <c r="J986" s="518"/>
      <c r="K986" s="518"/>
      <c r="L986" s="518"/>
      <c r="M986" s="518"/>
      <c r="N986" s="518"/>
      <c r="O986" s="518"/>
      <c r="P986" s="518">
        <v>899</v>
      </c>
      <c r="Q986" s="518"/>
      <c r="R986" s="518"/>
      <c r="S986" s="518"/>
      <c r="T986" s="604"/>
      <c r="U986" s="604"/>
      <c r="V986" s="604"/>
      <c r="W986" s="604"/>
      <c r="X986" s="1033">
        <f>P986</f>
        <v>899</v>
      </c>
      <c r="Y986" s="809">
        <f>$P$3</f>
        <v>6815</v>
      </c>
      <c r="Z986" s="609"/>
      <c r="AA986" s="604"/>
      <c r="AB986" s="604"/>
      <c r="AC986" s="604"/>
      <c r="AD986" s="604"/>
      <c r="AE986" s="604"/>
      <c r="AF986" s="604"/>
      <c r="AG986" s="604"/>
      <c r="AH986" s="604"/>
      <c r="AI986" s="604"/>
      <c r="AJ986" s="604"/>
      <c r="AK986" s="604"/>
      <c r="AL986" s="604"/>
      <c r="AM986" s="604"/>
      <c r="AN986" s="604"/>
    </row>
    <row r="987" spans="1:40" ht="15.75" customHeight="1">
      <c r="A987" s="669">
        <v>45336</v>
      </c>
      <c r="B987" s="596"/>
      <c r="C987" s="624" t="s">
        <v>525</v>
      </c>
      <c r="D987" s="608"/>
      <c r="E987" s="518"/>
      <c r="F987" s="518"/>
      <c r="G987" s="608"/>
      <c r="H987" s="518"/>
      <c r="I987" s="518"/>
      <c r="J987" s="518"/>
      <c r="K987" s="518"/>
      <c r="L987" s="518"/>
      <c r="M987" s="518"/>
      <c r="N987" s="518"/>
      <c r="O987" s="518"/>
      <c r="P987" s="518">
        <v>11.99</v>
      </c>
      <c r="Q987" s="518"/>
      <c r="R987" s="518"/>
      <c r="S987" s="518"/>
      <c r="T987" s="604"/>
      <c r="U987" s="604"/>
      <c r="V987" s="604"/>
      <c r="W987" s="604"/>
      <c r="X987" s="1033">
        <f>P987</f>
        <v>11.99</v>
      </c>
      <c r="Y987" s="809">
        <f>$P$3</f>
        <v>6815</v>
      </c>
      <c r="Z987" s="609"/>
      <c r="AA987" s="604"/>
      <c r="AB987" s="604"/>
      <c r="AC987" s="604"/>
      <c r="AD987" s="604"/>
      <c r="AE987" s="604"/>
      <c r="AF987" s="604"/>
      <c r="AG987" s="604"/>
      <c r="AH987" s="604"/>
      <c r="AI987" s="604"/>
      <c r="AJ987" s="604"/>
      <c r="AK987" s="604"/>
      <c r="AL987" s="604"/>
      <c r="AM987" s="604"/>
      <c r="AN987" s="604"/>
    </row>
    <row r="988" spans="1:40" ht="15.75" customHeight="1">
      <c r="A988" s="669">
        <v>45337</v>
      </c>
      <c r="B988" s="596"/>
      <c r="C988" s="624" t="s">
        <v>526</v>
      </c>
      <c r="D988" s="608"/>
      <c r="E988" s="518"/>
      <c r="F988" s="518"/>
      <c r="G988" s="608"/>
      <c r="H988" s="518"/>
      <c r="I988" s="518"/>
      <c r="J988" s="518"/>
      <c r="K988" s="518"/>
      <c r="L988" s="518"/>
      <c r="M988" s="518"/>
      <c r="N988" s="518"/>
      <c r="O988" s="518"/>
      <c r="P988" s="518"/>
      <c r="Q988" s="518">
        <v>14.99</v>
      </c>
      <c r="R988" s="518"/>
      <c r="S988" s="518"/>
      <c r="T988" s="604"/>
      <c r="U988" s="604"/>
      <c r="V988" s="604"/>
      <c r="W988" s="604"/>
      <c r="X988" s="808">
        <f>Q988</f>
        <v>14.99</v>
      </c>
      <c r="Y988" s="809" t="str">
        <f>$Q$3</f>
        <v>6495-2</v>
      </c>
      <c r="Z988" s="609"/>
      <c r="AA988" s="604"/>
      <c r="AB988" s="604"/>
      <c r="AC988" s="604"/>
      <c r="AD988" s="604"/>
      <c r="AE988" s="604"/>
      <c r="AF988" s="604"/>
      <c r="AG988" s="604"/>
      <c r="AH988" s="604"/>
      <c r="AI988" s="604"/>
      <c r="AJ988" s="604"/>
      <c r="AK988" s="604"/>
      <c r="AL988" s="604"/>
      <c r="AM988" s="604"/>
      <c r="AN988" s="604"/>
    </row>
    <row r="989" spans="1:40" ht="15.75" customHeight="1">
      <c r="A989" s="669">
        <v>45337</v>
      </c>
      <c r="B989" s="596"/>
      <c r="C989" s="624" t="s">
        <v>526</v>
      </c>
      <c r="D989" s="608"/>
      <c r="E989" s="518"/>
      <c r="F989" s="518"/>
      <c r="G989" s="608"/>
      <c r="H989" s="518"/>
      <c r="I989" s="518"/>
      <c r="J989" s="518"/>
      <c r="K989" s="518"/>
      <c r="L989" s="518"/>
      <c r="M989" s="518"/>
      <c r="N989" s="518"/>
      <c r="O989" s="518"/>
      <c r="P989" s="518"/>
      <c r="Q989" s="518">
        <v>14.99</v>
      </c>
      <c r="R989" s="518"/>
      <c r="S989" s="518"/>
      <c r="T989" s="604"/>
      <c r="U989" s="604"/>
      <c r="V989" s="604"/>
      <c r="W989" s="604"/>
      <c r="X989" s="808">
        <f>Q989</f>
        <v>14.99</v>
      </c>
      <c r="Y989" s="809" t="str">
        <f>$Q$3</f>
        <v>6495-2</v>
      </c>
      <c r="Z989" s="609"/>
      <c r="AA989" s="604"/>
      <c r="AB989" s="604"/>
      <c r="AC989" s="604"/>
      <c r="AD989" s="604"/>
      <c r="AE989" s="604"/>
      <c r="AF989" s="604"/>
      <c r="AG989" s="604"/>
      <c r="AH989" s="604"/>
      <c r="AI989" s="604"/>
      <c r="AJ989" s="604"/>
      <c r="AK989" s="604"/>
      <c r="AL989" s="604"/>
      <c r="AM989" s="604"/>
      <c r="AN989" s="604"/>
    </row>
    <row r="990" spans="1:40" ht="15.75" customHeight="1">
      <c r="A990" s="669">
        <v>45341</v>
      </c>
      <c r="B990" s="596"/>
      <c r="C990" s="624" t="s">
        <v>207</v>
      </c>
      <c r="D990" s="608"/>
      <c r="E990" s="518"/>
      <c r="F990" s="518"/>
      <c r="G990" s="608"/>
      <c r="H990" s="518"/>
      <c r="I990" s="518"/>
      <c r="J990" s="518"/>
      <c r="K990" s="518"/>
      <c r="L990" s="518"/>
      <c r="M990" s="518">
        <v>38.01</v>
      </c>
      <c r="N990" s="518"/>
      <c r="O990" s="518"/>
      <c r="P990" s="518"/>
      <c r="Q990" s="518"/>
      <c r="R990" s="518"/>
      <c r="S990" s="518"/>
      <c r="T990" s="604"/>
      <c r="U990" s="604"/>
      <c r="V990" s="604"/>
      <c r="W990" s="604"/>
      <c r="X990" s="808">
        <f>M990</f>
        <v>38.01</v>
      </c>
      <c r="Y990" s="809" t="str">
        <f>$M$3</f>
        <v>6673-2</v>
      </c>
      <c r="Z990" s="609"/>
      <c r="AA990" s="604"/>
      <c r="AB990" s="604"/>
      <c r="AC990" s="604"/>
      <c r="AD990" s="604"/>
      <c r="AE990" s="604"/>
      <c r="AF990" s="604"/>
      <c r="AG990" s="604"/>
      <c r="AH990" s="604"/>
      <c r="AI990" s="604"/>
      <c r="AJ990" s="604"/>
      <c r="AK990" s="604"/>
      <c r="AL990" s="604"/>
      <c r="AM990" s="604"/>
      <c r="AN990" s="604"/>
    </row>
    <row r="991" spans="1:40" ht="15.75" customHeight="1">
      <c r="A991" s="669">
        <v>45341</v>
      </c>
      <c r="B991" s="596"/>
      <c r="C991" s="624" t="s">
        <v>207</v>
      </c>
      <c r="D991" s="608"/>
      <c r="E991" s="518"/>
      <c r="F991" s="518"/>
      <c r="G991" s="608"/>
      <c r="H991" s="518"/>
      <c r="I991" s="518"/>
      <c r="J991" s="518"/>
      <c r="K991" s="518"/>
      <c r="L991" s="518"/>
      <c r="M991" s="518">
        <v>46.4</v>
      </c>
      <c r="N991" s="518"/>
      <c r="O991" s="518"/>
      <c r="P991" s="518"/>
      <c r="Q991" s="518"/>
      <c r="R991" s="518"/>
      <c r="S991" s="518"/>
      <c r="T991" s="604"/>
      <c r="U991" s="604"/>
      <c r="V991" s="604"/>
      <c r="W991" s="604"/>
      <c r="X991" s="808">
        <f>M991</f>
        <v>46.4</v>
      </c>
      <c r="Y991" s="809" t="str">
        <f>$M$3</f>
        <v>6673-2</v>
      </c>
      <c r="Z991" s="609"/>
      <c r="AA991" s="604"/>
      <c r="AB991" s="604"/>
      <c r="AC991" s="604"/>
      <c r="AD991" s="604"/>
      <c r="AE991" s="604"/>
      <c r="AF991" s="604"/>
      <c r="AG991" s="604"/>
      <c r="AH991" s="604"/>
      <c r="AI991" s="604"/>
      <c r="AJ991" s="604"/>
      <c r="AK991" s="604"/>
      <c r="AL991" s="604"/>
      <c r="AM991" s="604"/>
      <c r="AN991" s="604"/>
    </row>
    <row r="992" spans="1:40" ht="15.75" customHeight="1">
      <c r="A992" s="669">
        <v>45341</v>
      </c>
      <c r="B992" s="596"/>
      <c r="C992" s="624" t="s">
        <v>527</v>
      </c>
      <c r="D992" s="608"/>
      <c r="E992" s="518"/>
      <c r="F992" s="518"/>
      <c r="G992" s="608"/>
      <c r="H992" s="518"/>
      <c r="I992" s="518"/>
      <c r="J992" s="518"/>
      <c r="K992" s="518"/>
      <c r="L992" s="518"/>
      <c r="M992" s="518"/>
      <c r="N992" s="518"/>
      <c r="O992" s="518">
        <v>742.11</v>
      </c>
      <c r="P992" s="518"/>
      <c r="Q992" s="518"/>
      <c r="R992" s="518"/>
      <c r="S992" s="518"/>
      <c r="T992" s="604"/>
      <c r="U992" s="604"/>
      <c r="V992" s="604"/>
      <c r="W992" s="604"/>
      <c r="X992" s="1033">
        <f>O992</f>
        <v>742.11</v>
      </c>
      <c r="Y992" s="809">
        <f>$O$3</f>
        <v>6530</v>
      </c>
      <c r="Z992" s="609"/>
      <c r="AA992" s="604"/>
      <c r="AB992" s="604"/>
      <c r="AC992" s="604"/>
      <c r="AD992" s="604"/>
      <c r="AE992" s="604"/>
      <c r="AF992" s="604"/>
      <c r="AG992" s="604"/>
      <c r="AH992" s="604"/>
      <c r="AI992" s="604"/>
      <c r="AJ992" s="604"/>
      <c r="AK992" s="604"/>
      <c r="AL992" s="604"/>
      <c r="AM992" s="604"/>
      <c r="AN992" s="604"/>
    </row>
    <row r="993" spans="1:40" ht="15.75" customHeight="1">
      <c r="A993" s="669">
        <v>45345</v>
      </c>
      <c r="B993" s="596"/>
      <c r="C993" s="624" t="s">
        <v>523</v>
      </c>
      <c r="D993" s="608"/>
      <c r="E993" s="518"/>
      <c r="F993" s="518">
        <v>20.52</v>
      </c>
      <c r="G993" s="608"/>
      <c r="H993" s="518"/>
      <c r="I993" s="518"/>
      <c r="J993" s="518"/>
      <c r="K993" s="518"/>
      <c r="L993" s="518"/>
      <c r="M993" s="518"/>
      <c r="N993" s="518"/>
      <c r="O993" s="518"/>
      <c r="P993" s="518"/>
      <c r="Q993" s="518"/>
      <c r="R993" s="518"/>
      <c r="S993" s="518"/>
      <c r="T993" s="604"/>
      <c r="U993" s="604"/>
      <c r="V993" s="604"/>
      <c r="W993" s="604"/>
      <c r="X993" s="808"/>
      <c r="Y993" s="809"/>
      <c r="Z993" s="609"/>
      <c r="AA993" s="604"/>
      <c r="AB993" s="604"/>
      <c r="AC993" s="604"/>
      <c r="AD993" s="604"/>
      <c r="AE993" s="604"/>
      <c r="AF993" s="604"/>
      <c r="AG993" s="604"/>
      <c r="AH993" s="604"/>
      <c r="AI993" s="604"/>
      <c r="AJ993" s="604"/>
      <c r="AK993" s="604"/>
      <c r="AL993" s="604"/>
      <c r="AM993" s="604"/>
      <c r="AN993" s="604"/>
    </row>
    <row r="994" spans="1:40" ht="15.75" customHeight="1" thickBot="1">
      <c r="A994" s="669"/>
      <c r="B994" s="596"/>
      <c r="C994" s="624"/>
      <c r="D994" s="608"/>
      <c r="E994" s="518"/>
      <c r="F994" s="518"/>
      <c r="G994" s="518"/>
      <c r="H994" s="518"/>
      <c r="I994" s="518"/>
      <c r="J994" s="518"/>
      <c r="K994" s="518"/>
      <c r="L994" s="518"/>
      <c r="M994" s="518"/>
      <c r="N994" s="518"/>
      <c r="O994" s="518"/>
      <c r="P994" s="518"/>
      <c r="Q994" s="518"/>
      <c r="R994" s="518"/>
      <c r="S994" s="518"/>
      <c r="T994" s="604"/>
      <c r="U994" s="604"/>
      <c r="V994" s="604"/>
      <c r="W994" s="604"/>
      <c r="X994" s="808"/>
      <c r="Y994" s="809"/>
      <c r="Z994" s="609"/>
      <c r="AA994" s="604"/>
      <c r="AB994" s="604"/>
      <c r="AC994" s="604"/>
      <c r="AD994" s="604"/>
      <c r="AE994" s="604"/>
      <c r="AF994" s="604"/>
      <c r="AG994" s="604"/>
      <c r="AH994" s="604"/>
      <c r="AI994" s="604"/>
      <c r="AJ994" s="604"/>
      <c r="AK994" s="604"/>
      <c r="AL994" s="604"/>
      <c r="AM994" s="604"/>
      <c r="AN994" s="604"/>
    </row>
    <row r="995" spans="1:40" ht="15.75" customHeight="1" thickTop="1">
      <c r="A995" s="598"/>
      <c r="B995" s="655">
        <v>45352</v>
      </c>
      <c r="C995" s="1047">
        <f>B1000</f>
        <v>1.168849</v>
      </c>
      <c r="D995" s="601"/>
      <c r="E995" s="602"/>
      <c r="F995" s="602"/>
      <c r="G995" s="602"/>
      <c r="H995" s="602"/>
      <c r="I995" s="602"/>
      <c r="J995" s="602"/>
      <c r="K995" s="602"/>
      <c r="L995" s="602"/>
      <c r="M995" s="602"/>
      <c r="N995" s="602"/>
      <c r="O995" s="602"/>
      <c r="P995" s="602"/>
      <c r="Q995" s="602"/>
      <c r="R995" s="602"/>
      <c r="S995" s="602"/>
      <c r="T995" s="602"/>
      <c r="U995" s="602"/>
      <c r="V995" s="602"/>
      <c r="W995" s="602"/>
      <c r="X995" s="808"/>
      <c r="Y995" s="809"/>
      <c r="Z995" s="602"/>
      <c r="AA995" s="604"/>
      <c r="AB995" s="604"/>
      <c r="AC995" s="604"/>
      <c r="AD995" s="604"/>
      <c r="AE995" s="604"/>
      <c r="AF995" s="604"/>
      <c r="AG995" s="604"/>
      <c r="AH995" s="604"/>
      <c r="AI995" s="604"/>
      <c r="AJ995" s="604"/>
      <c r="AK995" s="604"/>
      <c r="AL995" s="604"/>
      <c r="AM995" s="604"/>
      <c r="AN995" s="604"/>
    </row>
    <row r="996" spans="1:40" ht="15.75" customHeight="1">
      <c r="A996" s="671"/>
      <c r="B996" s="630"/>
      <c r="C996" s="607"/>
      <c r="D996" s="608"/>
      <c r="E996" s="518"/>
      <c r="F996" s="518"/>
      <c r="G996" s="518"/>
      <c r="H996" s="518"/>
      <c r="I996" s="518"/>
      <c r="J996" s="518"/>
      <c r="K996" s="518"/>
      <c r="L996" s="518"/>
      <c r="M996" s="518"/>
      <c r="N996" s="518"/>
      <c r="O996" s="518"/>
      <c r="P996" s="518"/>
      <c r="Q996" s="518"/>
      <c r="R996" s="518"/>
      <c r="S996" s="518"/>
      <c r="T996" s="518"/>
      <c r="U996" s="518"/>
      <c r="V996" s="518"/>
      <c r="W996" s="518"/>
      <c r="X996" s="808"/>
      <c r="Y996" s="809"/>
      <c r="Z996" s="609"/>
      <c r="AA996" s="604"/>
      <c r="AB996" s="604"/>
      <c r="AC996" s="604"/>
      <c r="AD996" s="604"/>
      <c r="AE996" s="604"/>
      <c r="AF996" s="604"/>
      <c r="AG996" s="604"/>
      <c r="AH996" s="604"/>
      <c r="AI996" s="604"/>
      <c r="AJ996" s="604"/>
      <c r="AK996" s="604"/>
      <c r="AL996" s="604"/>
      <c r="AM996" s="604"/>
      <c r="AN996" s="604"/>
    </row>
    <row r="997" spans="1:40" ht="15.75" customHeight="1">
      <c r="A997" s="669">
        <v>45352</v>
      </c>
      <c r="B997" s="663"/>
      <c r="C997" s="611" t="s">
        <v>62</v>
      </c>
      <c r="D997" s="608"/>
      <c r="E997" s="518"/>
      <c r="F997" s="518"/>
      <c r="G997" s="518"/>
      <c r="H997" s="518"/>
      <c r="I997" s="518"/>
      <c r="J997" s="518"/>
      <c r="K997" s="518"/>
      <c r="L997" s="518"/>
      <c r="M997" s="518"/>
      <c r="N997" s="518"/>
      <c r="O997" s="518"/>
      <c r="P997" s="518"/>
      <c r="Q997" s="518"/>
      <c r="R997" s="518"/>
      <c r="S997" s="518"/>
      <c r="T997" s="518"/>
      <c r="U997" s="518"/>
      <c r="V997" s="518">
        <v>1036.55</v>
      </c>
      <c r="W997" s="518"/>
      <c r="X997" s="808"/>
      <c r="Y997" s="809"/>
      <c r="Z997" s="609"/>
      <c r="AA997" s="604"/>
      <c r="AB997" s="604"/>
      <c r="AC997" s="604"/>
      <c r="AD997" s="604"/>
      <c r="AE997" s="604"/>
      <c r="AF997" s="604"/>
      <c r="AG997" s="604"/>
      <c r="AH997" s="604"/>
      <c r="AI997" s="604"/>
      <c r="AJ997" s="604"/>
      <c r="AK997" s="604"/>
      <c r="AL997" s="604"/>
      <c r="AM997" s="604"/>
      <c r="AN997" s="604"/>
    </row>
    <row r="998" spans="1:40" ht="15.75" customHeight="1">
      <c r="A998" s="669">
        <v>45352</v>
      </c>
      <c r="B998" s="612"/>
      <c r="C998" s="611" t="s">
        <v>63</v>
      </c>
      <c r="D998" s="608"/>
      <c r="E998" s="518"/>
      <c r="F998" s="518"/>
      <c r="G998" s="518"/>
      <c r="H998" s="518"/>
      <c r="I998" s="518"/>
      <c r="J998" s="518"/>
      <c r="K998" s="518"/>
      <c r="L998" s="518"/>
      <c r="M998" s="518"/>
      <c r="N998" s="518"/>
      <c r="O998" s="518"/>
      <c r="P998" s="518"/>
      <c r="Q998" s="518"/>
      <c r="R998" s="518"/>
      <c r="S998" s="518"/>
      <c r="T998" s="518">
        <v>292.54000000000002</v>
      </c>
      <c r="U998" s="518"/>
      <c r="V998" s="518"/>
      <c r="W998" s="518"/>
      <c r="X998" s="808">
        <f>T998</f>
        <v>292.54000000000002</v>
      </c>
      <c r="Y998" s="809">
        <f>$T$3</f>
        <v>2300</v>
      </c>
      <c r="Z998" s="609"/>
      <c r="AA998" s="604"/>
      <c r="AB998" s="604"/>
      <c r="AC998" s="604"/>
      <c r="AD998" s="604"/>
      <c r="AE998" s="604"/>
      <c r="AF998" s="604"/>
      <c r="AG998" s="604"/>
      <c r="AH998" s="604"/>
      <c r="AI998" s="604"/>
      <c r="AJ998" s="604"/>
      <c r="AK998" s="604"/>
      <c r="AL998" s="604"/>
      <c r="AM998" s="604"/>
      <c r="AN998" s="604"/>
    </row>
    <row r="999" spans="1:40" ht="15.75" customHeight="1">
      <c r="A999" s="669">
        <v>45352</v>
      </c>
      <c r="B999" s="615"/>
      <c r="C999" s="614" t="s">
        <v>421</v>
      </c>
      <c r="D999" s="608"/>
      <c r="E999" s="518"/>
      <c r="F999" s="518"/>
      <c r="G999" s="518"/>
      <c r="H999" s="518"/>
      <c r="I999" s="518"/>
      <c r="J999" s="518"/>
      <c r="K999" s="518"/>
      <c r="L999" s="518"/>
      <c r="M999" s="518">
        <v>49</v>
      </c>
      <c r="N999" s="518"/>
      <c r="O999" s="518"/>
      <c r="P999" s="518"/>
      <c r="Q999" s="518"/>
      <c r="R999" s="518"/>
      <c r="S999" s="518"/>
      <c r="T999" s="518"/>
      <c r="U999" s="518"/>
      <c r="V999" s="518"/>
      <c r="W999" s="518"/>
      <c r="X999" s="808">
        <f>M999</f>
        <v>49</v>
      </c>
      <c r="Y999" s="809" t="str">
        <f>$M$3</f>
        <v>6673-2</v>
      </c>
      <c r="Z999" s="609"/>
      <c r="AA999" s="604"/>
      <c r="AB999" s="604"/>
      <c r="AC999" s="604"/>
      <c r="AD999" s="604"/>
      <c r="AE999" s="604"/>
      <c r="AF999" s="604"/>
      <c r="AG999" s="604"/>
      <c r="AH999" s="604"/>
      <c r="AI999" s="604"/>
      <c r="AJ999" s="604"/>
      <c r="AK999" s="604"/>
      <c r="AL999" s="604"/>
      <c r="AM999" s="604"/>
      <c r="AN999" s="604"/>
    </row>
    <row r="1000" spans="1:40" ht="15.75" customHeight="1">
      <c r="A1000" s="669">
        <v>45355</v>
      </c>
      <c r="B1000" s="672">
        <f>'Conversion rates'!B30</f>
        <v>1.168849</v>
      </c>
      <c r="C1000" s="611" t="s">
        <v>276</v>
      </c>
      <c r="D1000" s="608"/>
      <c r="E1000" s="518"/>
      <c r="F1000" s="518"/>
      <c r="G1000" s="518"/>
      <c r="H1000" s="518"/>
      <c r="I1000" s="518"/>
      <c r="J1000" s="518"/>
      <c r="K1000" s="518"/>
      <c r="L1000" s="518"/>
      <c r="M1000" s="518"/>
      <c r="N1000" s="518"/>
      <c r="O1000" s="518"/>
      <c r="P1000" s="518"/>
      <c r="Q1000" s="518"/>
      <c r="R1000" s="518"/>
      <c r="S1000" s="518"/>
      <c r="T1000" s="518">
        <v>80</v>
      </c>
      <c r="U1000" s="518"/>
      <c r="V1000" s="518"/>
      <c r="W1000" s="518"/>
      <c r="X1000" s="808">
        <f>T1000</f>
        <v>80</v>
      </c>
      <c r="Y1000" s="809">
        <f>$T$3</f>
        <v>2300</v>
      </c>
      <c r="Z1000" s="609"/>
      <c r="AA1000" s="604"/>
      <c r="AB1000" s="604"/>
      <c r="AC1000" s="604"/>
      <c r="AD1000" s="604"/>
      <c r="AE1000" s="604"/>
      <c r="AF1000" s="604"/>
      <c r="AG1000" s="604"/>
      <c r="AH1000" s="604"/>
      <c r="AI1000" s="604"/>
      <c r="AJ1000" s="604"/>
      <c r="AK1000" s="604"/>
      <c r="AL1000" s="604"/>
      <c r="AM1000" s="604"/>
      <c r="AN1000" s="604"/>
    </row>
    <row r="1001" spans="1:40" ht="15.75" customHeight="1">
      <c r="A1001" s="669">
        <v>45355</v>
      </c>
      <c r="B1001" s="612" t="s">
        <v>310</v>
      </c>
      <c r="C1001" s="614" t="s">
        <v>365</v>
      </c>
      <c r="D1001" s="608"/>
      <c r="E1001" s="518"/>
      <c r="F1001" s="518"/>
      <c r="G1001" s="518"/>
      <c r="H1001" s="518"/>
      <c r="I1001" s="518"/>
      <c r="J1001" s="518"/>
      <c r="K1001" s="518"/>
      <c r="L1001" s="518"/>
      <c r="M1001" s="616"/>
      <c r="N1001" s="518">
        <f>800*B1000</f>
        <v>935.07920000000001</v>
      </c>
      <c r="O1001" s="518"/>
      <c r="P1001" s="518"/>
      <c r="Q1001" s="518"/>
      <c r="R1001" s="518"/>
      <c r="S1001" s="518"/>
      <c r="T1001" s="518"/>
      <c r="U1001" s="518"/>
      <c r="V1001" s="518"/>
      <c r="W1001" s="518"/>
      <c r="X1001" s="808">
        <f>N1001</f>
        <v>935.07920000000001</v>
      </c>
      <c r="Y1001" s="809">
        <f>$N$3</f>
        <v>6680</v>
      </c>
      <c r="Z1001" s="609"/>
      <c r="AA1001" s="604"/>
      <c r="AB1001" s="604"/>
      <c r="AC1001" s="604"/>
      <c r="AD1001" s="604"/>
      <c r="AE1001" s="604"/>
      <c r="AF1001" s="604"/>
      <c r="AG1001" s="604"/>
      <c r="AH1001" s="604"/>
      <c r="AI1001" s="604"/>
      <c r="AJ1001" s="604"/>
      <c r="AK1001" s="604"/>
      <c r="AL1001" s="604"/>
      <c r="AM1001" s="604"/>
      <c r="AN1001" s="604"/>
    </row>
    <row r="1002" spans="1:40" ht="15.75" customHeight="1">
      <c r="A1002" s="669">
        <v>45366</v>
      </c>
      <c r="B1002" s="612"/>
      <c r="C1002" s="611" t="s">
        <v>506</v>
      </c>
      <c r="D1002" s="608"/>
      <c r="E1002" s="518"/>
      <c r="F1002" s="518"/>
      <c r="G1002" s="518"/>
      <c r="H1002" s="518"/>
      <c r="I1002" s="518"/>
      <c r="J1002" s="518"/>
      <c r="K1002" s="518"/>
      <c r="L1002" s="518"/>
      <c r="M1002" s="518"/>
      <c r="N1002" s="518"/>
      <c r="O1002" s="518"/>
      <c r="P1002" s="518"/>
      <c r="Q1002" s="518"/>
      <c r="R1002" s="518"/>
      <c r="S1002" s="518"/>
      <c r="T1002" s="518">
        <v>18.36</v>
      </c>
      <c r="U1002" s="518"/>
      <c r="V1002" s="518"/>
      <c r="W1002" s="518"/>
      <c r="X1002" s="808">
        <f>T1002</f>
        <v>18.36</v>
      </c>
      <c r="Y1002" s="809">
        <f>$T$3</f>
        <v>2300</v>
      </c>
      <c r="Z1002" s="609"/>
      <c r="AA1002" s="604"/>
      <c r="AB1002" s="604"/>
      <c r="AC1002" s="604"/>
      <c r="AD1002" s="604"/>
      <c r="AE1002" s="604"/>
      <c r="AF1002" s="604"/>
      <c r="AG1002" s="604"/>
      <c r="AH1002" s="604"/>
      <c r="AI1002" s="604"/>
      <c r="AJ1002" s="604"/>
      <c r="AK1002" s="604"/>
      <c r="AL1002" s="604"/>
      <c r="AM1002" s="604"/>
      <c r="AN1002" s="604"/>
    </row>
    <row r="1003" spans="1:40" ht="15.75" customHeight="1">
      <c r="A1003" s="669">
        <v>45366</v>
      </c>
      <c r="B1003" s="615"/>
      <c r="C1003" s="611" t="s">
        <v>341</v>
      </c>
      <c r="D1003" s="608"/>
      <c r="E1003" s="518"/>
      <c r="F1003" s="518"/>
      <c r="G1003" s="518"/>
      <c r="H1003" s="518">
        <v>850.25</v>
      </c>
      <c r="I1003" s="518"/>
      <c r="J1003" s="518"/>
      <c r="K1003" s="518"/>
      <c r="L1003" s="518"/>
      <c r="M1003" s="518"/>
      <c r="N1003" s="518"/>
      <c r="O1003" s="518"/>
      <c r="P1003" s="518"/>
      <c r="Q1003" s="518"/>
      <c r="R1003" s="518"/>
      <c r="S1003" s="518"/>
      <c r="T1003" s="518"/>
      <c r="U1003" s="518"/>
      <c r="V1003" s="518"/>
      <c r="W1003" s="518"/>
      <c r="X1003" s="1033">
        <f>H1003</f>
        <v>850.25</v>
      </c>
      <c r="Y1003" s="809">
        <f>$H$3</f>
        <v>2200</v>
      </c>
      <c r="Z1003" s="609"/>
      <c r="AA1003" s="604"/>
      <c r="AB1003" s="604"/>
      <c r="AC1003" s="604"/>
      <c r="AD1003" s="604"/>
      <c r="AE1003" s="604"/>
      <c r="AF1003" s="604"/>
      <c r="AG1003" s="604"/>
      <c r="AH1003" s="604"/>
      <c r="AI1003" s="604"/>
      <c r="AJ1003" s="604"/>
      <c r="AK1003" s="604"/>
      <c r="AL1003" s="604"/>
      <c r="AM1003" s="604"/>
      <c r="AN1003" s="604"/>
    </row>
    <row r="1004" spans="1:40" ht="15.75" customHeight="1">
      <c r="A1004" s="669">
        <v>45370</v>
      </c>
      <c r="B1004" s="613"/>
      <c r="C1004" s="611" t="s">
        <v>111</v>
      </c>
      <c r="D1004" s="608"/>
      <c r="E1004" s="518"/>
      <c r="F1004" s="518"/>
      <c r="G1004" s="518"/>
      <c r="H1004" s="518"/>
      <c r="I1004" s="518"/>
      <c r="J1004" s="518"/>
      <c r="K1004" s="518">
        <v>34.99</v>
      </c>
      <c r="L1004" s="518"/>
      <c r="M1004" s="518"/>
      <c r="N1004" s="518"/>
      <c r="O1004" s="518"/>
      <c r="P1004" s="518"/>
      <c r="Q1004" s="518"/>
      <c r="R1004" s="518"/>
      <c r="S1004" s="518"/>
      <c r="T1004" s="518">
        <v>19.98</v>
      </c>
      <c r="U1004" s="518"/>
      <c r="V1004" s="518"/>
      <c r="W1004" s="518"/>
      <c r="X1004" s="1033">
        <f>K1004</f>
        <v>34.99</v>
      </c>
      <c r="Y1004" s="809" t="str">
        <f>$K$3</f>
        <v>6495-1</v>
      </c>
      <c r="Z1004" s="609"/>
      <c r="AA1004" s="604"/>
      <c r="AB1004" s="604"/>
      <c r="AC1004" s="604"/>
      <c r="AD1004" s="604"/>
      <c r="AE1004" s="604"/>
      <c r="AF1004" s="604"/>
      <c r="AG1004" s="604"/>
      <c r="AH1004" s="604"/>
      <c r="AI1004" s="604"/>
      <c r="AJ1004" s="604"/>
      <c r="AK1004" s="604"/>
      <c r="AL1004" s="604"/>
      <c r="AM1004" s="604"/>
      <c r="AN1004" s="604"/>
    </row>
    <row r="1005" spans="1:40" ht="15.75" customHeight="1">
      <c r="A1005" s="669">
        <v>45371</v>
      </c>
      <c r="B1005" s="613"/>
      <c r="C1005" s="611" t="s">
        <v>78</v>
      </c>
      <c r="D1005" s="608"/>
      <c r="E1005" s="518"/>
      <c r="F1005" s="518"/>
      <c r="G1005" s="518"/>
      <c r="H1005" s="518"/>
      <c r="I1005" s="518"/>
      <c r="J1005" s="518">
        <v>19.98</v>
      </c>
      <c r="K1005" s="518"/>
      <c r="L1005" s="518"/>
      <c r="M1005" s="518"/>
      <c r="N1005" s="518"/>
      <c r="O1005" s="518"/>
      <c r="P1005" s="518"/>
      <c r="Q1005" s="518"/>
      <c r="R1005" s="518"/>
      <c r="S1005" s="518"/>
      <c r="T1005" s="518"/>
      <c r="U1005" s="518"/>
      <c r="V1005" s="518"/>
      <c r="W1005" s="518"/>
      <c r="X1005" s="1033">
        <f>J1005</f>
        <v>19.98</v>
      </c>
      <c r="Y1005" s="809">
        <f>$J$3</f>
        <v>6805</v>
      </c>
      <c r="Z1005" s="609"/>
      <c r="AA1005" s="604"/>
      <c r="AB1005" s="604"/>
      <c r="AC1005" s="604"/>
      <c r="AD1005" s="604"/>
      <c r="AE1005" s="604"/>
      <c r="AF1005" s="604"/>
      <c r="AG1005" s="604"/>
      <c r="AH1005" s="604"/>
      <c r="AI1005" s="604"/>
      <c r="AJ1005" s="604"/>
      <c r="AK1005" s="604"/>
      <c r="AL1005" s="604"/>
      <c r="AM1005" s="604"/>
      <c r="AN1005" s="604"/>
    </row>
    <row r="1006" spans="1:40" ht="15.75" customHeight="1">
      <c r="A1006" s="669">
        <v>45373</v>
      </c>
      <c r="B1006" s="612"/>
      <c r="C1006" s="611" t="s">
        <v>194</v>
      </c>
      <c r="D1006" s="608"/>
      <c r="E1006" s="518"/>
      <c r="F1006" s="518"/>
      <c r="G1006" s="518"/>
      <c r="H1006" s="518"/>
      <c r="I1006" s="518"/>
      <c r="J1006" s="518"/>
      <c r="K1006" s="518"/>
      <c r="L1006" s="518"/>
      <c r="M1006" s="518"/>
      <c r="N1006" s="518"/>
      <c r="O1006" s="518"/>
      <c r="P1006" s="518"/>
      <c r="Q1006" s="518"/>
      <c r="R1006" s="518"/>
      <c r="S1006" s="518">
        <v>11.5</v>
      </c>
      <c r="T1006" s="518"/>
      <c r="U1006" s="518"/>
      <c r="V1006" s="518"/>
      <c r="W1006" s="518"/>
      <c r="X1006" s="808">
        <f>S1006</f>
        <v>11.5</v>
      </c>
      <c r="Y1006" s="809">
        <f>$S$3</f>
        <v>6855</v>
      </c>
      <c r="Z1006" s="609"/>
      <c r="AA1006" s="604"/>
      <c r="AB1006" s="604"/>
      <c r="AC1006" s="604"/>
      <c r="AD1006" s="604"/>
      <c r="AE1006" s="604"/>
      <c r="AF1006" s="604"/>
      <c r="AG1006" s="604"/>
      <c r="AH1006" s="604"/>
      <c r="AI1006" s="604"/>
      <c r="AJ1006" s="604"/>
      <c r="AK1006" s="604"/>
      <c r="AL1006" s="604"/>
      <c r="AM1006" s="604"/>
      <c r="AN1006" s="604"/>
    </row>
    <row r="1007" spans="1:40" ht="15.75" customHeight="1">
      <c r="A1007" s="669">
        <v>45374</v>
      </c>
      <c r="B1007" s="615"/>
      <c r="C1007" s="611" t="s">
        <v>364</v>
      </c>
      <c r="D1007" s="608"/>
      <c r="E1007" s="518"/>
      <c r="F1007" s="518"/>
      <c r="G1007" s="518"/>
      <c r="H1007" s="518"/>
      <c r="I1007" s="518"/>
      <c r="J1007" s="518"/>
      <c r="K1007" s="518">
        <v>11.73</v>
      </c>
      <c r="L1007" s="518"/>
      <c r="M1007" s="518"/>
      <c r="N1007" s="518"/>
      <c r="O1007" s="518"/>
      <c r="P1007" s="518"/>
      <c r="Q1007" s="518"/>
      <c r="R1007" s="518"/>
      <c r="S1007" s="518"/>
      <c r="T1007" s="518"/>
      <c r="U1007" s="518"/>
      <c r="V1007" s="518"/>
      <c r="W1007" s="518"/>
      <c r="X1007" s="1033">
        <f>K1007</f>
        <v>11.73</v>
      </c>
      <c r="Y1007" s="809" t="str">
        <f>$K$3</f>
        <v>6495-1</v>
      </c>
      <c r="Z1007" s="609"/>
      <c r="AA1007" s="604"/>
      <c r="AB1007" s="604"/>
      <c r="AC1007" s="604"/>
      <c r="AD1007" s="604"/>
      <c r="AE1007" s="604"/>
      <c r="AF1007" s="604"/>
      <c r="AG1007" s="604"/>
      <c r="AH1007" s="604"/>
      <c r="AI1007" s="604"/>
      <c r="AJ1007" s="604"/>
      <c r="AK1007" s="604"/>
      <c r="AL1007" s="604"/>
      <c r="AM1007" s="604"/>
      <c r="AN1007" s="604"/>
    </row>
    <row r="1008" spans="1:40" ht="15.75" customHeight="1">
      <c r="A1008" s="669">
        <v>45378</v>
      </c>
      <c r="B1008" s="615"/>
      <c r="C1008" s="611" t="s">
        <v>344</v>
      </c>
      <c r="D1008" s="608"/>
      <c r="E1008" s="518"/>
      <c r="F1008" s="518"/>
      <c r="G1008" s="518"/>
      <c r="H1008" s="518"/>
      <c r="I1008" s="518"/>
      <c r="J1008" s="518"/>
      <c r="K1008" s="518"/>
      <c r="L1008" s="518"/>
      <c r="M1008" s="518"/>
      <c r="N1008" s="518"/>
      <c r="O1008" s="518"/>
      <c r="P1008" s="518"/>
      <c r="Q1008" s="518"/>
      <c r="R1008" s="518"/>
      <c r="S1008" s="518">
        <v>12.98</v>
      </c>
      <c r="T1008" s="518"/>
      <c r="U1008" s="518"/>
      <c r="V1008" s="518"/>
      <c r="W1008" s="518"/>
      <c r="X1008" s="808">
        <f>S1008</f>
        <v>12.98</v>
      </c>
      <c r="Y1008" s="809">
        <f>$S$3</f>
        <v>6855</v>
      </c>
      <c r="Z1008" s="609"/>
      <c r="AA1008" s="604"/>
      <c r="AB1008" s="604"/>
      <c r="AC1008" s="604"/>
      <c r="AD1008" s="604"/>
      <c r="AE1008" s="604"/>
      <c r="AF1008" s="604"/>
      <c r="AG1008" s="604"/>
      <c r="AH1008" s="604"/>
      <c r="AI1008" s="604"/>
      <c r="AJ1008" s="604"/>
      <c r="AK1008" s="604"/>
      <c r="AL1008" s="604"/>
      <c r="AM1008" s="604"/>
      <c r="AN1008" s="604"/>
    </row>
    <row r="1009" spans="1:40" ht="15.75" customHeight="1">
      <c r="A1009" s="669">
        <v>45379</v>
      </c>
      <c r="B1009" s="615"/>
      <c r="C1009" s="614" t="s">
        <v>260</v>
      </c>
      <c r="D1009" s="608"/>
      <c r="E1009" s="518">
        <v>605.5</v>
      </c>
      <c r="F1009" s="518"/>
      <c r="G1009" s="518"/>
      <c r="H1009" s="518"/>
      <c r="I1009" s="518"/>
      <c r="J1009" s="518"/>
      <c r="K1009" s="518"/>
      <c r="L1009" s="518"/>
      <c r="M1009" s="518"/>
      <c r="N1009" s="518"/>
      <c r="O1009" s="518"/>
      <c r="P1009" s="518"/>
      <c r="Q1009" s="518"/>
      <c r="R1009" s="518"/>
      <c r="S1009" s="518"/>
      <c r="T1009" s="518"/>
      <c r="U1009" s="518"/>
      <c r="V1009" s="518"/>
      <c r="W1009" s="518"/>
      <c r="X1009" s="808">
        <f>E1009</f>
        <v>605.5</v>
      </c>
      <c r="Y1009" s="809" t="s">
        <v>2304</v>
      </c>
      <c r="Z1009" s="609"/>
      <c r="AA1009" s="604"/>
      <c r="AB1009" s="604"/>
      <c r="AC1009" s="604"/>
      <c r="AD1009" s="604"/>
      <c r="AE1009" s="604"/>
      <c r="AF1009" s="604"/>
      <c r="AG1009" s="604"/>
      <c r="AH1009" s="604"/>
      <c r="AI1009" s="604"/>
      <c r="AJ1009" s="604"/>
      <c r="AK1009" s="604"/>
      <c r="AL1009" s="604"/>
      <c r="AM1009" s="604"/>
      <c r="AN1009" s="604"/>
    </row>
    <row r="1010" spans="1:40" ht="15.75" customHeight="1">
      <c r="A1010" s="669"/>
      <c r="B1010" s="612"/>
      <c r="C1010" s="611"/>
      <c r="D1010" s="608"/>
      <c r="E1010" s="518"/>
      <c r="F1010" s="518"/>
      <c r="G1010" s="518"/>
      <c r="H1010" s="518"/>
      <c r="I1010" s="518"/>
      <c r="J1010" s="518"/>
      <c r="K1010" s="518"/>
      <c r="L1010" s="518"/>
      <c r="M1010" s="518"/>
      <c r="N1010" s="518"/>
      <c r="O1010" s="518"/>
      <c r="P1010" s="518"/>
      <c r="Q1010" s="518"/>
      <c r="R1010" s="518"/>
      <c r="S1010" s="518"/>
      <c r="T1010" s="518"/>
      <c r="U1010" s="518"/>
      <c r="V1010" s="518"/>
      <c r="W1010" s="518"/>
      <c r="X1010" s="808"/>
      <c r="Y1010" s="809"/>
      <c r="Z1010" s="609"/>
      <c r="AA1010" s="604"/>
      <c r="AB1010" s="604"/>
      <c r="AC1010" s="604"/>
      <c r="AD1010" s="604"/>
      <c r="AE1010" s="604"/>
      <c r="AF1010" s="604"/>
      <c r="AG1010" s="604"/>
      <c r="AH1010" s="604"/>
      <c r="AI1010" s="604"/>
      <c r="AJ1010" s="604"/>
      <c r="AK1010" s="604"/>
      <c r="AL1010" s="604"/>
      <c r="AM1010" s="604"/>
      <c r="AN1010" s="604"/>
    </row>
    <row r="1011" spans="1:40" ht="15.75" customHeight="1">
      <c r="A1011" s="670"/>
      <c r="B1011" s="620"/>
      <c r="C1011" s="621"/>
      <c r="D1011" s="622"/>
      <c r="E1011" s="623"/>
      <c r="F1011" s="623"/>
      <c r="G1011" s="623"/>
      <c r="H1011" s="623"/>
      <c r="I1011" s="623"/>
      <c r="J1011" s="623"/>
      <c r="K1011" s="623"/>
      <c r="L1011" s="623"/>
      <c r="M1011" s="623"/>
      <c r="N1011" s="623"/>
      <c r="O1011" s="623"/>
      <c r="P1011" s="623"/>
      <c r="Q1011" s="623"/>
      <c r="R1011" s="623"/>
      <c r="S1011" s="623"/>
      <c r="T1011" s="623"/>
      <c r="U1011" s="623"/>
      <c r="V1011" s="623"/>
      <c r="W1011" s="623"/>
      <c r="X1011" s="808"/>
      <c r="Y1011" s="809"/>
      <c r="Z1011" s="623"/>
      <c r="AA1011" s="604"/>
      <c r="AB1011" s="604"/>
      <c r="AC1011" s="604"/>
      <c r="AD1011" s="604"/>
      <c r="AE1011" s="604"/>
      <c r="AF1011" s="604"/>
      <c r="AG1011" s="604"/>
      <c r="AH1011" s="604"/>
      <c r="AI1011" s="604"/>
      <c r="AJ1011" s="604"/>
      <c r="AK1011" s="604"/>
      <c r="AL1011" s="604"/>
      <c r="AM1011" s="604"/>
      <c r="AN1011" s="604"/>
    </row>
    <row r="1012" spans="1:40" ht="13.8">
      <c r="A1012" s="671"/>
      <c r="B1012" s="616"/>
      <c r="C1012" s="616"/>
      <c r="D1012" s="616"/>
      <c r="E1012" s="616"/>
      <c r="F1012" s="616"/>
      <c r="G1012" s="616"/>
      <c r="H1012" s="616"/>
      <c r="I1012" s="616"/>
      <c r="J1012" s="616"/>
      <c r="K1012" s="616"/>
      <c r="L1012" s="616"/>
      <c r="M1012" s="616"/>
      <c r="N1012" s="616"/>
      <c r="O1012" s="604"/>
      <c r="P1012" s="604"/>
      <c r="Q1012" s="604"/>
      <c r="R1012" s="604"/>
      <c r="S1012" s="604"/>
      <c r="T1012" s="604"/>
      <c r="U1012" s="604"/>
      <c r="V1012" s="604"/>
      <c r="W1012" s="604"/>
      <c r="X1012" s="808"/>
      <c r="Y1012" s="809"/>
      <c r="Z1012" s="609"/>
      <c r="AA1012" s="604"/>
      <c r="AB1012" s="604"/>
      <c r="AC1012" s="604"/>
      <c r="AD1012" s="604"/>
      <c r="AE1012" s="604"/>
      <c r="AF1012" s="604"/>
      <c r="AG1012" s="604"/>
      <c r="AH1012" s="604"/>
      <c r="AI1012" s="604"/>
      <c r="AJ1012" s="604"/>
      <c r="AK1012" s="604"/>
      <c r="AL1012" s="604"/>
      <c r="AM1012" s="604"/>
      <c r="AN1012" s="604"/>
    </row>
    <row r="1013" spans="1:40" ht="15.75" customHeight="1">
      <c r="A1013" s="669">
        <v>45356</v>
      </c>
      <c r="B1013" s="596"/>
      <c r="C1013" s="624" t="s">
        <v>178</v>
      </c>
      <c r="D1013" s="608"/>
      <c r="E1013" s="596"/>
      <c r="F1013" s="624"/>
      <c r="G1013" s="608"/>
      <c r="H1013" s="596"/>
      <c r="I1013" s="624"/>
      <c r="J1013" s="654"/>
      <c r="K1013" s="596"/>
      <c r="L1013" s="624"/>
      <c r="M1013" s="654"/>
      <c r="N1013" s="596"/>
      <c r="O1013" s="518">
        <f>75.59*$C$995</f>
        <v>88.35329591</v>
      </c>
      <c r="P1013" s="654"/>
      <c r="Q1013" s="596"/>
      <c r="R1013" s="624"/>
      <c r="S1013" s="654"/>
      <c r="T1013" s="596"/>
      <c r="U1013" s="624"/>
      <c r="V1013" s="654"/>
      <c r="W1013" s="596"/>
      <c r="X1013" s="1033">
        <f>O1013</f>
        <v>88.35329591</v>
      </c>
      <c r="Y1013" s="809">
        <f>$O$3</f>
        <v>6530</v>
      </c>
      <c r="Z1013" s="609"/>
      <c r="AA1013" s="596"/>
      <c r="AB1013" s="624"/>
      <c r="AC1013" s="624"/>
      <c r="AD1013" s="624"/>
      <c r="AE1013" s="624"/>
      <c r="AF1013" s="624"/>
      <c r="AG1013" s="624"/>
      <c r="AH1013" s="624"/>
      <c r="AI1013" s="624"/>
      <c r="AJ1013" s="624"/>
      <c r="AK1013" s="624"/>
      <c r="AL1013" s="624"/>
      <c r="AM1013" s="624"/>
      <c r="AN1013" s="624"/>
    </row>
    <row r="1014" spans="1:40" ht="15.75" customHeight="1">
      <c r="A1014" s="669">
        <v>45356</v>
      </c>
      <c r="B1014" s="596"/>
      <c r="C1014" s="624" t="s">
        <v>528</v>
      </c>
      <c r="D1014" s="608"/>
      <c r="E1014" s="596"/>
      <c r="F1014" s="624"/>
      <c r="G1014" s="608"/>
      <c r="H1014" s="596"/>
      <c r="I1014" s="624"/>
      <c r="J1014" s="654"/>
      <c r="K1014" s="596"/>
      <c r="L1014" s="624"/>
      <c r="M1014" s="654"/>
      <c r="N1014" s="596"/>
      <c r="O1014" s="518">
        <f>40.03*$C$995</f>
        <v>46.789025470000006</v>
      </c>
      <c r="P1014" s="654"/>
      <c r="Q1014" s="596"/>
      <c r="R1014" s="624"/>
      <c r="S1014" s="654"/>
      <c r="T1014" s="596"/>
      <c r="U1014" s="624"/>
      <c r="V1014" s="654"/>
      <c r="W1014" s="596"/>
      <c r="X1014" s="1033">
        <f>O1014</f>
        <v>46.789025470000006</v>
      </c>
      <c r="Y1014" s="809">
        <f>$O$3</f>
        <v>6530</v>
      </c>
      <c r="Z1014" s="609"/>
      <c r="AA1014" s="596"/>
      <c r="AB1014" s="624"/>
      <c r="AC1014" s="624"/>
      <c r="AD1014" s="624"/>
      <c r="AE1014" s="624"/>
      <c r="AF1014" s="624"/>
      <c r="AG1014" s="624"/>
      <c r="AH1014" s="624"/>
      <c r="AI1014" s="624"/>
      <c r="AJ1014" s="624"/>
      <c r="AK1014" s="624"/>
      <c r="AL1014" s="624"/>
      <c r="AM1014" s="624"/>
      <c r="AN1014" s="624"/>
    </row>
    <row r="1015" spans="1:40" ht="15.75" customHeight="1">
      <c r="A1015" s="669">
        <v>45356</v>
      </c>
      <c r="B1015" s="596"/>
      <c r="C1015" s="624" t="s">
        <v>529</v>
      </c>
      <c r="D1015" s="608"/>
      <c r="E1015" s="596"/>
      <c r="F1015" s="624"/>
      <c r="G1015" s="608"/>
      <c r="H1015" s="596"/>
      <c r="I1015" s="624"/>
      <c r="J1015" s="654"/>
      <c r="K1015" s="596"/>
      <c r="L1015" s="624"/>
      <c r="M1015" s="518"/>
      <c r="N1015" s="596"/>
      <c r="O1015" s="518"/>
      <c r="P1015" s="654"/>
      <c r="Q1015" s="518">
        <v>554.16999999999996</v>
      </c>
      <c r="R1015" s="624"/>
      <c r="S1015" s="654"/>
      <c r="T1015" s="596"/>
      <c r="U1015" s="624"/>
      <c r="V1015" s="654"/>
      <c r="W1015" s="596"/>
      <c r="X1015" s="808">
        <f>Q1015</f>
        <v>554.16999999999996</v>
      </c>
      <c r="Y1015" s="809" t="str">
        <f>$Q$3</f>
        <v>6495-2</v>
      </c>
      <c r="Z1015" s="609"/>
      <c r="AA1015" s="596"/>
      <c r="AB1015" s="624"/>
      <c r="AC1015" s="624"/>
      <c r="AD1015" s="624"/>
      <c r="AE1015" s="624"/>
      <c r="AF1015" s="624"/>
      <c r="AG1015" s="624"/>
      <c r="AH1015" s="624"/>
      <c r="AI1015" s="624"/>
      <c r="AJ1015" s="624"/>
      <c r="AK1015" s="624"/>
      <c r="AL1015" s="624"/>
      <c r="AM1015" s="624"/>
      <c r="AN1015" s="624"/>
    </row>
    <row r="1016" spans="1:40" ht="15.75" customHeight="1">
      <c r="A1016" s="669">
        <v>45357</v>
      </c>
      <c r="B1016" s="596"/>
      <c r="C1016" s="624" t="s">
        <v>530</v>
      </c>
      <c r="D1016" s="608"/>
      <c r="E1016" s="596"/>
      <c r="F1016" s="624"/>
      <c r="G1016" s="608"/>
      <c r="H1016" s="596"/>
      <c r="I1016" s="624"/>
      <c r="J1016" s="654"/>
      <c r="K1016" s="596"/>
      <c r="L1016" s="624"/>
      <c r="M1016" s="654"/>
      <c r="N1016" s="596"/>
      <c r="O1016" s="518">
        <f>22.32*$C$995</f>
        <v>26.088709680000001</v>
      </c>
      <c r="P1016" s="654"/>
      <c r="Q1016" s="596"/>
      <c r="R1016" s="624"/>
      <c r="S1016" s="654"/>
      <c r="T1016" s="596"/>
      <c r="U1016" s="624"/>
      <c r="V1016" s="654"/>
      <c r="W1016" s="596"/>
      <c r="X1016" s="1033">
        <f>O1016</f>
        <v>26.088709680000001</v>
      </c>
      <c r="Y1016" s="809">
        <f>$O$3</f>
        <v>6530</v>
      </c>
      <c r="Z1016" s="609"/>
      <c r="AA1016" s="596"/>
      <c r="AB1016" s="624"/>
      <c r="AC1016" s="624"/>
      <c r="AD1016" s="624"/>
      <c r="AE1016" s="624"/>
      <c r="AF1016" s="624"/>
      <c r="AG1016" s="624"/>
      <c r="AH1016" s="624"/>
      <c r="AI1016" s="624"/>
      <c r="AJ1016" s="624"/>
      <c r="AK1016" s="624"/>
      <c r="AL1016" s="624"/>
      <c r="AM1016" s="624"/>
      <c r="AN1016" s="624"/>
    </row>
    <row r="1017" spans="1:40" ht="15.75" customHeight="1">
      <c r="A1017" s="669">
        <v>45359</v>
      </c>
      <c r="B1017" s="673" t="s">
        <v>531</v>
      </c>
      <c r="C1017" s="624" t="s">
        <v>532</v>
      </c>
      <c r="D1017" s="608"/>
      <c r="E1017" s="518"/>
      <c r="F1017" s="518">
        <v>2000</v>
      </c>
      <c r="G1017" s="608"/>
      <c r="H1017" s="518"/>
      <c r="I1017" s="518"/>
      <c r="J1017" s="518"/>
      <c r="K1017" s="518"/>
      <c r="L1017" s="518"/>
      <c r="M1017" s="518"/>
      <c r="N1017" s="518"/>
      <c r="O1017" s="518"/>
      <c r="P1017" s="518"/>
      <c r="Q1017" s="518"/>
      <c r="R1017" s="518"/>
      <c r="S1017" s="518"/>
      <c r="T1017" s="604"/>
      <c r="U1017" s="604"/>
      <c r="V1017" s="604"/>
      <c r="W1017" s="604"/>
      <c r="X1017" s="808"/>
      <c r="Y1017" s="809"/>
      <c r="Z1017" s="609"/>
      <c r="AA1017" s="604"/>
      <c r="AB1017" s="604"/>
      <c r="AC1017" s="604"/>
      <c r="AD1017" s="604"/>
      <c r="AE1017" s="604"/>
      <c r="AF1017" s="604"/>
      <c r="AG1017" s="604"/>
      <c r="AH1017" s="604"/>
      <c r="AI1017" s="604"/>
      <c r="AJ1017" s="604"/>
      <c r="AK1017" s="604"/>
      <c r="AL1017" s="604"/>
      <c r="AM1017" s="604"/>
      <c r="AN1017" s="604"/>
    </row>
    <row r="1018" spans="1:40" ht="15.75" customHeight="1">
      <c r="A1018" s="669">
        <v>45359</v>
      </c>
      <c r="B1018" s="673" t="s">
        <v>531</v>
      </c>
      <c r="C1018" s="624" t="s">
        <v>532</v>
      </c>
      <c r="D1018" s="608"/>
      <c r="E1018" s="518"/>
      <c r="F1018" s="518">
        <v>2000</v>
      </c>
      <c r="G1018" s="608"/>
      <c r="H1018" s="518"/>
      <c r="I1018" s="518"/>
      <c r="J1018" s="518"/>
      <c r="K1018" s="518"/>
      <c r="L1018" s="518"/>
      <c r="M1018" s="518"/>
      <c r="N1018" s="518"/>
      <c r="O1018" s="518"/>
      <c r="P1018" s="518"/>
      <c r="Q1018" s="518"/>
      <c r="R1018" s="518"/>
      <c r="S1018" s="518"/>
      <c r="T1018" s="604"/>
      <c r="U1018" s="604"/>
      <c r="V1018" s="604"/>
      <c r="W1018" s="604"/>
      <c r="X1018" s="808"/>
      <c r="Y1018" s="809"/>
      <c r="Z1018" s="609"/>
      <c r="AA1018" s="604"/>
      <c r="AB1018" s="604"/>
      <c r="AC1018" s="604"/>
      <c r="AD1018" s="604"/>
      <c r="AE1018" s="604"/>
      <c r="AF1018" s="604"/>
      <c r="AG1018" s="604"/>
      <c r="AH1018" s="604"/>
      <c r="AI1018" s="604"/>
      <c r="AJ1018" s="604"/>
      <c r="AK1018" s="604"/>
      <c r="AL1018" s="604"/>
      <c r="AM1018" s="604"/>
      <c r="AN1018" s="604"/>
    </row>
    <row r="1019" spans="1:40" ht="15.75" customHeight="1">
      <c r="A1019" s="669">
        <v>45359</v>
      </c>
      <c r="B1019" s="673" t="s">
        <v>531</v>
      </c>
      <c r="C1019" s="624" t="s">
        <v>532</v>
      </c>
      <c r="D1019" s="608"/>
      <c r="E1019" s="518"/>
      <c r="F1019" s="518">
        <v>500</v>
      </c>
      <c r="G1019" s="608"/>
      <c r="H1019" s="518"/>
      <c r="I1019" s="518"/>
      <c r="J1019" s="518"/>
      <c r="K1019" s="518"/>
      <c r="L1019" s="518"/>
      <c r="M1019" s="518"/>
      <c r="N1019" s="518"/>
      <c r="O1019" s="518"/>
      <c r="P1019" s="518"/>
      <c r="Q1019" s="518"/>
      <c r="R1019" s="518"/>
      <c r="S1019" s="518"/>
      <c r="T1019" s="604"/>
      <c r="U1019" s="604"/>
      <c r="V1019" s="604"/>
      <c r="W1019" s="604"/>
      <c r="X1019" s="808"/>
      <c r="Y1019" s="809"/>
      <c r="Z1019" s="609"/>
      <c r="AA1019" s="604"/>
      <c r="AB1019" s="604"/>
      <c r="AC1019" s="604"/>
      <c r="AD1019" s="604"/>
      <c r="AE1019" s="604"/>
      <c r="AF1019" s="604"/>
      <c r="AG1019" s="604"/>
      <c r="AH1019" s="604"/>
      <c r="AI1019" s="604"/>
      <c r="AJ1019" s="604"/>
      <c r="AK1019" s="604"/>
      <c r="AL1019" s="604"/>
      <c r="AM1019" s="604"/>
      <c r="AN1019" s="604"/>
    </row>
    <row r="1020" spans="1:40" ht="15.75" customHeight="1">
      <c r="A1020" s="669">
        <v>45359</v>
      </c>
      <c r="B1020" s="596"/>
      <c r="C1020" s="624" t="s">
        <v>207</v>
      </c>
      <c r="D1020" s="608"/>
      <c r="E1020" s="596"/>
      <c r="F1020" s="624"/>
      <c r="G1020" s="608"/>
      <c r="H1020" s="596"/>
      <c r="I1020" s="624"/>
      <c r="J1020" s="654"/>
      <c r="K1020" s="596"/>
      <c r="L1020" s="624"/>
      <c r="M1020" s="518">
        <v>38.96</v>
      </c>
      <c r="N1020" s="596"/>
      <c r="O1020" s="518"/>
      <c r="P1020" s="654"/>
      <c r="Q1020" s="596"/>
      <c r="R1020" s="624"/>
      <c r="S1020" s="654"/>
      <c r="T1020" s="596"/>
      <c r="U1020" s="624"/>
      <c r="V1020" s="654"/>
      <c r="W1020" s="596"/>
      <c r="X1020" s="808">
        <f>M1020</f>
        <v>38.96</v>
      </c>
      <c r="Y1020" s="809" t="str">
        <f>$M$3</f>
        <v>6673-2</v>
      </c>
      <c r="Z1020" s="609"/>
      <c r="AA1020" s="596"/>
      <c r="AB1020" s="624"/>
      <c r="AC1020" s="624"/>
      <c r="AD1020" s="624"/>
      <c r="AE1020" s="624"/>
      <c r="AF1020" s="624"/>
      <c r="AG1020" s="624"/>
      <c r="AH1020" s="624"/>
      <c r="AI1020" s="624"/>
      <c r="AJ1020" s="624"/>
      <c r="AK1020" s="624"/>
      <c r="AL1020" s="624"/>
      <c r="AM1020" s="624"/>
      <c r="AN1020" s="624"/>
    </row>
    <row r="1021" spans="1:40" ht="15.75" customHeight="1">
      <c r="A1021" s="669">
        <v>45362</v>
      </c>
      <c r="B1021" s="596"/>
      <c r="C1021" s="624" t="s">
        <v>533</v>
      </c>
      <c r="D1021" s="608"/>
      <c r="E1021" s="518"/>
      <c r="F1021" s="518"/>
      <c r="G1021" s="608"/>
      <c r="H1021" s="518"/>
      <c r="I1021" s="518"/>
      <c r="J1021" s="518"/>
      <c r="K1021" s="518"/>
      <c r="L1021" s="518"/>
      <c r="M1021" s="518">
        <v>36.869999999999997</v>
      </c>
      <c r="N1021" s="518"/>
      <c r="O1021" s="518"/>
      <c r="P1021" s="518"/>
      <c r="Q1021" s="518"/>
      <c r="R1021" s="518"/>
      <c r="S1021" s="518"/>
      <c r="T1021" s="604"/>
      <c r="U1021" s="604"/>
      <c r="V1021" s="604"/>
      <c r="W1021" s="604"/>
      <c r="X1021" s="808">
        <f>M1021</f>
        <v>36.869999999999997</v>
      </c>
      <c r="Y1021" s="809" t="str">
        <f>$M$3</f>
        <v>6673-2</v>
      </c>
      <c r="Z1021" s="609"/>
      <c r="AA1021" s="604"/>
      <c r="AB1021" s="604"/>
      <c r="AC1021" s="604"/>
      <c r="AD1021" s="604"/>
      <c r="AE1021" s="604"/>
      <c r="AF1021" s="604"/>
      <c r="AG1021" s="604"/>
      <c r="AH1021" s="604"/>
      <c r="AI1021" s="604"/>
      <c r="AJ1021" s="604"/>
      <c r="AK1021" s="604"/>
      <c r="AL1021" s="604"/>
      <c r="AM1021" s="604"/>
      <c r="AN1021" s="604"/>
    </row>
    <row r="1022" spans="1:40" ht="15.75" customHeight="1">
      <c r="A1022" s="669">
        <v>45364</v>
      </c>
      <c r="B1022" s="673" t="s">
        <v>534</v>
      </c>
      <c r="C1022" s="624" t="s">
        <v>214</v>
      </c>
      <c r="D1022" s="608">
        <v>6200</v>
      </c>
      <c r="E1022" s="596"/>
      <c r="F1022" s="624"/>
      <c r="G1022" s="608"/>
      <c r="H1022" s="596"/>
      <c r="I1022" s="624"/>
      <c r="J1022" s="654"/>
      <c r="K1022" s="596"/>
      <c r="L1022" s="624"/>
      <c r="M1022" s="654"/>
      <c r="N1022" s="596"/>
      <c r="O1022" s="624"/>
      <c r="P1022" s="654"/>
      <c r="Q1022" s="596"/>
      <c r="R1022" s="624"/>
      <c r="S1022" s="654"/>
      <c r="T1022" s="596"/>
      <c r="U1022" s="624"/>
      <c r="V1022" s="654"/>
      <c r="W1022" s="596"/>
      <c r="X1022" s="1034">
        <f>D1022</f>
        <v>6200</v>
      </c>
      <c r="Y1022" s="809" t="s">
        <v>2300</v>
      </c>
      <c r="Z1022" s="609"/>
      <c r="AA1022" s="596"/>
      <c r="AB1022" s="624"/>
      <c r="AC1022" s="624"/>
      <c r="AD1022" s="624"/>
      <c r="AE1022" s="624"/>
      <c r="AF1022" s="624"/>
      <c r="AG1022" s="624"/>
      <c r="AH1022" s="624"/>
      <c r="AI1022" s="624"/>
      <c r="AJ1022" s="624"/>
      <c r="AK1022" s="624"/>
      <c r="AL1022" s="624"/>
      <c r="AM1022" s="624"/>
      <c r="AN1022" s="624"/>
    </row>
    <row r="1023" spans="1:40" ht="15.75" customHeight="1">
      <c r="A1023" s="669">
        <v>45365</v>
      </c>
      <c r="B1023" s="673" t="s">
        <v>535</v>
      </c>
      <c r="C1023" s="624" t="s">
        <v>91</v>
      </c>
      <c r="D1023" s="608"/>
      <c r="E1023" s="518">
        <v>4820</v>
      </c>
      <c r="F1023" s="518"/>
      <c r="G1023" s="608"/>
      <c r="H1023" s="518"/>
      <c r="I1023" s="518"/>
      <c r="J1023" s="518"/>
      <c r="K1023" s="518"/>
      <c r="L1023" s="518"/>
      <c r="M1023" s="518">
        <v>36.869999999999997</v>
      </c>
      <c r="N1023" s="518"/>
      <c r="O1023" s="518"/>
      <c r="P1023" s="518"/>
      <c r="Q1023" s="518"/>
      <c r="R1023" s="518"/>
      <c r="S1023" s="518"/>
      <c r="T1023" s="604"/>
      <c r="U1023" s="604"/>
      <c r="V1023" s="604"/>
      <c r="W1023" s="604"/>
      <c r="X1023" s="808">
        <f>E1023</f>
        <v>4820</v>
      </c>
      <c r="Y1023" s="809" t="s">
        <v>2304</v>
      </c>
      <c r="Z1023" s="609"/>
      <c r="AA1023" s="604"/>
      <c r="AB1023" s="604"/>
      <c r="AC1023" s="604"/>
      <c r="AD1023" s="604"/>
      <c r="AE1023" s="604"/>
      <c r="AF1023" s="604"/>
      <c r="AG1023" s="604"/>
      <c r="AH1023" s="604"/>
      <c r="AI1023" s="604"/>
      <c r="AJ1023" s="604"/>
      <c r="AK1023" s="604"/>
      <c r="AL1023" s="604"/>
      <c r="AM1023" s="604"/>
      <c r="AN1023" s="604"/>
    </row>
    <row r="1024" spans="1:40" ht="15.75" customHeight="1">
      <c r="A1024" s="669">
        <v>45373</v>
      </c>
      <c r="B1024" s="596"/>
      <c r="C1024" s="624" t="s">
        <v>451</v>
      </c>
      <c r="D1024" s="608"/>
      <c r="E1024" s="518">
        <v>317.5</v>
      </c>
      <c r="F1024" s="518"/>
      <c r="G1024" s="608"/>
      <c r="H1024" s="518"/>
      <c r="I1024" s="518"/>
      <c r="J1024" s="518"/>
      <c r="K1024" s="518"/>
      <c r="L1024" s="518"/>
      <c r="M1024" s="518"/>
      <c r="N1024" s="518"/>
      <c r="O1024" s="518"/>
      <c r="P1024" s="518"/>
      <c r="Q1024" s="518"/>
      <c r="R1024" s="518"/>
      <c r="S1024" s="518"/>
      <c r="T1024" s="604"/>
      <c r="U1024" s="604"/>
      <c r="V1024" s="604"/>
      <c r="W1024" s="604"/>
      <c r="X1024" s="808">
        <f>E1024</f>
        <v>317.5</v>
      </c>
      <c r="Y1024" s="809" t="s">
        <v>2304</v>
      </c>
      <c r="Z1024" s="609"/>
      <c r="AA1024" s="604"/>
      <c r="AB1024" s="604"/>
      <c r="AC1024" s="604"/>
      <c r="AD1024" s="604"/>
      <c r="AE1024" s="604"/>
      <c r="AF1024" s="604"/>
      <c r="AG1024" s="604"/>
      <c r="AH1024" s="604"/>
      <c r="AI1024" s="604"/>
      <c r="AJ1024" s="604"/>
      <c r="AK1024" s="604"/>
      <c r="AL1024" s="604"/>
      <c r="AM1024" s="604"/>
      <c r="AN1024" s="604"/>
    </row>
    <row r="1025" spans="1:40" ht="15.75" customHeight="1">
      <c r="A1025" s="669">
        <v>45378</v>
      </c>
      <c r="B1025" s="673" t="s">
        <v>536</v>
      </c>
      <c r="C1025" s="624" t="s">
        <v>413</v>
      </c>
      <c r="D1025" s="608">
        <v>285</v>
      </c>
      <c r="E1025" s="596"/>
      <c r="F1025" s="624"/>
      <c r="G1025" s="608"/>
      <c r="H1025" s="596"/>
      <c r="I1025" s="624"/>
      <c r="J1025" s="654"/>
      <c r="K1025" s="596"/>
      <c r="L1025" s="624"/>
      <c r="M1025" s="654"/>
      <c r="N1025" s="596"/>
      <c r="O1025" s="624"/>
      <c r="P1025" s="654"/>
      <c r="Q1025" s="596"/>
      <c r="R1025" s="624"/>
      <c r="S1025" s="654"/>
      <c r="T1025" s="596"/>
      <c r="U1025" s="624"/>
      <c r="V1025" s="654"/>
      <c r="W1025" s="596"/>
      <c r="X1025" s="1034">
        <f>D1025</f>
        <v>285</v>
      </c>
      <c r="Y1025" s="809" t="s">
        <v>2300</v>
      </c>
      <c r="Z1025" s="609"/>
      <c r="AA1025" s="596"/>
      <c r="AB1025" s="624"/>
      <c r="AC1025" s="624"/>
      <c r="AD1025" s="624"/>
      <c r="AE1025" s="624"/>
      <c r="AF1025" s="624"/>
      <c r="AG1025" s="624"/>
      <c r="AH1025" s="624"/>
      <c r="AI1025" s="624"/>
      <c r="AJ1025" s="624"/>
      <c r="AK1025" s="624"/>
      <c r="AL1025" s="624"/>
      <c r="AM1025" s="624"/>
      <c r="AN1025" s="624"/>
    </row>
    <row r="1026" spans="1:40" ht="15.75" customHeight="1">
      <c r="A1026" s="669">
        <v>45378</v>
      </c>
      <c r="B1026" s="596"/>
      <c r="C1026" s="624" t="s">
        <v>537</v>
      </c>
      <c r="D1026" s="608"/>
      <c r="E1026" s="596"/>
      <c r="F1026" s="624"/>
      <c r="G1026" s="608"/>
      <c r="H1026" s="596"/>
      <c r="I1026" s="624"/>
      <c r="J1026" s="654"/>
      <c r="K1026" s="596"/>
      <c r="L1026" s="518">
        <v>107.64</v>
      </c>
      <c r="M1026" s="654"/>
      <c r="N1026" s="596"/>
      <c r="O1026" s="518"/>
      <c r="P1026" s="654"/>
      <c r="Q1026" s="596"/>
      <c r="R1026" s="624"/>
      <c r="S1026" s="654"/>
      <c r="T1026" s="596"/>
      <c r="U1026" s="624"/>
      <c r="V1026" s="654"/>
      <c r="W1026" s="596"/>
      <c r="X1026" s="1033">
        <f>L1026</f>
        <v>107.64</v>
      </c>
      <c r="Y1026" s="809" t="str">
        <f>$L$3</f>
        <v>6673-1</v>
      </c>
      <c r="Z1026" s="609"/>
      <c r="AA1026" s="596"/>
      <c r="AB1026" s="624"/>
      <c r="AC1026" s="624"/>
      <c r="AD1026" s="624"/>
      <c r="AE1026" s="624"/>
      <c r="AF1026" s="624"/>
      <c r="AG1026" s="624"/>
      <c r="AH1026" s="624"/>
      <c r="AI1026" s="624"/>
      <c r="AJ1026" s="624"/>
      <c r="AK1026" s="624"/>
      <c r="AL1026" s="624"/>
      <c r="AM1026" s="624"/>
      <c r="AN1026" s="624"/>
    </row>
    <row r="1027" spans="1:40" ht="15.75" customHeight="1" thickBot="1">
      <c r="A1027" s="669"/>
      <c r="B1027" s="596"/>
      <c r="C1027" s="624"/>
      <c r="D1027" s="608"/>
      <c r="E1027" s="596"/>
      <c r="F1027" s="624"/>
      <c r="G1027" s="624"/>
      <c r="H1027" s="596"/>
      <c r="I1027" s="624"/>
      <c r="J1027" s="654"/>
      <c r="K1027" s="596"/>
      <c r="L1027" s="624"/>
      <c r="M1027" s="654"/>
      <c r="N1027" s="596"/>
      <c r="O1027" s="518"/>
      <c r="P1027" s="654"/>
      <c r="Q1027" s="596"/>
      <c r="R1027" s="624"/>
      <c r="S1027" s="654"/>
      <c r="T1027" s="596"/>
      <c r="U1027" s="624"/>
      <c r="V1027" s="654"/>
      <c r="W1027" s="596"/>
      <c r="X1027" s="808"/>
      <c r="Y1027" s="809"/>
      <c r="Z1027" s="609"/>
      <c r="AA1027" s="596"/>
      <c r="AB1027" s="624"/>
      <c r="AC1027" s="624"/>
      <c r="AD1027" s="624"/>
      <c r="AE1027" s="624"/>
      <c r="AF1027" s="624"/>
      <c r="AG1027" s="624"/>
      <c r="AH1027" s="624"/>
      <c r="AI1027" s="624"/>
      <c r="AJ1027" s="624"/>
      <c r="AK1027" s="624"/>
      <c r="AL1027" s="624"/>
      <c r="AM1027" s="624"/>
      <c r="AN1027" s="624"/>
    </row>
    <row r="1028" spans="1:40" ht="15.75" customHeight="1" thickTop="1">
      <c r="A1028" s="598"/>
      <c r="B1028" s="655">
        <v>45383</v>
      </c>
      <c r="C1028" s="627"/>
      <c r="D1028" s="601"/>
      <c r="E1028" s="602"/>
      <c r="F1028" s="602"/>
      <c r="G1028" s="602"/>
      <c r="H1028" s="602"/>
      <c r="I1028" s="602"/>
      <c r="J1028" s="602"/>
      <c r="K1028" s="602"/>
      <c r="L1028" s="602"/>
      <c r="M1028" s="602"/>
      <c r="N1028" s="602"/>
      <c r="O1028" s="602"/>
      <c r="P1028" s="602"/>
      <c r="Q1028" s="602"/>
      <c r="R1028" s="602"/>
      <c r="S1028" s="602"/>
      <c r="T1028" s="602"/>
      <c r="U1028" s="602"/>
      <c r="V1028" s="602"/>
      <c r="W1028" s="602"/>
      <c r="X1028" s="808"/>
      <c r="Y1028" s="809"/>
      <c r="Z1028" s="602"/>
      <c r="AA1028" s="604"/>
      <c r="AB1028" s="604"/>
      <c r="AC1028" s="604"/>
      <c r="AD1028" s="604"/>
      <c r="AE1028" s="604"/>
      <c r="AF1028" s="604"/>
      <c r="AG1028" s="604"/>
      <c r="AH1028" s="604"/>
      <c r="AI1028" s="604"/>
      <c r="AJ1028" s="604"/>
      <c r="AK1028" s="604"/>
      <c r="AL1028" s="604"/>
      <c r="AM1028" s="604"/>
      <c r="AN1028" s="604"/>
    </row>
    <row r="1029" spans="1:40" ht="15.75" customHeight="1">
      <c r="A1029" s="674"/>
      <c r="B1029" s="630"/>
      <c r="C1029" s="607"/>
      <c r="D1029" s="608"/>
      <c r="E1029" s="518"/>
      <c r="F1029" s="518"/>
      <c r="G1029" s="518"/>
      <c r="H1029" s="518"/>
      <c r="I1029" s="518"/>
      <c r="J1029" s="518"/>
      <c r="K1029" s="518"/>
      <c r="L1029" s="518"/>
      <c r="M1029" s="518"/>
      <c r="N1029" s="518"/>
      <c r="O1029" s="518"/>
      <c r="P1029" s="518"/>
      <c r="Q1029" s="518"/>
      <c r="R1029" s="518"/>
      <c r="S1029" s="518"/>
      <c r="T1029" s="518"/>
      <c r="U1029" s="518"/>
      <c r="V1029" s="518"/>
      <c r="W1029" s="518"/>
      <c r="X1029" s="808"/>
      <c r="Y1029" s="809"/>
      <c r="Z1029" s="609"/>
      <c r="AA1029" s="604"/>
      <c r="AB1029" s="604"/>
      <c r="AC1029" s="604"/>
      <c r="AD1029" s="604"/>
      <c r="AE1029" s="604"/>
      <c r="AF1029" s="604"/>
      <c r="AG1029" s="604"/>
      <c r="AH1029" s="604"/>
      <c r="AI1029" s="604"/>
      <c r="AJ1029" s="604"/>
      <c r="AK1029" s="604"/>
      <c r="AL1029" s="604"/>
      <c r="AM1029" s="604"/>
      <c r="AN1029" s="604"/>
    </row>
    <row r="1030" spans="1:40" ht="15.75" customHeight="1">
      <c r="A1030" s="675">
        <v>45383</v>
      </c>
      <c r="B1030" s="612"/>
      <c r="C1030" s="611" t="s">
        <v>320</v>
      </c>
      <c r="D1030" s="608"/>
      <c r="E1030" s="518"/>
      <c r="F1030" s="518"/>
      <c r="G1030" s="518"/>
      <c r="H1030" s="518"/>
      <c r="I1030" s="518"/>
      <c r="J1030" s="518"/>
      <c r="K1030" s="518">
        <v>37.450000000000003</v>
      </c>
      <c r="L1030" s="518"/>
      <c r="M1030" s="518"/>
      <c r="N1030" s="518"/>
      <c r="O1030" s="518"/>
      <c r="P1030" s="518"/>
      <c r="Q1030" s="518"/>
      <c r="R1030" s="518"/>
      <c r="S1030" s="518"/>
      <c r="T1030" s="518"/>
      <c r="U1030" s="518"/>
      <c r="V1030" s="518"/>
      <c r="W1030" s="518"/>
      <c r="X1030" s="1033">
        <f>K1030</f>
        <v>37.450000000000003</v>
      </c>
      <c r="Y1030" s="809" t="str">
        <f>$K$3</f>
        <v>6495-1</v>
      </c>
      <c r="Z1030" s="609"/>
      <c r="AA1030" s="604"/>
      <c r="AB1030" s="604"/>
      <c r="AC1030" s="604"/>
      <c r="AD1030" s="604"/>
      <c r="AE1030" s="604"/>
      <c r="AF1030" s="604"/>
      <c r="AG1030" s="604"/>
      <c r="AH1030" s="604"/>
      <c r="AI1030" s="604"/>
      <c r="AJ1030" s="604"/>
      <c r="AK1030" s="604"/>
      <c r="AL1030" s="604"/>
      <c r="AM1030" s="604"/>
      <c r="AN1030" s="604"/>
    </row>
    <row r="1031" spans="1:40" ht="15.75" customHeight="1">
      <c r="A1031" s="675">
        <v>45384</v>
      </c>
      <c r="B1031" s="663"/>
      <c r="C1031" s="611" t="s">
        <v>62</v>
      </c>
      <c r="D1031" s="608"/>
      <c r="E1031" s="518"/>
      <c r="F1031" s="518"/>
      <c r="G1031" s="518"/>
      <c r="H1031" s="518"/>
      <c r="I1031" s="518"/>
      <c r="J1031" s="518"/>
      <c r="K1031" s="518"/>
      <c r="L1031" s="518"/>
      <c r="M1031" s="518"/>
      <c r="N1031" s="518"/>
      <c r="O1031" s="518"/>
      <c r="P1031" s="518"/>
      <c r="Q1031" s="518"/>
      <c r="R1031" s="518"/>
      <c r="S1031" s="518"/>
      <c r="T1031" s="518"/>
      <c r="U1031" s="518"/>
      <c r="V1031" s="518">
        <v>1036.55</v>
      </c>
      <c r="W1031" s="518"/>
      <c r="X1031" s="808"/>
      <c r="Y1031" s="809"/>
      <c r="Z1031" s="609"/>
      <c r="AA1031" s="604"/>
      <c r="AB1031" s="604"/>
      <c r="AC1031" s="604"/>
      <c r="AD1031" s="604"/>
      <c r="AE1031" s="604"/>
      <c r="AF1031" s="604"/>
      <c r="AG1031" s="604"/>
      <c r="AH1031" s="604"/>
      <c r="AI1031" s="604"/>
      <c r="AJ1031" s="604"/>
      <c r="AK1031" s="604"/>
      <c r="AL1031" s="604"/>
      <c r="AM1031" s="604"/>
      <c r="AN1031" s="604"/>
    </row>
    <row r="1032" spans="1:40" ht="15.75" customHeight="1">
      <c r="A1032" s="675">
        <v>45384</v>
      </c>
      <c r="B1032" s="612"/>
      <c r="C1032" s="611" t="s">
        <v>63</v>
      </c>
      <c r="D1032" s="608"/>
      <c r="E1032" s="518"/>
      <c r="F1032" s="518"/>
      <c r="G1032" s="518"/>
      <c r="H1032" s="518"/>
      <c r="I1032" s="518"/>
      <c r="J1032" s="518"/>
      <c r="K1032" s="518"/>
      <c r="L1032" s="518"/>
      <c r="M1032" s="518"/>
      <c r="N1032" s="518"/>
      <c r="O1032" s="518"/>
      <c r="P1032" s="518"/>
      <c r="Q1032" s="518"/>
      <c r="R1032" s="518"/>
      <c r="S1032" s="518"/>
      <c r="T1032" s="518">
        <v>292.54000000000002</v>
      </c>
      <c r="U1032" s="518"/>
      <c r="V1032" s="518"/>
      <c r="W1032" s="518"/>
      <c r="X1032" s="808">
        <f>T1032</f>
        <v>292.54000000000002</v>
      </c>
      <c r="Y1032" s="809">
        <f>$T$3</f>
        <v>2300</v>
      </c>
      <c r="Z1032" s="609"/>
      <c r="AA1032" s="604"/>
      <c r="AB1032" s="604"/>
      <c r="AC1032" s="604"/>
      <c r="AD1032" s="604"/>
      <c r="AE1032" s="604"/>
      <c r="AF1032" s="604"/>
      <c r="AG1032" s="604"/>
      <c r="AH1032" s="604"/>
      <c r="AI1032" s="604"/>
      <c r="AJ1032" s="604"/>
      <c r="AK1032" s="604"/>
      <c r="AL1032" s="604"/>
      <c r="AM1032" s="604"/>
      <c r="AN1032" s="604"/>
    </row>
    <row r="1033" spans="1:40" ht="15.75" customHeight="1">
      <c r="A1033" s="675">
        <v>45384</v>
      </c>
      <c r="B1033" s="672">
        <f>'Conversion rates'!B31</f>
        <v>1.1675629999999999</v>
      </c>
      <c r="C1033" s="611" t="s">
        <v>276</v>
      </c>
      <c r="D1033" s="608"/>
      <c r="E1033" s="518"/>
      <c r="F1033" s="518"/>
      <c r="G1033" s="518"/>
      <c r="H1033" s="518"/>
      <c r="I1033" s="518"/>
      <c r="J1033" s="518"/>
      <c r="K1033" s="518"/>
      <c r="L1033" s="518"/>
      <c r="M1033" s="518"/>
      <c r="N1033" s="518"/>
      <c r="O1033" s="518"/>
      <c r="P1033" s="518"/>
      <c r="Q1033" s="518"/>
      <c r="R1033" s="518"/>
      <c r="S1033" s="518"/>
      <c r="T1033" s="518">
        <v>80</v>
      </c>
      <c r="U1033" s="518"/>
      <c r="V1033" s="518"/>
      <c r="W1033" s="518"/>
      <c r="X1033" s="808">
        <f>T1033</f>
        <v>80</v>
      </c>
      <c r="Y1033" s="809">
        <f>$T$3</f>
        <v>2300</v>
      </c>
      <c r="Z1033" s="609"/>
      <c r="AA1033" s="604"/>
      <c r="AB1033" s="604"/>
      <c r="AC1033" s="604"/>
      <c r="AD1033" s="604"/>
      <c r="AE1033" s="604"/>
      <c r="AF1033" s="604"/>
      <c r="AG1033" s="604"/>
      <c r="AH1033" s="604"/>
      <c r="AI1033" s="604"/>
      <c r="AJ1033" s="604"/>
      <c r="AK1033" s="604"/>
      <c r="AL1033" s="604"/>
      <c r="AM1033" s="604"/>
      <c r="AN1033" s="604"/>
    </row>
    <row r="1034" spans="1:40" ht="15.75" customHeight="1">
      <c r="A1034" s="675">
        <v>45384</v>
      </c>
      <c r="B1034" s="615"/>
      <c r="C1034" s="614" t="s">
        <v>421</v>
      </c>
      <c r="D1034" s="608"/>
      <c r="E1034" s="518"/>
      <c r="F1034" s="518"/>
      <c r="G1034" s="518"/>
      <c r="H1034" s="518"/>
      <c r="I1034" s="518"/>
      <c r="J1034" s="518"/>
      <c r="K1034" s="518"/>
      <c r="L1034" s="518"/>
      <c r="M1034" s="518">
        <v>49</v>
      </c>
      <c r="N1034" s="518"/>
      <c r="O1034" s="518"/>
      <c r="P1034" s="518"/>
      <c r="Q1034" s="518"/>
      <c r="R1034" s="518"/>
      <c r="S1034" s="518"/>
      <c r="T1034" s="518"/>
      <c r="U1034" s="518"/>
      <c r="V1034" s="518"/>
      <c r="W1034" s="518"/>
      <c r="X1034" s="808">
        <f>M1034</f>
        <v>49</v>
      </c>
      <c r="Y1034" s="809" t="str">
        <f>$M$3</f>
        <v>6673-2</v>
      </c>
      <c r="Z1034" s="609"/>
      <c r="AA1034" s="604"/>
      <c r="AB1034" s="604"/>
      <c r="AC1034" s="604"/>
      <c r="AD1034" s="604"/>
      <c r="AE1034" s="604"/>
      <c r="AF1034" s="604"/>
      <c r="AG1034" s="604"/>
      <c r="AH1034" s="604"/>
      <c r="AI1034" s="604"/>
      <c r="AJ1034" s="604"/>
      <c r="AK1034" s="604"/>
      <c r="AL1034" s="604"/>
      <c r="AM1034" s="604"/>
      <c r="AN1034" s="604"/>
    </row>
    <row r="1035" spans="1:40" ht="15.75" customHeight="1">
      <c r="A1035" s="675">
        <v>45384</v>
      </c>
      <c r="B1035" s="612" t="s">
        <v>310</v>
      </c>
      <c r="C1035" s="614" t="s">
        <v>384</v>
      </c>
      <c r="D1035" s="608"/>
      <c r="E1035" s="518"/>
      <c r="F1035" s="518"/>
      <c r="G1035" s="518"/>
      <c r="H1035" s="518"/>
      <c r="I1035" s="518"/>
      <c r="J1035" s="518"/>
      <c r="K1035" s="518"/>
      <c r="L1035" s="518"/>
      <c r="M1035" s="616"/>
      <c r="N1035" s="518">
        <f>800*B1033</f>
        <v>934.05039999999997</v>
      </c>
      <c r="O1035" s="518"/>
      <c r="P1035" s="518"/>
      <c r="Q1035" s="518"/>
      <c r="R1035" s="518"/>
      <c r="S1035" s="518"/>
      <c r="T1035" s="518"/>
      <c r="U1035" s="518"/>
      <c r="V1035" s="518"/>
      <c r="W1035" s="518"/>
      <c r="X1035" s="808">
        <f>N1035</f>
        <v>934.05039999999997</v>
      </c>
      <c r="Y1035" s="809">
        <f>$N$3</f>
        <v>6680</v>
      </c>
      <c r="Z1035" s="609"/>
      <c r="AA1035" s="604"/>
      <c r="AB1035" s="604"/>
      <c r="AC1035" s="604"/>
      <c r="AD1035" s="604"/>
      <c r="AE1035" s="604"/>
      <c r="AF1035" s="604"/>
      <c r="AG1035" s="604"/>
      <c r="AH1035" s="604"/>
      <c r="AI1035" s="604"/>
      <c r="AJ1035" s="604"/>
      <c r="AK1035" s="604"/>
      <c r="AL1035" s="604"/>
      <c r="AM1035" s="604"/>
      <c r="AN1035" s="604"/>
    </row>
    <row r="1036" spans="1:40" ht="15.75" customHeight="1" thickBot="1">
      <c r="A1036" s="675">
        <v>45386</v>
      </c>
      <c r="B1036" s="615"/>
      <c r="C1036" s="611" t="s">
        <v>364</v>
      </c>
      <c r="D1036" s="608"/>
      <c r="E1036" s="518"/>
      <c r="F1036" s="518"/>
      <c r="G1036" s="518"/>
      <c r="H1036" s="518"/>
      <c r="I1036" s="518"/>
      <c r="J1036" s="518"/>
      <c r="K1036" s="518">
        <v>11.68</v>
      </c>
      <c r="L1036" s="518"/>
      <c r="M1036" s="518"/>
      <c r="N1036" s="518"/>
      <c r="O1036" s="518"/>
      <c r="P1036" s="518"/>
      <c r="Q1036" s="518"/>
      <c r="R1036" s="518"/>
      <c r="S1036" s="518"/>
      <c r="T1036" s="518"/>
      <c r="U1036" s="518"/>
      <c r="V1036" s="518"/>
      <c r="W1036" s="518"/>
      <c r="X1036" s="1033">
        <f>K1036</f>
        <v>11.68</v>
      </c>
      <c r="Y1036" s="809" t="str">
        <f>$K$3</f>
        <v>6495-1</v>
      </c>
      <c r="Z1036" s="609"/>
      <c r="AA1036" s="604"/>
      <c r="AB1036" s="604"/>
      <c r="AC1036" s="604"/>
      <c r="AD1036" s="604"/>
      <c r="AE1036" s="604"/>
      <c r="AF1036" s="604"/>
      <c r="AG1036" s="604"/>
      <c r="AH1036" s="604"/>
      <c r="AI1036" s="604"/>
      <c r="AJ1036" s="604"/>
      <c r="AK1036" s="604"/>
      <c r="AL1036" s="604"/>
      <c r="AM1036" s="604"/>
      <c r="AN1036" s="604"/>
    </row>
    <row r="1037" spans="1:40" ht="19.2" customHeight="1" thickTop="1" thickBot="1">
      <c r="A1037" s="643"/>
      <c r="B1037" s="676" t="s">
        <v>538</v>
      </c>
      <c r="C1037" s="665" t="s">
        <v>339</v>
      </c>
      <c r="D1037" s="666"/>
      <c r="E1037" s="647"/>
      <c r="F1037" s="647"/>
      <c r="G1037" s="647"/>
      <c r="H1037" s="667">
        <f>Zusammenfassung!H26</f>
        <v>1</v>
      </c>
      <c r="I1037" s="667">
        <f>Zusammenfassung!I26</f>
        <v>1</v>
      </c>
      <c r="J1037" s="667">
        <f>Zusammenfassung!J26</f>
        <v>0.6</v>
      </c>
      <c r="K1037" s="667">
        <f>Zusammenfassung!K26</f>
        <v>0.6</v>
      </c>
      <c r="L1037" s="667">
        <f>Zusammenfassung!L26</f>
        <v>0.6</v>
      </c>
      <c r="M1037" s="667">
        <f>Zusammenfassung!M26</f>
        <v>1</v>
      </c>
      <c r="N1037" s="667">
        <f>Zusammenfassung!N26</f>
        <v>1</v>
      </c>
      <c r="O1037" s="667">
        <f>Zusammenfassung!O26</f>
        <v>0</v>
      </c>
      <c r="P1037" s="667">
        <f>Zusammenfassung!P26</f>
        <v>1</v>
      </c>
      <c r="Q1037" s="667">
        <f>Zusammenfassung!Q26</f>
        <v>0.6</v>
      </c>
      <c r="R1037" s="667">
        <f>Zusammenfassung!R26</f>
        <v>1</v>
      </c>
      <c r="S1037" s="667">
        <f>Zusammenfassung!S26</f>
        <v>0.6</v>
      </c>
      <c r="T1037" s="668"/>
      <c r="U1037" s="668"/>
      <c r="V1037" s="668"/>
      <c r="W1037" s="668"/>
      <c r="X1037" s="808"/>
      <c r="Y1037" s="809"/>
      <c r="Z1037" s="677"/>
      <c r="AA1037" s="604"/>
      <c r="AB1037" s="604"/>
      <c r="AC1037" s="604"/>
      <c r="AD1037" s="604"/>
      <c r="AE1037" s="604"/>
      <c r="AF1037" s="604"/>
      <c r="AG1037" s="604"/>
      <c r="AH1037" s="604"/>
      <c r="AI1037" s="604"/>
      <c r="AJ1037" s="604"/>
      <c r="AK1037" s="604"/>
      <c r="AL1037" s="604"/>
      <c r="AM1037" s="604"/>
      <c r="AN1037" s="604"/>
    </row>
    <row r="1038" spans="1:40" ht="15.75" customHeight="1" thickTop="1">
      <c r="A1038" s="669">
        <v>45397</v>
      </c>
      <c r="B1038" s="612"/>
      <c r="C1038" s="611" t="s">
        <v>506</v>
      </c>
      <c r="D1038" s="608"/>
      <c r="E1038" s="518"/>
      <c r="F1038" s="518"/>
      <c r="G1038" s="518"/>
      <c r="H1038" s="518"/>
      <c r="I1038" s="518"/>
      <c r="J1038" s="518"/>
      <c r="K1038" s="518"/>
      <c r="L1038" s="518"/>
      <c r="M1038" s="518"/>
      <c r="N1038" s="518"/>
      <c r="O1038" s="518"/>
      <c r="P1038" s="518"/>
      <c r="Q1038" s="518"/>
      <c r="R1038" s="518"/>
      <c r="S1038" s="518"/>
      <c r="T1038" s="518">
        <v>41.26</v>
      </c>
      <c r="U1038" s="518"/>
      <c r="V1038" s="518"/>
      <c r="W1038" s="518"/>
      <c r="X1038" s="808">
        <f>T1038</f>
        <v>41.26</v>
      </c>
      <c r="Y1038" s="809">
        <f>$T$3</f>
        <v>2300</v>
      </c>
      <c r="Z1038" s="609"/>
      <c r="AA1038" s="604"/>
      <c r="AB1038" s="604"/>
      <c r="AC1038" s="604"/>
      <c r="AD1038" s="604"/>
      <c r="AE1038" s="604"/>
      <c r="AF1038" s="604"/>
      <c r="AG1038" s="604"/>
      <c r="AH1038" s="604"/>
      <c r="AI1038" s="604"/>
      <c r="AJ1038" s="604"/>
      <c r="AK1038" s="604"/>
      <c r="AL1038" s="604"/>
      <c r="AM1038" s="604"/>
      <c r="AN1038" s="604"/>
    </row>
    <row r="1039" spans="1:40" ht="18" customHeight="1">
      <c r="A1039" s="669">
        <v>45397</v>
      </c>
      <c r="B1039" s="615"/>
      <c r="C1039" s="611" t="s">
        <v>341</v>
      </c>
      <c r="D1039" s="608"/>
      <c r="E1039" s="518"/>
      <c r="F1039" s="518"/>
      <c r="G1039" s="518"/>
      <c r="H1039" s="518">
        <v>850.25</v>
      </c>
      <c r="I1039" s="518"/>
      <c r="J1039" s="518"/>
      <c r="K1039" s="518"/>
      <c r="L1039" s="518"/>
      <c r="M1039" s="518"/>
      <c r="N1039" s="518"/>
      <c r="O1039" s="518"/>
      <c r="P1039" s="518"/>
      <c r="Q1039" s="518"/>
      <c r="R1039" s="518"/>
      <c r="S1039" s="518"/>
      <c r="T1039" s="518"/>
      <c r="U1039" s="518"/>
      <c r="V1039" s="518"/>
      <c r="W1039" s="518"/>
      <c r="X1039" s="1033">
        <f>H1039</f>
        <v>850.25</v>
      </c>
      <c r="Y1039" s="809">
        <f>$H$3</f>
        <v>2200</v>
      </c>
      <c r="Z1039" s="609"/>
      <c r="AA1039" s="604"/>
      <c r="AB1039" s="604"/>
      <c r="AC1039" s="604"/>
      <c r="AD1039" s="604"/>
      <c r="AE1039" s="604"/>
      <c r="AF1039" s="604"/>
      <c r="AG1039" s="604"/>
      <c r="AH1039" s="604"/>
      <c r="AI1039" s="604"/>
      <c r="AJ1039" s="604"/>
      <c r="AK1039" s="604"/>
      <c r="AL1039" s="604"/>
      <c r="AM1039" s="604"/>
      <c r="AN1039" s="604"/>
    </row>
    <row r="1040" spans="1:40" ht="15.75" customHeight="1">
      <c r="A1040" s="669">
        <v>45399</v>
      </c>
      <c r="B1040" s="613"/>
      <c r="C1040" s="611" t="s">
        <v>111</v>
      </c>
      <c r="D1040" s="608"/>
      <c r="E1040" s="518"/>
      <c r="F1040" s="518"/>
      <c r="G1040" s="518"/>
      <c r="H1040" s="518"/>
      <c r="I1040" s="518"/>
      <c r="J1040" s="518"/>
      <c r="K1040" s="518">
        <v>34.99</v>
      </c>
      <c r="L1040" s="518"/>
      <c r="M1040" s="518"/>
      <c r="N1040" s="518"/>
      <c r="O1040" s="518"/>
      <c r="P1040" s="518"/>
      <c r="Q1040" s="518"/>
      <c r="R1040" s="518"/>
      <c r="S1040" s="518"/>
      <c r="T1040" s="518"/>
      <c r="U1040" s="518"/>
      <c r="V1040" s="518"/>
      <c r="W1040" s="518"/>
      <c r="X1040" s="1033">
        <f>K1040</f>
        <v>34.99</v>
      </c>
      <c r="Y1040" s="809" t="str">
        <f>$K$3</f>
        <v>6495-1</v>
      </c>
      <c r="Z1040" s="609"/>
      <c r="AA1040" s="604"/>
      <c r="AB1040" s="604"/>
      <c r="AC1040" s="604"/>
      <c r="AD1040" s="604"/>
      <c r="AE1040" s="604"/>
      <c r="AF1040" s="604"/>
      <c r="AG1040" s="604"/>
      <c r="AH1040" s="604"/>
      <c r="AI1040" s="604"/>
      <c r="AJ1040" s="604"/>
      <c r="AK1040" s="604"/>
      <c r="AL1040" s="604"/>
      <c r="AM1040" s="604"/>
      <c r="AN1040" s="604"/>
    </row>
    <row r="1041" spans="1:40" ht="15.75" customHeight="1">
      <c r="A1041" s="669">
        <v>45399</v>
      </c>
      <c r="B1041" s="615"/>
      <c r="C1041" s="614" t="s">
        <v>508</v>
      </c>
      <c r="D1041" s="608"/>
      <c r="E1041" s="518"/>
      <c r="F1041" s="518"/>
      <c r="G1041" s="518"/>
      <c r="H1041" s="518"/>
      <c r="I1041" s="518"/>
      <c r="J1041" s="518"/>
      <c r="K1041" s="518"/>
      <c r="L1041" s="518"/>
      <c r="M1041" s="518"/>
      <c r="N1041" s="518"/>
      <c r="O1041" s="518"/>
      <c r="P1041" s="518"/>
      <c r="Q1041" s="518">
        <v>3.6</v>
      </c>
      <c r="R1041" s="518"/>
      <c r="S1041" s="518"/>
      <c r="T1041" s="518"/>
      <c r="U1041" s="518"/>
      <c r="V1041" s="518"/>
      <c r="W1041" s="518"/>
      <c r="X1041" s="808">
        <f>Q1041</f>
        <v>3.6</v>
      </c>
      <c r="Y1041" s="809" t="str">
        <f>$Q$3</f>
        <v>6495-2</v>
      </c>
      <c r="Z1041" s="609"/>
      <c r="AA1041" s="604"/>
      <c r="AB1041" s="604"/>
      <c r="AC1041" s="604"/>
      <c r="AD1041" s="604"/>
      <c r="AE1041" s="604"/>
      <c r="AF1041" s="604"/>
      <c r="AG1041" s="604"/>
      <c r="AH1041" s="604"/>
      <c r="AI1041" s="604"/>
      <c r="AJ1041" s="604"/>
      <c r="AK1041" s="604"/>
      <c r="AL1041" s="604"/>
      <c r="AM1041" s="604"/>
      <c r="AN1041" s="604"/>
    </row>
    <row r="1042" spans="1:40" ht="15.75" customHeight="1">
      <c r="A1042" s="669">
        <v>45400</v>
      </c>
      <c r="B1042" s="613"/>
      <c r="C1042" s="611" t="s">
        <v>78</v>
      </c>
      <c r="D1042" s="608"/>
      <c r="E1042" s="518"/>
      <c r="F1042" s="518"/>
      <c r="G1042" s="518"/>
      <c r="H1042" s="518"/>
      <c r="I1042" s="518"/>
      <c r="J1042" s="518">
        <v>19.98</v>
      </c>
      <c r="K1042" s="518"/>
      <c r="L1042" s="518"/>
      <c r="M1042" s="518"/>
      <c r="N1042" s="518"/>
      <c r="O1042" s="518"/>
      <c r="P1042" s="518"/>
      <c r="Q1042" s="518"/>
      <c r="R1042" s="518"/>
      <c r="S1042" s="518"/>
      <c r="T1042" s="518"/>
      <c r="U1042" s="518"/>
      <c r="V1042" s="518"/>
      <c r="W1042" s="518"/>
      <c r="X1042" s="1033">
        <f>J1042</f>
        <v>19.98</v>
      </c>
      <c r="Y1042" s="809">
        <f>$J$3</f>
        <v>6805</v>
      </c>
      <c r="Z1042" s="609"/>
      <c r="AA1042" s="604"/>
      <c r="AB1042" s="604"/>
      <c r="AC1042" s="604"/>
      <c r="AD1042" s="604"/>
      <c r="AE1042" s="604"/>
      <c r="AF1042" s="604"/>
      <c r="AG1042" s="604"/>
      <c r="AH1042" s="604"/>
      <c r="AI1042" s="604"/>
      <c r="AJ1042" s="604"/>
      <c r="AK1042" s="604"/>
      <c r="AL1042" s="604"/>
      <c r="AM1042" s="604"/>
      <c r="AN1042" s="604"/>
    </row>
    <row r="1043" spans="1:40" ht="15.75" customHeight="1">
      <c r="A1043" s="669">
        <v>45404</v>
      </c>
      <c r="B1043" s="612"/>
      <c r="C1043" s="611" t="s">
        <v>194</v>
      </c>
      <c r="D1043" s="608"/>
      <c r="E1043" s="518"/>
      <c r="F1043" s="518"/>
      <c r="G1043" s="518"/>
      <c r="H1043" s="518"/>
      <c r="I1043" s="518"/>
      <c r="J1043" s="518"/>
      <c r="K1043" s="518"/>
      <c r="L1043" s="518"/>
      <c r="M1043" s="518"/>
      <c r="N1043" s="518"/>
      <c r="O1043" s="518"/>
      <c r="P1043" s="518"/>
      <c r="Q1043" s="518"/>
      <c r="R1043" s="518"/>
      <c r="S1043" s="518">
        <v>11.5</v>
      </c>
      <c r="T1043" s="518"/>
      <c r="U1043" s="518"/>
      <c r="V1043" s="518"/>
      <c r="W1043" s="518"/>
      <c r="X1043" s="808">
        <f>S1043</f>
        <v>11.5</v>
      </c>
      <c r="Y1043" s="809">
        <f>$S$3</f>
        <v>6855</v>
      </c>
      <c r="Z1043" s="609"/>
      <c r="AA1043" s="604"/>
      <c r="AB1043" s="604"/>
      <c r="AC1043" s="604"/>
      <c r="AD1043" s="604"/>
      <c r="AE1043" s="604"/>
      <c r="AF1043" s="604"/>
      <c r="AG1043" s="604"/>
      <c r="AH1043" s="604"/>
      <c r="AI1043" s="604"/>
      <c r="AJ1043" s="604"/>
      <c r="AK1043" s="604"/>
      <c r="AL1043" s="604"/>
      <c r="AM1043" s="604"/>
      <c r="AN1043" s="604"/>
    </row>
    <row r="1044" spans="1:40" ht="15.75" customHeight="1">
      <c r="A1044" s="669">
        <v>45405</v>
      </c>
      <c r="B1044" s="615"/>
      <c r="C1044" s="611" t="s">
        <v>364</v>
      </c>
      <c r="D1044" s="608"/>
      <c r="E1044" s="518"/>
      <c r="F1044" s="518"/>
      <c r="G1044" s="518"/>
      <c r="H1044" s="518"/>
      <c r="I1044" s="518"/>
      <c r="J1044" s="518"/>
      <c r="K1044" s="518">
        <v>11.64</v>
      </c>
      <c r="L1044" s="518"/>
      <c r="M1044" s="518"/>
      <c r="N1044" s="518"/>
      <c r="O1044" s="518"/>
      <c r="P1044" s="518"/>
      <c r="Q1044" s="518"/>
      <c r="R1044" s="518"/>
      <c r="S1044" s="518"/>
      <c r="T1044" s="518"/>
      <c r="U1044" s="518"/>
      <c r="V1044" s="518"/>
      <c r="W1044" s="518"/>
      <c r="X1044" s="1033">
        <f>K1044</f>
        <v>11.64</v>
      </c>
      <c r="Y1044" s="809" t="str">
        <f>$K$3</f>
        <v>6495-1</v>
      </c>
      <c r="Z1044" s="609"/>
      <c r="AA1044" s="604"/>
      <c r="AB1044" s="604"/>
      <c r="AC1044" s="604"/>
      <c r="AD1044" s="604"/>
      <c r="AE1044" s="604"/>
      <c r="AF1044" s="604"/>
      <c r="AG1044" s="604"/>
      <c r="AH1044" s="604"/>
      <c r="AI1044" s="604"/>
      <c r="AJ1044" s="604"/>
      <c r="AK1044" s="604"/>
      <c r="AL1044" s="604"/>
      <c r="AM1044" s="604"/>
      <c r="AN1044" s="604"/>
    </row>
    <row r="1045" spans="1:40" ht="15.75" customHeight="1">
      <c r="A1045" s="669">
        <v>45406</v>
      </c>
      <c r="B1045" s="615"/>
      <c r="C1045" s="611" t="s">
        <v>344</v>
      </c>
      <c r="D1045" s="608"/>
      <c r="E1045" s="518"/>
      <c r="F1045" s="518"/>
      <c r="G1045" s="518"/>
      <c r="H1045" s="518"/>
      <c r="I1045" s="518"/>
      <c r="J1045" s="518"/>
      <c r="K1045" s="518"/>
      <c r="L1045" s="518"/>
      <c r="M1045" s="518"/>
      <c r="N1045" s="518"/>
      <c r="O1045" s="518"/>
      <c r="P1045" s="518"/>
      <c r="Q1045" s="518"/>
      <c r="R1045" s="518"/>
      <c r="S1045" s="518">
        <v>6.07</v>
      </c>
      <c r="T1045" s="518"/>
      <c r="U1045" s="518"/>
      <c r="V1045" s="518"/>
      <c r="W1045" s="518"/>
      <c r="X1045" s="808">
        <f>S1045</f>
        <v>6.07</v>
      </c>
      <c r="Y1045" s="809">
        <f>$S$3</f>
        <v>6855</v>
      </c>
      <c r="Z1045" s="609"/>
      <c r="AA1045" s="604"/>
      <c r="AB1045" s="604"/>
      <c r="AC1045" s="604"/>
      <c r="AD1045" s="604"/>
      <c r="AE1045" s="604"/>
      <c r="AF1045" s="604"/>
      <c r="AG1045" s="604"/>
      <c r="AH1045" s="604"/>
      <c r="AI1045" s="604"/>
      <c r="AJ1045" s="604"/>
      <c r="AK1045" s="604"/>
      <c r="AL1045" s="604"/>
      <c r="AM1045" s="604"/>
      <c r="AN1045" s="604"/>
    </row>
    <row r="1046" spans="1:40" ht="15.75" customHeight="1">
      <c r="A1046" s="669">
        <v>45412</v>
      </c>
      <c r="B1046" s="615"/>
      <c r="C1046" s="614" t="s">
        <v>260</v>
      </c>
      <c r="D1046" s="608"/>
      <c r="E1046" s="518">
        <v>605.5</v>
      </c>
      <c r="F1046" s="518"/>
      <c r="G1046" s="518"/>
      <c r="H1046" s="518"/>
      <c r="I1046" s="518"/>
      <c r="J1046" s="518"/>
      <c r="K1046" s="518"/>
      <c r="L1046" s="518"/>
      <c r="M1046" s="518"/>
      <c r="N1046" s="518"/>
      <c r="O1046" s="518"/>
      <c r="P1046" s="518"/>
      <c r="Q1046" s="518"/>
      <c r="R1046" s="518"/>
      <c r="S1046" s="518"/>
      <c r="T1046" s="518"/>
      <c r="U1046" s="518"/>
      <c r="V1046" s="518"/>
      <c r="W1046" s="518"/>
      <c r="X1046" s="808">
        <f>E1046</f>
        <v>605.5</v>
      </c>
      <c r="Y1046" s="809" t="s">
        <v>2304</v>
      </c>
      <c r="Z1046" s="609"/>
      <c r="AA1046" s="604"/>
      <c r="AB1046" s="604"/>
      <c r="AC1046" s="604"/>
      <c r="AD1046" s="604"/>
      <c r="AE1046" s="604"/>
      <c r="AF1046" s="604"/>
      <c r="AG1046" s="604"/>
      <c r="AH1046" s="604"/>
      <c r="AI1046" s="604"/>
      <c r="AJ1046" s="604"/>
      <c r="AK1046" s="604"/>
      <c r="AL1046" s="604"/>
      <c r="AM1046" s="604"/>
      <c r="AN1046" s="604"/>
    </row>
    <row r="1047" spans="1:40" ht="15.75" customHeight="1">
      <c r="A1047" s="669"/>
      <c r="B1047" s="612"/>
      <c r="C1047" s="611"/>
      <c r="D1047" s="608"/>
      <c r="E1047" s="518"/>
      <c r="F1047" s="518"/>
      <c r="G1047" s="518"/>
      <c r="H1047" s="518"/>
      <c r="I1047" s="518"/>
      <c r="J1047" s="518"/>
      <c r="K1047" s="518"/>
      <c r="L1047" s="518"/>
      <c r="M1047" s="518"/>
      <c r="N1047" s="518"/>
      <c r="O1047" s="518"/>
      <c r="P1047" s="518"/>
      <c r="Q1047" s="518"/>
      <c r="R1047" s="518"/>
      <c r="S1047" s="518"/>
      <c r="T1047" s="518"/>
      <c r="U1047" s="518"/>
      <c r="V1047" s="518"/>
      <c r="W1047" s="518"/>
      <c r="X1047" s="808"/>
      <c r="Y1047" s="809"/>
      <c r="Z1047" s="609"/>
      <c r="AA1047" s="604"/>
      <c r="AB1047" s="604"/>
      <c r="AC1047" s="604"/>
      <c r="AD1047" s="604"/>
      <c r="AE1047" s="604"/>
      <c r="AF1047" s="604"/>
      <c r="AG1047" s="604"/>
      <c r="AH1047" s="604"/>
      <c r="AI1047" s="604"/>
      <c r="AJ1047" s="604"/>
      <c r="AK1047" s="604"/>
      <c r="AL1047" s="604"/>
      <c r="AM1047" s="604"/>
      <c r="AN1047" s="604"/>
    </row>
    <row r="1048" spans="1:40" ht="15.75" customHeight="1">
      <c r="A1048" s="670"/>
      <c r="B1048" s="620"/>
      <c r="C1048" s="621"/>
      <c r="D1048" s="622"/>
      <c r="E1048" s="623"/>
      <c r="F1048" s="623"/>
      <c r="G1048" s="623"/>
      <c r="H1048" s="623"/>
      <c r="I1048" s="623"/>
      <c r="J1048" s="623"/>
      <c r="K1048" s="623"/>
      <c r="L1048" s="623"/>
      <c r="M1048" s="623"/>
      <c r="N1048" s="623"/>
      <c r="O1048" s="623"/>
      <c r="P1048" s="623"/>
      <c r="Q1048" s="623"/>
      <c r="R1048" s="623"/>
      <c r="S1048" s="623"/>
      <c r="T1048" s="623"/>
      <c r="U1048" s="623"/>
      <c r="V1048" s="623"/>
      <c r="W1048" s="623"/>
      <c r="X1048" s="808"/>
      <c r="Y1048" s="809"/>
      <c r="Z1048" s="623"/>
      <c r="AA1048" s="604"/>
      <c r="AB1048" s="604"/>
      <c r="AC1048" s="604"/>
      <c r="AD1048" s="604"/>
      <c r="AE1048" s="604"/>
      <c r="AF1048" s="604"/>
      <c r="AG1048" s="604"/>
      <c r="AH1048" s="604"/>
      <c r="AI1048" s="604"/>
      <c r="AJ1048" s="604"/>
      <c r="AK1048" s="604"/>
      <c r="AL1048" s="604"/>
      <c r="AM1048" s="604"/>
      <c r="AN1048" s="604"/>
    </row>
    <row r="1049" spans="1:40" ht="15.75" customHeight="1">
      <c r="A1049" s="675"/>
      <c r="B1049" s="596"/>
      <c r="C1049" s="624"/>
      <c r="D1049" s="608"/>
      <c r="E1049" s="518"/>
      <c r="F1049" s="518"/>
      <c r="G1049" s="518"/>
      <c r="H1049" s="518"/>
      <c r="I1049" s="518"/>
      <c r="J1049" s="518"/>
      <c r="K1049" s="518"/>
      <c r="L1049" s="518"/>
      <c r="M1049" s="518"/>
      <c r="N1049" s="518"/>
      <c r="O1049" s="518"/>
      <c r="P1049" s="518"/>
      <c r="Q1049" s="518"/>
      <c r="R1049" s="518"/>
      <c r="S1049" s="518"/>
      <c r="T1049" s="604"/>
      <c r="U1049" s="604"/>
      <c r="V1049" s="604"/>
      <c r="W1049" s="604"/>
      <c r="X1049" s="808"/>
      <c r="Y1049" s="809"/>
      <c r="Z1049" s="678"/>
      <c r="AA1049" s="604"/>
      <c r="AB1049" s="604"/>
      <c r="AC1049" s="604"/>
      <c r="AD1049" s="604"/>
      <c r="AE1049" s="604"/>
      <c r="AF1049" s="604"/>
      <c r="AG1049" s="604"/>
      <c r="AH1049" s="604"/>
      <c r="AI1049" s="604"/>
      <c r="AJ1049" s="604"/>
      <c r="AK1049" s="604"/>
      <c r="AL1049" s="604"/>
      <c r="AM1049" s="604"/>
      <c r="AN1049" s="604"/>
    </row>
    <row r="1050" spans="1:40" ht="15.75" customHeight="1">
      <c r="A1050" s="675">
        <v>45383</v>
      </c>
      <c r="B1050" s="596"/>
      <c r="C1050" s="616" t="s">
        <v>207</v>
      </c>
      <c r="D1050" s="608"/>
      <c r="E1050" s="518"/>
      <c r="F1050" s="518"/>
      <c r="G1050" s="518"/>
      <c r="H1050" s="518"/>
      <c r="I1050" s="518"/>
      <c r="J1050" s="518"/>
      <c r="K1050" s="518"/>
      <c r="L1050" s="518"/>
      <c r="M1050" s="518">
        <v>24.68</v>
      </c>
      <c r="N1050" s="518"/>
      <c r="O1050" s="518"/>
      <c r="P1050" s="518"/>
      <c r="Q1050" s="518"/>
      <c r="R1050" s="518"/>
      <c r="S1050" s="518"/>
      <c r="T1050" s="604"/>
      <c r="U1050" s="604"/>
      <c r="V1050" s="604"/>
      <c r="W1050" s="604"/>
      <c r="X1050" s="808">
        <f>M1050</f>
        <v>24.68</v>
      </c>
      <c r="Y1050" s="809" t="str">
        <f>$M$3</f>
        <v>6673-2</v>
      </c>
      <c r="Z1050" s="678"/>
      <c r="AA1050" s="604"/>
      <c r="AB1050" s="604"/>
      <c r="AC1050" s="604"/>
      <c r="AD1050" s="604"/>
      <c r="AE1050" s="604"/>
      <c r="AF1050" s="604"/>
      <c r="AG1050" s="604"/>
      <c r="AH1050" s="604"/>
      <c r="AI1050" s="604"/>
      <c r="AJ1050" s="604"/>
      <c r="AK1050" s="604"/>
      <c r="AL1050" s="604"/>
      <c r="AM1050" s="604"/>
      <c r="AN1050" s="604"/>
    </row>
    <row r="1051" spans="1:40" ht="15.75" customHeight="1">
      <c r="A1051" s="675">
        <v>45384</v>
      </c>
      <c r="B1051" s="596"/>
      <c r="C1051" s="616" t="s">
        <v>82</v>
      </c>
      <c r="D1051" s="608"/>
      <c r="E1051" s="518"/>
      <c r="F1051" s="518"/>
      <c r="G1051" s="608"/>
      <c r="H1051" s="518"/>
      <c r="I1051" s="518"/>
      <c r="J1051" s="518"/>
      <c r="K1051" s="518"/>
      <c r="L1051" s="518">
        <v>119.32</v>
      </c>
      <c r="M1051" s="518"/>
      <c r="N1051" s="518"/>
      <c r="O1051" s="518"/>
      <c r="P1051" s="518"/>
      <c r="Q1051" s="518"/>
      <c r="R1051" s="518"/>
      <c r="S1051" s="518"/>
      <c r="T1051" s="604"/>
      <c r="U1051" s="604"/>
      <c r="V1051" s="604"/>
      <c r="W1051" s="604"/>
      <c r="X1051" s="1033">
        <f>L1051</f>
        <v>119.32</v>
      </c>
      <c r="Y1051" s="809" t="str">
        <f>$L$3</f>
        <v>6673-1</v>
      </c>
      <c r="Z1051" s="678"/>
      <c r="AA1051" s="604"/>
      <c r="AB1051" s="604"/>
      <c r="AC1051" s="604"/>
      <c r="AD1051" s="604"/>
      <c r="AE1051" s="604"/>
      <c r="AF1051" s="604"/>
      <c r="AG1051" s="604"/>
      <c r="AH1051" s="604"/>
      <c r="AI1051" s="604"/>
      <c r="AJ1051" s="604"/>
      <c r="AK1051" s="604"/>
      <c r="AL1051" s="604"/>
      <c r="AM1051" s="604"/>
      <c r="AN1051" s="604"/>
    </row>
    <row r="1052" spans="1:40" ht="15.75" customHeight="1" thickBot="1">
      <c r="A1052" s="675">
        <v>45386</v>
      </c>
      <c r="B1052" s="596"/>
      <c r="C1052" s="616" t="s">
        <v>207</v>
      </c>
      <c r="D1052" s="608"/>
      <c r="E1052" s="518"/>
      <c r="F1052" s="518"/>
      <c r="G1052" s="608"/>
      <c r="H1052" s="518"/>
      <c r="I1052" s="518"/>
      <c r="J1052" s="518"/>
      <c r="K1052" s="518"/>
      <c r="L1052" s="518"/>
      <c r="M1052" s="518">
        <v>29.51</v>
      </c>
      <c r="N1052" s="518"/>
      <c r="O1052" s="518"/>
      <c r="P1052" s="518"/>
      <c r="Q1052" s="518"/>
      <c r="R1052" s="518"/>
      <c r="S1052" s="518"/>
      <c r="T1052" s="604"/>
      <c r="U1052" s="604"/>
      <c r="V1052" s="604"/>
      <c r="W1052" s="604"/>
      <c r="X1052" s="808">
        <f>M1052</f>
        <v>29.51</v>
      </c>
      <c r="Y1052" s="809" t="str">
        <f>$M$3</f>
        <v>6673-2</v>
      </c>
      <c r="Z1052" s="678"/>
      <c r="AA1052" s="604"/>
      <c r="AB1052" s="604"/>
      <c r="AC1052" s="604"/>
      <c r="AD1052" s="604"/>
      <c r="AE1052" s="604"/>
      <c r="AF1052" s="604"/>
      <c r="AG1052" s="604"/>
      <c r="AH1052" s="604"/>
      <c r="AI1052" s="604"/>
      <c r="AJ1052" s="604"/>
      <c r="AK1052" s="604"/>
      <c r="AL1052" s="604"/>
      <c r="AM1052" s="604"/>
      <c r="AN1052" s="604"/>
    </row>
    <row r="1053" spans="1:40" ht="20.25" customHeight="1" thickTop="1" thickBot="1">
      <c r="A1053" s="643"/>
      <c r="B1053" s="644"/>
      <c r="C1053" s="679" t="s">
        <v>539</v>
      </c>
      <c r="D1053" s="680">
        <f>ROUND((SUM(D498:D1036)+SUM(D1049:D1052)-SUM(D4:D6)),0)</f>
        <v>0</v>
      </c>
      <c r="E1053" s="681">
        <f>ROUND((SUM(E498:E1036)+SUM(E1049:E1052)-SUM(E4:E6)),0)</f>
        <v>0</v>
      </c>
      <c r="F1053" s="681">
        <f>ROUND((SUM(F498:F1036)+SUM(F1049:F1052)-SUM(F4:F6)),0)</f>
        <v>0</v>
      </c>
      <c r="G1053" s="681">
        <f>ROUND((SUM(G498:G1036)+SUM(G1049:G1052)-SUM(G4:G6)),0)</f>
        <v>0</v>
      </c>
      <c r="H1053" s="681">
        <f t="shared" ref="H1053:S1053" si="6">ROUND((SUM(H498:H1036)+SUM(H1049:H1052)-SUM(H4:H6)),0)-1</f>
        <v>0</v>
      </c>
      <c r="I1053" s="681">
        <f t="shared" si="6"/>
        <v>0</v>
      </c>
      <c r="J1053" s="681">
        <f t="shared" si="6"/>
        <v>0</v>
      </c>
      <c r="K1053" s="681">
        <f t="shared" si="6"/>
        <v>0</v>
      </c>
      <c r="L1053" s="681">
        <f t="shared" si="6"/>
        <v>0</v>
      </c>
      <c r="M1053" s="681">
        <f t="shared" si="6"/>
        <v>0</v>
      </c>
      <c r="N1053" s="681">
        <f t="shared" si="6"/>
        <v>0</v>
      </c>
      <c r="O1053" s="681">
        <f t="shared" si="6"/>
        <v>-1</v>
      </c>
      <c r="P1053" s="681">
        <f t="shared" si="6"/>
        <v>0</v>
      </c>
      <c r="Q1053" s="681">
        <f t="shared" si="6"/>
        <v>0</v>
      </c>
      <c r="R1053" s="681">
        <f t="shared" si="6"/>
        <v>0</v>
      </c>
      <c r="S1053" s="681">
        <f t="shared" si="6"/>
        <v>0</v>
      </c>
      <c r="T1053" s="681">
        <f>ROUND((SUM(T498:T1036)+SUM(T1049:T1052)-SUM(T4:T6)),0)</f>
        <v>0</v>
      </c>
      <c r="U1053" s="681">
        <f>ROUND((SUM(U498:U1036)+SUM(U1049:U1052)-SUM(U4:U6)),0)</f>
        <v>0</v>
      </c>
      <c r="V1053" s="681">
        <f>ROUND((SUM(V498:V1036)+SUM(V1049:V1052)-SUM(V4:V6)),0)</f>
        <v>0</v>
      </c>
      <c r="W1053" s="681">
        <f>ROUND((SUM(W498:W1036)+SUM(W1049:W1052)-SUM(W4:W6)),0)</f>
        <v>0</v>
      </c>
      <c r="X1053" s="808"/>
      <c r="Y1053" s="809"/>
      <c r="Z1053" s="682"/>
      <c r="AA1053" s="682"/>
      <c r="AB1053" s="682"/>
      <c r="AC1053" s="682"/>
      <c r="AD1053" s="682"/>
      <c r="AE1053" s="682"/>
      <c r="AF1053" s="682"/>
      <c r="AG1053" s="682"/>
      <c r="AH1053" s="682"/>
      <c r="AI1053" s="682"/>
      <c r="AJ1053" s="682"/>
      <c r="AK1053" s="682"/>
      <c r="AL1053" s="682"/>
      <c r="AM1053" s="682"/>
      <c r="AN1053" s="682"/>
    </row>
    <row r="1054" spans="1:40" ht="15.75" customHeight="1" thickTop="1">
      <c r="A1054" s="669">
        <v>45391</v>
      </c>
      <c r="B1054" s="624" t="s">
        <v>540</v>
      </c>
      <c r="C1054" s="616" t="s">
        <v>214</v>
      </c>
      <c r="D1054" s="608">
        <v>3100</v>
      </c>
      <c r="E1054" s="518"/>
      <c r="F1054" s="518"/>
      <c r="G1054" s="608"/>
      <c r="H1054" s="518"/>
      <c r="I1054" s="518"/>
      <c r="J1054" s="518"/>
      <c r="K1054" s="518"/>
      <c r="L1054" s="518"/>
      <c r="M1054" s="518"/>
      <c r="N1054" s="518"/>
      <c r="O1054" s="518"/>
      <c r="P1054" s="518"/>
      <c r="Q1054" s="518"/>
      <c r="R1054" s="518"/>
      <c r="S1054" s="518"/>
      <c r="T1054" s="604"/>
      <c r="U1054" s="604"/>
      <c r="V1054" s="604"/>
      <c r="W1054" s="604"/>
      <c r="X1054" s="1034">
        <f>D1054</f>
        <v>3100</v>
      </c>
      <c r="Y1054" s="809" t="s">
        <v>2300</v>
      </c>
      <c r="Z1054" s="609"/>
      <c r="AA1054" s="604"/>
      <c r="AB1054" s="604"/>
      <c r="AC1054" s="604"/>
      <c r="AD1054" s="604"/>
      <c r="AE1054" s="604"/>
      <c r="AF1054" s="604"/>
      <c r="AG1054" s="604"/>
      <c r="AH1054" s="604"/>
      <c r="AI1054" s="604"/>
      <c r="AJ1054" s="604"/>
      <c r="AK1054" s="604"/>
      <c r="AL1054" s="604"/>
      <c r="AM1054" s="604"/>
      <c r="AN1054" s="604"/>
    </row>
    <row r="1055" spans="1:40" ht="15.75" customHeight="1">
      <c r="A1055" s="669">
        <v>45392</v>
      </c>
      <c r="B1055" s="624" t="s">
        <v>541</v>
      </c>
      <c r="C1055" s="624" t="s">
        <v>91</v>
      </c>
      <c r="D1055" s="608"/>
      <c r="E1055" s="518">
        <v>2410</v>
      </c>
      <c r="F1055" s="518"/>
      <c r="G1055" s="608"/>
      <c r="H1055" s="518"/>
      <c r="I1055" s="518"/>
      <c r="J1055" s="518"/>
      <c r="K1055" s="518"/>
      <c r="L1055" s="518"/>
      <c r="M1055" s="518"/>
      <c r="N1055" s="518"/>
      <c r="O1055" s="518"/>
      <c r="P1055" s="518"/>
      <c r="Q1055" s="518"/>
      <c r="R1055" s="518"/>
      <c r="S1055" s="518"/>
      <c r="T1055" s="604"/>
      <c r="U1055" s="604"/>
      <c r="V1055" s="604"/>
      <c r="W1055" s="604"/>
      <c r="X1055" s="808">
        <f>E1055</f>
        <v>2410</v>
      </c>
      <c r="Y1055" s="809" t="s">
        <v>2304</v>
      </c>
      <c r="Z1055" s="609"/>
      <c r="AA1055" s="604"/>
      <c r="AB1055" s="604"/>
      <c r="AC1055" s="604"/>
      <c r="AD1055" s="604"/>
      <c r="AE1055" s="604"/>
      <c r="AF1055" s="604"/>
      <c r="AG1055" s="604"/>
      <c r="AH1055" s="604"/>
      <c r="AI1055" s="604"/>
      <c r="AJ1055" s="604"/>
      <c r="AK1055" s="604"/>
      <c r="AL1055" s="604"/>
      <c r="AM1055" s="604"/>
      <c r="AN1055" s="604"/>
    </row>
    <row r="1056" spans="1:40" ht="15.75" customHeight="1">
      <c r="A1056" s="669">
        <v>45393</v>
      </c>
      <c r="B1056" s="624"/>
      <c r="C1056" s="624" t="s">
        <v>451</v>
      </c>
      <c r="D1056" s="608"/>
      <c r="E1056" s="518">
        <v>171.95</v>
      </c>
      <c r="F1056" s="518"/>
      <c r="G1056" s="608"/>
      <c r="H1056" s="518"/>
      <c r="I1056" s="518"/>
      <c r="J1056" s="518"/>
      <c r="K1056" s="518"/>
      <c r="L1056" s="518"/>
      <c r="M1056" s="518"/>
      <c r="N1056" s="518"/>
      <c r="O1056" s="518"/>
      <c r="P1056" s="518"/>
      <c r="Q1056" s="518"/>
      <c r="R1056" s="518"/>
      <c r="S1056" s="518"/>
      <c r="T1056" s="604"/>
      <c r="U1056" s="604"/>
      <c r="V1056" s="604"/>
      <c r="W1056" s="604"/>
      <c r="X1056" s="808">
        <f>E1056</f>
        <v>171.95</v>
      </c>
      <c r="Y1056" s="809" t="s">
        <v>2304</v>
      </c>
      <c r="Z1056" s="609"/>
      <c r="AA1056" s="604"/>
      <c r="AB1056" s="604"/>
      <c r="AC1056" s="604"/>
      <c r="AD1056" s="604"/>
      <c r="AE1056" s="604"/>
      <c r="AF1056" s="604"/>
      <c r="AG1056" s="604"/>
      <c r="AH1056" s="604"/>
      <c r="AI1056" s="604"/>
      <c r="AJ1056" s="604"/>
      <c r="AK1056" s="604"/>
      <c r="AL1056" s="604"/>
      <c r="AM1056" s="604"/>
      <c r="AN1056" s="604"/>
    </row>
    <row r="1057" spans="1:40" ht="15.75" customHeight="1">
      <c r="A1057" s="669">
        <v>45393</v>
      </c>
      <c r="B1057" s="624"/>
      <c r="C1057" s="616" t="s">
        <v>542</v>
      </c>
      <c r="D1057" s="608"/>
      <c r="E1057" s="518"/>
      <c r="F1057" s="518"/>
      <c r="G1057" s="608"/>
      <c r="H1057" s="518"/>
      <c r="I1057" s="518"/>
      <c r="J1057" s="518"/>
      <c r="K1057" s="518"/>
      <c r="L1057" s="518">
        <v>68.45</v>
      </c>
      <c r="M1057" s="518"/>
      <c r="N1057" s="518"/>
      <c r="O1057" s="518"/>
      <c r="P1057" s="518"/>
      <c r="Q1057" s="518"/>
      <c r="R1057" s="518"/>
      <c r="S1057" s="518"/>
      <c r="T1057" s="604"/>
      <c r="U1057" s="604"/>
      <c r="V1057" s="604"/>
      <c r="W1057" s="604"/>
      <c r="X1057" s="1033">
        <f>L1057</f>
        <v>68.45</v>
      </c>
      <c r="Y1057" s="809" t="str">
        <f>$L$3</f>
        <v>6673-1</v>
      </c>
      <c r="Z1057" s="609"/>
      <c r="AA1057" s="604"/>
      <c r="AB1057" s="604"/>
      <c r="AC1057" s="604"/>
      <c r="AD1057" s="604"/>
      <c r="AE1057" s="604"/>
      <c r="AF1057" s="604"/>
      <c r="AG1057" s="604"/>
      <c r="AH1057" s="604"/>
      <c r="AI1057" s="604"/>
      <c r="AJ1057" s="604"/>
      <c r="AK1057" s="604"/>
      <c r="AL1057" s="604"/>
      <c r="AM1057" s="604"/>
      <c r="AN1057" s="604"/>
    </row>
    <row r="1058" spans="1:40" ht="15.75" customHeight="1">
      <c r="A1058" s="669">
        <v>45401</v>
      </c>
      <c r="B1058" s="624"/>
      <c r="C1058" s="624" t="s">
        <v>451</v>
      </c>
      <c r="D1058" s="608"/>
      <c r="E1058" s="518">
        <v>569.75</v>
      </c>
      <c r="F1058" s="518"/>
      <c r="G1058" s="608"/>
      <c r="H1058" s="518"/>
      <c r="I1058" s="518"/>
      <c r="J1058" s="518"/>
      <c r="K1058" s="518"/>
      <c r="L1058" s="518"/>
      <c r="M1058" s="518"/>
      <c r="N1058" s="518"/>
      <c r="O1058" s="518"/>
      <c r="P1058" s="518"/>
      <c r="Q1058" s="518"/>
      <c r="R1058" s="518"/>
      <c r="S1058" s="518"/>
      <c r="T1058" s="604"/>
      <c r="U1058" s="604"/>
      <c r="V1058" s="604"/>
      <c r="W1058" s="604"/>
      <c r="X1058" s="808">
        <f>E1058</f>
        <v>569.75</v>
      </c>
      <c r="Y1058" s="809" t="s">
        <v>2304</v>
      </c>
      <c r="Z1058" s="609"/>
      <c r="AA1058" s="604"/>
      <c r="AB1058" s="604"/>
      <c r="AC1058" s="604"/>
      <c r="AD1058" s="604"/>
      <c r="AE1058" s="604"/>
      <c r="AF1058" s="604"/>
      <c r="AG1058" s="604"/>
      <c r="AH1058" s="604"/>
      <c r="AI1058" s="604"/>
      <c r="AJ1058" s="604"/>
      <c r="AK1058" s="604"/>
      <c r="AL1058" s="604"/>
      <c r="AM1058" s="604"/>
      <c r="AN1058" s="604"/>
    </row>
    <row r="1059" spans="1:40" ht="15.75" customHeight="1">
      <c r="A1059" s="669">
        <v>45401</v>
      </c>
      <c r="B1059" s="624"/>
      <c r="C1059" s="624" t="s">
        <v>430</v>
      </c>
      <c r="D1059" s="608"/>
      <c r="E1059" s="518"/>
      <c r="F1059" s="518"/>
      <c r="G1059" s="608"/>
      <c r="H1059" s="518"/>
      <c r="I1059" s="518"/>
      <c r="J1059" s="518"/>
      <c r="K1059" s="518"/>
      <c r="L1059" s="518"/>
      <c r="M1059" s="518"/>
      <c r="N1059" s="518"/>
      <c r="O1059" s="518"/>
      <c r="P1059" s="518"/>
      <c r="Q1059" s="518"/>
      <c r="R1059" s="518">
        <v>2530.71</v>
      </c>
      <c r="S1059" s="518"/>
      <c r="T1059" s="604"/>
      <c r="U1059" s="604"/>
      <c r="V1059" s="604"/>
      <c r="W1059" s="604"/>
      <c r="X1059" s="808">
        <f>R1059</f>
        <v>2530.71</v>
      </c>
      <c r="Y1059" s="809">
        <f>$R$3</f>
        <v>6827</v>
      </c>
      <c r="Z1059" s="609"/>
      <c r="AA1059" s="604"/>
      <c r="AB1059" s="604"/>
      <c r="AC1059" s="604"/>
      <c r="AD1059" s="604"/>
      <c r="AE1059" s="604"/>
      <c r="AF1059" s="604"/>
      <c r="AG1059" s="604"/>
      <c r="AH1059" s="604"/>
      <c r="AI1059" s="604"/>
      <c r="AJ1059" s="604"/>
      <c r="AK1059" s="604"/>
      <c r="AL1059" s="604"/>
      <c r="AM1059" s="604"/>
      <c r="AN1059" s="604"/>
    </row>
    <row r="1060" spans="1:40" ht="15.75" customHeight="1">
      <c r="A1060" s="669">
        <v>45402</v>
      </c>
      <c r="B1060" s="624"/>
      <c r="C1060" s="616" t="s">
        <v>207</v>
      </c>
      <c r="D1060" s="608"/>
      <c r="E1060" s="518"/>
      <c r="F1060" s="518"/>
      <c r="G1060" s="608"/>
      <c r="H1060" s="518"/>
      <c r="I1060" s="518"/>
      <c r="J1060" s="518"/>
      <c r="K1060" s="518"/>
      <c r="L1060" s="518"/>
      <c r="M1060" s="518">
        <v>23.5</v>
      </c>
      <c r="N1060" s="518"/>
      <c r="O1060" s="518"/>
      <c r="P1060" s="518"/>
      <c r="Q1060" s="518"/>
      <c r="R1060" s="518"/>
      <c r="S1060" s="518"/>
      <c r="T1060" s="604"/>
      <c r="U1060" s="604"/>
      <c r="V1060" s="604"/>
      <c r="W1060" s="604"/>
      <c r="X1060" s="808">
        <f>M1060</f>
        <v>23.5</v>
      </c>
      <c r="Y1060" s="809" t="str">
        <f>$M$3</f>
        <v>6673-2</v>
      </c>
      <c r="Z1060" s="609"/>
      <c r="AA1060" s="604"/>
      <c r="AB1060" s="604"/>
      <c r="AC1060" s="604"/>
      <c r="AD1060" s="604"/>
      <c r="AE1060" s="604"/>
      <c r="AF1060" s="604"/>
      <c r="AG1060" s="604"/>
      <c r="AH1060" s="604"/>
      <c r="AI1060" s="604"/>
      <c r="AJ1060" s="604"/>
      <c r="AK1060" s="604"/>
      <c r="AL1060" s="604"/>
      <c r="AM1060" s="604"/>
      <c r="AN1060" s="604"/>
    </row>
    <row r="1061" spans="1:40" ht="15.75" customHeight="1">
      <c r="A1061" s="669">
        <v>45404</v>
      </c>
      <c r="B1061" s="624" t="s">
        <v>543</v>
      </c>
      <c r="C1061" s="616" t="s">
        <v>413</v>
      </c>
      <c r="D1061" s="608">
        <v>285</v>
      </c>
      <c r="E1061" s="518"/>
      <c r="F1061" s="518"/>
      <c r="G1061" s="608"/>
      <c r="H1061" s="518"/>
      <c r="I1061" s="518"/>
      <c r="J1061" s="518"/>
      <c r="K1061" s="518"/>
      <c r="L1061" s="518"/>
      <c r="M1061" s="518"/>
      <c r="N1061" s="518"/>
      <c r="O1061" s="518"/>
      <c r="P1061" s="518"/>
      <c r="Q1061" s="518"/>
      <c r="R1061" s="518"/>
      <c r="S1061" s="518"/>
      <c r="T1061" s="604"/>
      <c r="U1061" s="604"/>
      <c r="V1061" s="604"/>
      <c r="W1061" s="604"/>
      <c r="X1061" s="1034">
        <f>D1061</f>
        <v>285</v>
      </c>
      <c r="Y1061" s="809" t="s">
        <v>2300</v>
      </c>
      <c r="Z1061" s="609"/>
      <c r="AA1061" s="604"/>
      <c r="AB1061" s="604"/>
      <c r="AC1061" s="604"/>
      <c r="AD1061" s="604"/>
      <c r="AE1061" s="604"/>
      <c r="AF1061" s="604"/>
      <c r="AG1061" s="604"/>
      <c r="AH1061" s="604"/>
      <c r="AI1061" s="604"/>
      <c r="AJ1061" s="604"/>
      <c r="AK1061" s="604"/>
      <c r="AL1061" s="604"/>
      <c r="AM1061" s="604"/>
      <c r="AN1061" s="604"/>
    </row>
    <row r="1062" spans="1:40" ht="15.75" customHeight="1">
      <c r="A1062" s="669">
        <v>45404</v>
      </c>
      <c r="B1062" s="596"/>
      <c r="C1062" s="616" t="s">
        <v>207</v>
      </c>
      <c r="D1062" s="608"/>
      <c r="E1062" s="518"/>
      <c r="F1062" s="518"/>
      <c r="G1062" s="608"/>
      <c r="H1062" s="518"/>
      <c r="I1062" s="518"/>
      <c r="J1062" s="518"/>
      <c r="K1062" s="518"/>
      <c r="L1062" s="518"/>
      <c r="M1062" s="518">
        <v>60.88</v>
      </c>
      <c r="N1062" s="518"/>
      <c r="O1062" s="518"/>
      <c r="P1062" s="518"/>
      <c r="Q1062" s="518"/>
      <c r="R1062" s="518"/>
      <c r="S1062" s="518"/>
      <c r="T1062" s="604"/>
      <c r="U1062" s="604"/>
      <c r="V1062" s="604"/>
      <c r="W1062" s="604"/>
      <c r="X1062" s="808">
        <f>M1062</f>
        <v>60.88</v>
      </c>
      <c r="Y1062" s="809" t="str">
        <f>$M$3</f>
        <v>6673-2</v>
      </c>
      <c r="Z1062" s="609"/>
      <c r="AA1062" s="604"/>
      <c r="AB1062" s="604"/>
      <c r="AC1062" s="604"/>
      <c r="AD1062" s="604"/>
      <c r="AE1062" s="604"/>
      <c r="AF1062" s="604"/>
      <c r="AG1062" s="604"/>
      <c r="AH1062" s="604"/>
      <c r="AI1062" s="604"/>
      <c r="AJ1062" s="604"/>
      <c r="AK1062" s="604"/>
      <c r="AL1062" s="604"/>
      <c r="AM1062" s="604"/>
      <c r="AN1062" s="604"/>
    </row>
    <row r="1063" spans="1:40" ht="15.75" customHeight="1">
      <c r="A1063" s="669">
        <v>45405</v>
      </c>
      <c r="B1063" s="596"/>
      <c r="C1063" s="624" t="s">
        <v>530</v>
      </c>
      <c r="D1063" s="608"/>
      <c r="E1063" s="596"/>
      <c r="F1063" s="624"/>
      <c r="G1063" s="608"/>
      <c r="H1063" s="596"/>
      <c r="I1063" s="624"/>
      <c r="J1063" s="654"/>
      <c r="K1063" s="596"/>
      <c r="L1063" s="624"/>
      <c r="M1063" s="654"/>
      <c r="N1063" s="596"/>
      <c r="O1063" s="518">
        <f>133.54*B1033</f>
        <v>155.91636301999998</v>
      </c>
      <c r="P1063" s="654"/>
      <c r="Q1063" s="596"/>
      <c r="R1063" s="624"/>
      <c r="S1063" s="654"/>
      <c r="T1063" s="596"/>
      <c r="U1063" s="624"/>
      <c r="V1063" s="654"/>
      <c r="W1063" s="596"/>
      <c r="X1063" s="1033">
        <f>O1063</f>
        <v>155.91636301999998</v>
      </c>
      <c r="Y1063" s="809">
        <f>$O$3</f>
        <v>6530</v>
      </c>
      <c r="Z1063" s="609"/>
      <c r="AA1063" s="596"/>
      <c r="AB1063" s="624"/>
      <c r="AC1063" s="624"/>
      <c r="AD1063" s="624"/>
      <c r="AE1063" s="624"/>
      <c r="AF1063" s="624"/>
      <c r="AG1063" s="624"/>
      <c r="AH1063" s="624"/>
      <c r="AI1063" s="624"/>
      <c r="AJ1063" s="624"/>
      <c r="AK1063" s="624"/>
      <c r="AL1063" s="624"/>
      <c r="AM1063" s="624"/>
      <c r="AN1063" s="624"/>
    </row>
    <row r="1064" spans="1:40" ht="15.75" customHeight="1">
      <c r="A1064" s="669">
        <v>45406</v>
      </c>
      <c r="B1064" s="596"/>
      <c r="C1064" s="616" t="s">
        <v>82</v>
      </c>
      <c r="D1064" s="608"/>
      <c r="E1064" s="518"/>
      <c r="F1064" s="518"/>
      <c r="G1064" s="608"/>
      <c r="H1064" s="518"/>
      <c r="I1064" s="518"/>
      <c r="J1064" s="518"/>
      <c r="K1064" s="518"/>
      <c r="L1064" s="518">
        <v>34.42</v>
      </c>
      <c r="M1064" s="518"/>
      <c r="N1064" s="518"/>
      <c r="O1064" s="518"/>
      <c r="P1064" s="518"/>
      <c r="Q1064" s="518"/>
      <c r="R1064" s="518"/>
      <c r="S1064" s="518"/>
      <c r="T1064" s="604"/>
      <c r="U1064" s="604"/>
      <c r="V1064" s="604"/>
      <c r="W1064" s="604"/>
      <c r="X1064" s="1033">
        <f>L1064</f>
        <v>34.42</v>
      </c>
      <c r="Y1064" s="809" t="str">
        <f>$L$3</f>
        <v>6673-1</v>
      </c>
      <c r="Z1064" s="609"/>
      <c r="AA1064" s="604"/>
      <c r="AB1064" s="604"/>
      <c r="AC1064" s="604"/>
      <c r="AD1064" s="604"/>
      <c r="AE1064" s="604"/>
      <c r="AF1064" s="604"/>
      <c r="AG1064" s="604"/>
      <c r="AH1064" s="604"/>
      <c r="AI1064" s="604"/>
      <c r="AJ1064" s="604"/>
      <c r="AK1064" s="604"/>
      <c r="AL1064" s="604"/>
      <c r="AM1064" s="604"/>
      <c r="AN1064" s="604"/>
    </row>
    <row r="1065" spans="1:40" ht="15.75" customHeight="1">
      <c r="A1065" s="669">
        <v>45407</v>
      </c>
      <c r="B1065" s="596"/>
      <c r="C1065" s="616" t="s">
        <v>544</v>
      </c>
      <c r="D1065" s="608"/>
      <c r="E1065" s="518"/>
      <c r="F1065" s="518"/>
      <c r="G1065" s="608"/>
      <c r="H1065" s="518"/>
      <c r="I1065" s="518"/>
      <c r="J1065" s="518"/>
      <c r="K1065" s="518"/>
      <c r="L1065" s="518"/>
      <c r="M1065" s="518">
        <f>42.3*B1033</f>
        <v>49.387914899999991</v>
      </c>
      <c r="N1065" s="518"/>
      <c r="O1065" s="518"/>
      <c r="P1065" s="518"/>
      <c r="Q1065" s="518"/>
      <c r="R1065" s="518"/>
      <c r="S1065" s="518"/>
      <c r="T1065" s="604"/>
      <c r="U1065" s="604"/>
      <c r="V1065" s="604"/>
      <c r="W1065" s="604"/>
      <c r="X1065" s="808">
        <f>M1065</f>
        <v>49.387914899999991</v>
      </c>
      <c r="Y1065" s="809" t="str">
        <f>$M$3</f>
        <v>6673-2</v>
      </c>
      <c r="Z1065" s="609"/>
      <c r="AA1065" s="604"/>
      <c r="AB1065" s="604"/>
      <c r="AC1065" s="604"/>
      <c r="AD1065" s="604"/>
      <c r="AE1065" s="604"/>
      <c r="AF1065" s="604"/>
      <c r="AG1065" s="604"/>
      <c r="AH1065" s="604"/>
      <c r="AI1065" s="604"/>
      <c r="AJ1065" s="604"/>
      <c r="AK1065" s="604"/>
      <c r="AL1065" s="604"/>
      <c r="AM1065" s="604"/>
      <c r="AN1065" s="604"/>
    </row>
    <row r="1066" spans="1:40" ht="15.75" customHeight="1" thickBot="1">
      <c r="A1066" s="669"/>
      <c r="B1066" s="596"/>
      <c r="C1066" s="624"/>
      <c r="D1066" s="608"/>
      <c r="E1066" s="518"/>
      <c r="F1066" s="518"/>
      <c r="G1066" s="518"/>
      <c r="H1066" s="518"/>
      <c r="I1066" s="518"/>
      <c r="J1066" s="518"/>
      <c r="K1066" s="518"/>
      <c r="L1066" s="518"/>
      <c r="M1066" s="518"/>
      <c r="N1066" s="518"/>
      <c r="O1066" s="518"/>
      <c r="P1066" s="518"/>
      <c r="Q1066" s="518"/>
      <c r="R1066" s="518"/>
      <c r="S1066" s="518"/>
      <c r="T1066" s="604"/>
      <c r="U1066" s="604"/>
      <c r="V1066" s="604"/>
      <c r="W1066" s="604"/>
      <c r="X1066" s="808"/>
      <c r="Y1066" s="809"/>
      <c r="Z1066" s="609"/>
      <c r="AA1066" s="604"/>
      <c r="AB1066" s="604"/>
      <c r="AC1066" s="604"/>
      <c r="AD1066" s="604"/>
      <c r="AE1066" s="604"/>
      <c r="AF1066" s="604"/>
      <c r="AG1066" s="604"/>
      <c r="AH1066" s="604"/>
      <c r="AI1066" s="604"/>
      <c r="AJ1066" s="604"/>
      <c r="AK1066" s="604"/>
      <c r="AL1066" s="604"/>
      <c r="AM1066" s="604"/>
      <c r="AN1066" s="604"/>
    </row>
    <row r="1067" spans="1:40" ht="15.75" customHeight="1" thickTop="1">
      <c r="A1067" s="598"/>
      <c r="B1067" s="655">
        <v>45413</v>
      </c>
      <c r="C1067" s="627"/>
      <c r="D1067" s="601"/>
      <c r="E1067" s="602"/>
      <c r="F1067" s="602"/>
      <c r="G1067" s="602"/>
      <c r="H1067" s="602"/>
      <c r="I1067" s="602"/>
      <c r="J1067" s="602"/>
      <c r="K1067" s="602"/>
      <c r="L1067" s="602"/>
      <c r="M1067" s="602"/>
      <c r="N1067" s="602"/>
      <c r="O1067" s="602"/>
      <c r="P1067" s="602"/>
      <c r="Q1067" s="602"/>
      <c r="R1067" s="602"/>
      <c r="S1067" s="602"/>
      <c r="T1067" s="602"/>
      <c r="U1067" s="602"/>
      <c r="V1067" s="602"/>
      <c r="W1067" s="602"/>
      <c r="X1067" s="808"/>
      <c r="Y1067" s="809"/>
      <c r="Z1067" s="602"/>
      <c r="AA1067" s="604"/>
      <c r="AB1067" s="604"/>
      <c r="AC1067" s="604"/>
      <c r="AD1067" s="604"/>
      <c r="AE1067" s="604"/>
      <c r="AF1067" s="604"/>
      <c r="AG1067" s="604"/>
      <c r="AH1067" s="604"/>
      <c r="AI1067" s="604"/>
      <c r="AJ1067" s="604"/>
      <c r="AK1067" s="604"/>
      <c r="AL1067" s="604"/>
      <c r="AM1067" s="604"/>
      <c r="AN1067" s="604"/>
    </row>
    <row r="1068" spans="1:40" ht="15.75" customHeight="1">
      <c r="A1068" s="683"/>
      <c r="B1068" s="630"/>
      <c r="C1068" s="607"/>
      <c r="D1068" s="608"/>
      <c r="E1068" s="518"/>
      <c r="F1068" s="518"/>
      <c r="G1068" s="518"/>
      <c r="H1068" s="518"/>
      <c r="I1068" s="518"/>
      <c r="J1068" s="518"/>
      <c r="K1068" s="518"/>
      <c r="L1068" s="518"/>
      <c r="M1068" s="518"/>
      <c r="N1068" s="518"/>
      <c r="O1068" s="518"/>
      <c r="P1068" s="518"/>
      <c r="Q1068" s="518"/>
      <c r="R1068" s="518"/>
      <c r="S1068" s="518"/>
      <c r="T1068" s="518"/>
      <c r="U1068" s="518"/>
      <c r="V1068" s="518"/>
      <c r="W1068" s="518"/>
      <c r="X1068" s="808"/>
      <c r="Y1068" s="809"/>
      <c r="Z1068" s="609"/>
      <c r="AA1068" s="604"/>
      <c r="AB1068" s="604"/>
      <c r="AC1068" s="604"/>
      <c r="AD1068" s="604"/>
      <c r="AE1068" s="604"/>
      <c r="AF1068" s="604"/>
      <c r="AG1068" s="604"/>
      <c r="AH1068" s="604"/>
      <c r="AI1068" s="604"/>
      <c r="AJ1068" s="604"/>
      <c r="AK1068" s="604"/>
      <c r="AL1068" s="604"/>
      <c r="AM1068" s="604"/>
      <c r="AN1068" s="604"/>
    </row>
    <row r="1069" spans="1:40" ht="15.75" customHeight="1">
      <c r="A1069" s="683">
        <v>45414</v>
      </c>
      <c r="B1069" s="663"/>
      <c r="C1069" s="611" t="s">
        <v>62</v>
      </c>
      <c r="D1069" s="608"/>
      <c r="E1069" s="518"/>
      <c r="F1069" s="518"/>
      <c r="G1069" s="518"/>
      <c r="H1069" s="518"/>
      <c r="I1069" s="518"/>
      <c r="J1069" s="518"/>
      <c r="K1069" s="518"/>
      <c r="L1069" s="518"/>
      <c r="M1069" s="518"/>
      <c r="N1069" s="518"/>
      <c r="O1069" s="518"/>
      <c r="P1069" s="518"/>
      <c r="Q1069" s="518"/>
      <c r="R1069" s="518"/>
      <c r="S1069" s="518"/>
      <c r="T1069" s="518"/>
      <c r="U1069" s="518"/>
      <c r="V1069" s="518">
        <v>1036.55</v>
      </c>
      <c r="W1069" s="518"/>
      <c r="X1069" s="808"/>
      <c r="Y1069" s="809"/>
      <c r="Z1069" s="609"/>
      <c r="AA1069" s="604"/>
      <c r="AB1069" s="604"/>
      <c r="AC1069" s="604"/>
      <c r="AD1069" s="604"/>
      <c r="AE1069" s="604"/>
      <c r="AF1069" s="604"/>
      <c r="AG1069" s="604"/>
      <c r="AH1069" s="604"/>
      <c r="AI1069" s="604"/>
      <c r="AJ1069" s="604"/>
      <c r="AK1069" s="604"/>
      <c r="AL1069" s="604"/>
      <c r="AM1069" s="604"/>
      <c r="AN1069" s="604"/>
    </row>
    <row r="1070" spans="1:40" ht="15.75" customHeight="1">
      <c r="A1070" s="683">
        <v>45414</v>
      </c>
      <c r="B1070" s="612"/>
      <c r="C1070" s="611" t="s">
        <v>63</v>
      </c>
      <c r="D1070" s="608"/>
      <c r="E1070" s="518"/>
      <c r="F1070" s="518"/>
      <c r="G1070" s="518"/>
      <c r="H1070" s="518"/>
      <c r="I1070" s="518"/>
      <c r="J1070" s="518"/>
      <c r="K1070" s="518"/>
      <c r="L1070" s="518"/>
      <c r="M1070" s="518"/>
      <c r="N1070" s="518"/>
      <c r="O1070" s="518"/>
      <c r="P1070" s="518"/>
      <c r="Q1070" s="518"/>
      <c r="R1070" s="518"/>
      <c r="S1070" s="518"/>
      <c r="T1070" s="518">
        <v>292.54000000000002</v>
      </c>
      <c r="U1070" s="518"/>
      <c r="V1070" s="518"/>
      <c r="W1070" s="518"/>
      <c r="X1070" s="808">
        <f>T1070</f>
        <v>292.54000000000002</v>
      </c>
      <c r="Y1070" s="809">
        <f>$T$3</f>
        <v>2300</v>
      </c>
      <c r="Z1070" s="609"/>
      <c r="AA1070" s="604"/>
      <c r="AB1070" s="604"/>
      <c r="AC1070" s="604"/>
      <c r="AD1070" s="604"/>
      <c r="AE1070" s="604"/>
      <c r="AF1070" s="604"/>
      <c r="AG1070" s="604"/>
      <c r="AH1070" s="604"/>
      <c r="AI1070" s="604"/>
      <c r="AJ1070" s="604"/>
      <c r="AK1070" s="604"/>
      <c r="AL1070" s="604"/>
      <c r="AM1070" s="604"/>
      <c r="AN1070" s="604"/>
    </row>
    <row r="1071" spans="1:40" ht="15.75" customHeight="1">
      <c r="A1071" s="683">
        <v>45414</v>
      </c>
      <c r="B1071" s="672">
        <f>'Conversion rates'!B32</f>
        <v>1.16787</v>
      </c>
      <c r="C1071" s="611" t="s">
        <v>276</v>
      </c>
      <c r="D1071" s="608"/>
      <c r="E1071" s="518"/>
      <c r="F1071" s="518"/>
      <c r="G1071" s="518"/>
      <c r="H1071" s="518"/>
      <c r="I1071" s="518"/>
      <c r="J1071" s="518"/>
      <c r="K1071" s="518"/>
      <c r="L1071" s="518"/>
      <c r="M1071" s="518"/>
      <c r="N1071" s="518"/>
      <c r="O1071" s="518"/>
      <c r="P1071" s="518"/>
      <c r="Q1071" s="518"/>
      <c r="R1071" s="518"/>
      <c r="S1071" s="518"/>
      <c r="T1071" s="518">
        <v>80</v>
      </c>
      <c r="U1071" s="518"/>
      <c r="V1071" s="518"/>
      <c r="W1071" s="518"/>
      <c r="X1071" s="808">
        <f>T1071</f>
        <v>80</v>
      </c>
      <c r="Y1071" s="809">
        <f>$T$3</f>
        <v>2300</v>
      </c>
      <c r="Z1071" s="609"/>
      <c r="AA1071" s="604"/>
      <c r="AB1071" s="604"/>
      <c r="AC1071" s="604"/>
      <c r="AD1071" s="604"/>
      <c r="AE1071" s="604"/>
      <c r="AF1071" s="604"/>
      <c r="AG1071" s="604"/>
      <c r="AH1071" s="604"/>
      <c r="AI1071" s="604"/>
      <c r="AJ1071" s="604"/>
      <c r="AK1071" s="604"/>
      <c r="AL1071" s="604"/>
      <c r="AM1071" s="604"/>
      <c r="AN1071" s="604"/>
    </row>
    <row r="1072" spans="1:40" ht="15.75" customHeight="1">
      <c r="A1072" s="683">
        <v>45414</v>
      </c>
      <c r="B1072" s="615"/>
      <c r="C1072" s="614" t="s">
        <v>421</v>
      </c>
      <c r="D1072" s="608"/>
      <c r="E1072" s="518"/>
      <c r="F1072" s="518"/>
      <c r="G1072" s="518"/>
      <c r="H1072" s="518"/>
      <c r="I1072" s="518"/>
      <c r="J1072" s="518"/>
      <c r="K1072" s="518"/>
      <c r="L1072" s="518"/>
      <c r="M1072" s="518">
        <v>49</v>
      </c>
      <c r="N1072" s="518"/>
      <c r="O1072" s="518"/>
      <c r="P1072" s="518"/>
      <c r="Q1072" s="518"/>
      <c r="R1072" s="518"/>
      <c r="S1072" s="518"/>
      <c r="T1072" s="518"/>
      <c r="U1072" s="518"/>
      <c r="V1072" s="518"/>
      <c r="W1072" s="518"/>
      <c r="X1072" s="808">
        <f>M1072</f>
        <v>49</v>
      </c>
      <c r="Y1072" s="809" t="str">
        <f>$M$3</f>
        <v>6673-2</v>
      </c>
      <c r="Z1072" s="609"/>
      <c r="AA1072" s="604"/>
      <c r="AB1072" s="604"/>
      <c r="AC1072" s="604"/>
      <c r="AD1072" s="604"/>
      <c r="AE1072" s="604"/>
      <c r="AF1072" s="604"/>
      <c r="AG1072" s="604"/>
      <c r="AH1072" s="604"/>
      <c r="AI1072" s="604"/>
      <c r="AJ1072" s="604"/>
      <c r="AK1072" s="604"/>
      <c r="AL1072" s="604"/>
      <c r="AM1072" s="604"/>
      <c r="AN1072" s="604"/>
    </row>
    <row r="1073" spans="1:40" ht="15.75" customHeight="1">
      <c r="A1073" s="683">
        <v>45414</v>
      </c>
      <c r="B1073" s="612" t="s">
        <v>310</v>
      </c>
      <c r="C1073" s="614" t="s">
        <v>393</v>
      </c>
      <c r="D1073" s="608"/>
      <c r="E1073" s="518"/>
      <c r="F1073" s="518"/>
      <c r="G1073" s="518"/>
      <c r="H1073" s="518"/>
      <c r="I1073" s="518"/>
      <c r="J1073" s="518"/>
      <c r="K1073" s="518"/>
      <c r="L1073" s="518"/>
      <c r="M1073" s="616"/>
      <c r="N1073" s="518">
        <v>920</v>
      </c>
      <c r="O1073" s="518"/>
      <c r="P1073" s="518"/>
      <c r="Q1073" s="518"/>
      <c r="R1073" s="518"/>
      <c r="S1073" s="518"/>
      <c r="T1073" s="518"/>
      <c r="U1073" s="518"/>
      <c r="V1073" s="518"/>
      <c r="W1073" s="518"/>
      <c r="X1073" s="808">
        <f>N1073</f>
        <v>920</v>
      </c>
      <c r="Y1073" s="809">
        <f>$N$3</f>
        <v>6680</v>
      </c>
      <c r="Z1073" s="609"/>
      <c r="AA1073" s="604"/>
      <c r="AB1073" s="604"/>
      <c r="AC1073" s="604"/>
      <c r="AD1073" s="604"/>
      <c r="AE1073" s="604"/>
      <c r="AF1073" s="604"/>
      <c r="AG1073" s="604"/>
      <c r="AH1073" s="604"/>
      <c r="AI1073" s="604"/>
      <c r="AJ1073" s="604"/>
      <c r="AK1073" s="604"/>
      <c r="AL1073" s="604"/>
      <c r="AM1073" s="604"/>
      <c r="AN1073" s="604"/>
    </row>
    <row r="1074" spans="1:40" ht="15.75" customHeight="1">
      <c r="A1074" s="683">
        <v>45427</v>
      </c>
      <c r="B1074" s="612"/>
      <c r="C1074" s="611" t="s">
        <v>506</v>
      </c>
      <c r="D1074" s="608"/>
      <c r="E1074" s="518"/>
      <c r="F1074" s="518"/>
      <c r="G1074" s="518"/>
      <c r="H1074" s="518"/>
      <c r="I1074" s="518"/>
      <c r="J1074" s="518"/>
      <c r="K1074" s="518"/>
      <c r="L1074" s="518"/>
      <c r="M1074" s="518"/>
      <c r="N1074" s="518"/>
      <c r="O1074" s="518"/>
      <c r="P1074" s="518"/>
      <c r="Q1074" s="518"/>
      <c r="R1074" s="518"/>
      <c r="S1074" s="518"/>
      <c r="T1074" s="518">
        <v>18.36</v>
      </c>
      <c r="U1074" s="518"/>
      <c r="V1074" s="518"/>
      <c r="W1074" s="518"/>
      <c r="X1074" s="808">
        <f>T1074</f>
        <v>18.36</v>
      </c>
      <c r="Y1074" s="809">
        <f>$T$3</f>
        <v>2300</v>
      </c>
      <c r="Z1074" s="609"/>
      <c r="AA1074" s="604"/>
      <c r="AB1074" s="604"/>
      <c r="AC1074" s="604"/>
      <c r="AD1074" s="604"/>
      <c r="AE1074" s="604"/>
      <c r="AF1074" s="604"/>
      <c r="AG1074" s="604"/>
      <c r="AH1074" s="604"/>
      <c r="AI1074" s="604"/>
      <c r="AJ1074" s="604"/>
      <c r="AK1074" s="604"/>
      <c r="AL1074" s="604"/>
      <c r="AM1074" s="604"/>
      <c r="AN1074" s="604"/>
    </row>
    <row r="1075" spans="1:40" ht="15.75" customHeight="1">
      <c r="A1075" s="683">
        <v>45427</v>
      </c>
      <c r="B1075" s="615"/>
      <c r="C1075" s="611" t="s">
        <v>341</v>
      </c>
      <c r="D1075" s="608"/>
      <c r="E1075" s="518"/>
      <c r="F1075" s="518"/>
      <c r="G1075" s="518"/>
      <c r="H1075" s="518">
        <v>850.25</v>
      </c>
      <c r="I1075" s="518"/>
      <c r="J1075" s="518"/>
      <c r="K1075" s="518"/>
      <c r="L1075" s="518"/>
      <c r="M1075" s="518"/>
      <c r="N1075" s="518"/>
      <c r="O1075" s="518"/>
      <c r="P1075" s="518"/>
      <c r="Q1075" s="518"/>
      <c r="R1075" s="518"/>
      <c r="S1075" s="518"/>
      <c r="T1075" s="518"/>
      <c r="U1075" s="518"/>
      <c r="V1075" s="518"/>
      <c r="W1075" s="518"/>
      <c r="X1075" s="1033">
        <f>H1075</f>
        <v>850.25</v>
      </c>
      <c r="Y1075" s="809">
        <f>$H$3</f>
        <v>2200</v>
      </c>
      <c r="Z1075" s="609"/>
      <c r="AA1075" s="604"/>
      <c r="AB1075" s="604"/>
      <c r="AC1075" s="604"/>
      <c r="AD1075" s="604"/>
      <c r="AE1075" s="604"/>
      <c r="AF1075" s="604"/>
      <c r="AG1075" s="604"/>
      <c r="AH1075" s="604"/>
      <c r="AI1075" s="604"/>
      <c r="AJ1075" s="604"/>
      <c r="AK1075" s="604"/>
      <c r="AL1075" s="604"/>
      <c r="AM1075" s="604"/>
      <c r="AN1075" s="604"/>
    </row>
    <row r="1076" spans="1:40" ht="15.75" customHeight="1">
      <c r="A1076" s="683">
        <v>45428</v>
      </c>
      <c r="B1076" s="615"/>
      <c r="C1076" s="614" t="s">
        <v>508</v>
      </c>
      <c r="D1076" s="608"/>
      <c r="E1076" s="518"/>
      <c r="F1076" s="518"/>
      <c r="G1076" s="518"/>
      <c r="H1076" s="518"/>
      <c r="I1076" s="518"/>
      <c r="J1076" s="518"/>
      <c r="K1076" s="518"/>
      <c r="L1076" s="518"/>
      <c r="M1076" s="518"/>
      <c r="N1076" s="518"/>
      <c r="O1076" s="518"/>
      <c r="P1076" s="518"/>
      <c r="Q1076" s="518">
        <v>5.39</v>
      </c>
      <c r="R1076" s="518"/>
      <c r="S1076" s="518"/>
      <c r="T1076" s="518"/>
      <c r="U1076" s="518"/>
      <c r="V1076" s="518"/>
      <c r="W1076" s="518"/>
      <c r="X1076" s="808">
        <f>Q1076</f>
        <v>5.39</v>
      </c>
      <c r="Y1076" s="809" t="str">
        <f>$Q$3</f>
        <v>6495-2</v>
      </c>
      <c r="Z1076" s="609"/>
      <c r="AA1076" s="604"/>
      <c r="AB1076" s="604"/>
      <c r="AC1076" s="604"/>
      <c r="AD1076" s="604"/>
      <c r="AE1076" s="604"/>
      <c r="AF1076" s="604"/>
      <c r="AG1076" s="604"/>
      <c r="AH1076" s="604"/>
      <c r="AI1076" s="604"/>
      <c r="AJ1076" s="604"/>
      <c r="AK1076" s="604"/>
      <c r="AL1076" s="604"/>
      <c r="AM1076" s="604"/>
      <c r="AN1076" s="604"/>
    </row>
    <row r="1077" spans="1:40" ht="15.75" customHeight="1">
      <c r="A1077" s="683">
        <v>45429</v>
      </c>
      <c r="B1077" s="613"/>
      <c r="C1077" s="611" t="s">
        <v>111</v>
      </c>
      <c r="D1077" s="608"/>
      <c r="E1077" s="518"/>
      <c r="F1077" s="518"/>
      <c r="G1077" s="518"/>
      <c r="H1077" s="518"/>
      <c r="I1077" s="518"/>
      <c r="J1077" s="518"/>
      <c r="K1077" s="518">
        <v>34.99</v>
      </c>
      <c r="L1077" s="518"/>
      <c r="M1077" s="518"/>
      <c r="N1077" s="518"/>
      <c r="O1077" s="518"/>
      <c r="P1077" s="518"/>
      <c r="Q1077" s="518"/>
      <c r="R1077" s="518"/>
      <c r="S1077" s="518"/>
      <c r="T1077" s="518"/>
      <c r="U1077" s="518"/>
      <c r="V1077" s="518"/>
      <c r="W1077" s="518"/>
      <c r="X1077" s="1033">
        <f>K1077</f>
        <v>34.99</v>
      </c>
      <c r="Y1077" s="809" t="str">
        <f>$K$3</f>
        <v>6495-1</v>
      </c>
      <c r="Z1077" s="609"/>
      <c r="AA1077" s="604"/>
      <c r="AB1077" s="604"/>
      <c r="AC1077" s="604"/>
      <c r="AD1077" s="604"/>
      <c r="AE1077" s="604"/>
      <c r="AF1077" s="604"/>
      <c r="AG1077" s="604"/>
      <c r="AH1077" s="604"/>
      <c r="AI1077" s="604"/>
      <c r="AJ1077" s="604"/>
      <c r="AK1077" s="604"/>
      <c r="AL1077" s="604"/>
      <c r="AM1077" s="604"/>
      <c r="AN1077" s="604"/>
    </row>
    <row r="1078" spans="1:40" ht="18" customHeight="1">
      <c r="A1078" s="683">
        <v>45431</v>
      </c>
      <c r="B1078" s="612"/>
      <c r="C1078" s="611" t="s">
        <v>320</v>
      </c>
      <c r="D1078" s="608"/>
      <c r="E1078" s="518"/>
      <c r="F1078" s="518"/>
      <c r="G1078" s="518"/>
      <c r="H1078" s="518"/>
      <c r="I1078" s="518"/>
      <c r="J1078" s="518"/>
      <c r="K1078" s="518">
        <v>37.08</v>
      </c>
      <c r="L1078" s="518"/>
      <c r="M1078" s="518"/>
      <c r="N1078" s="518"/>
      <c r="O1078" s="518"/>
      <c r="P1078" s="518"/>
      <c r="Q1078" s="518"/>
      <c r="R1078" s="518"/>
      <c r="S1078" s="518"/>
      <c r="T1078" s="518"/>
      <c r="U1078" s="518"/>
      <c r="V1078" s="518"/>
      <c r="W1078" s="518"/>
      <c r="X1078" s="1033">
        <f>K1078</f>
        <v>37.08</v>
      </c>
      <c r="Y1078" s="809" t="str">
        <f>$K$3</f>
        <v>6495-1</v>
      </c>
      <c r="Z1078" s="609"/>
      <c r="AA1078" s="604"/>
      <c r="AB1078" s="604"/>
      <c r="AC1078" s="604"/>
      <c r="AD1078" s="604"/>
      <c r="AE1078" s="604"/>
      <c r="AF1078" s="604"/>
      <c r="AG1078" s="604"/>
      <c r="AH1078" s="604"/>
      <c r="AI1078" s="604"/>
      <c r="AJ1078" s="604"/>
      <c r="AK1078" s="604"/>
      <c r="AL1078" s="604"/>
      <c r="AM1078" s="604"/>
      <c r="AN1078" s="604"/>
    </row>
    <row r="1079" spans="1:40" ht="15.75" customHeight="1">
      <c r="A1079" s="683">
        <v>45433</v>
      </c>
      <c r="B1079" s="615"/>
      <c r="C1079" s="611" t="s">
        <v>344</v>
      </c>
      <c r="D1079" s="608"/>
      <c r="E1079" s="518"/>
      <c r="F1079" s="518"/>
      <c r="G1079" s="518"/>
      <c r="H1079" s="518"/>
      <c r="I1079" s="518"/>
      <c r="J1079" s="518"/>
      <c r="K1079" s="518"/>
      <c r="L1079" s="518"/>
      <c r="M1079" s="518"/>
      <c r="N1079" s="518"/>
      <c r="O1079" s="518"/>
      <c r="P1079" s="518"/>
      <c r="Q1079" s="518"/>
      <c r="R1079" s="518"/>
      <c r="S1079" s="518">
        <v>9.7200000000000006</v>
      </c>
      <c r="T1079" s="518"/>
      <c r="U1079" s="518"/>
      <c r="V1079" s="518"/>
      <c r="W1079" s="518"/>
      <c r="X1079" s="808">
        <f>S1079</f>
        <v>9.7200000000000006</v>
      </c>
      <c r="Y1079" s="809">
        <f>$S$3</f>
        <v>6855</v>
      </c>
      <c r="Z1079" s="609"/>
      <c r="AA1079" s="604"/>
      <c r="AB1079" s="604"/>
      <c r="AC1079" s="604"/>
      <c r="AD1079" s="604"/>
      <c r="AE1079" s="604"/>
      <c r="AF1079" s="604"/>
      <c r="AG1079" s="604"/>
      <c r="AH1079" s="604"/>
      <c r="AI1079" s="604"/>
      <c r="AJ1079" s="604"/>
      <c r="AK1079" s="604"/>
      <c r="AL1079" s="604"/>
      <c r="AM1079" s="604"/>
      <c r="AN1079" s="604"/>
    </row>
    <row r="1080" spans="1:40" ht="15.75" customHeight="1">
      <c r="A1080" s="683">
        <v>45434</v>
      </c>
      <c r="B1080" s="613"/>
      <c r="C1080" s="611" t="s">
        <v>78</v>
      </c>
      <c r="D1080" s="608"/>
      <c r="E1080" s="518"/>
      <c r="F1080" s="518"/>
      <c r="G1080" s="518"/>
      <c r="H1080" s="518"/>
      <c r="I1080" s="518"/>
      <c r="J1080" s="518">
        <v>19.98</v>
      </c>
      <c r="K1080" s="518"/>
      <c r="L1080" s="518"/>
      <c r="M1080" s="518"/>
      <c r="N1080" s="518"/>
      <c r="O1080" s="518"/>
      <c r="P1080" s="518"/>
      <c r="Q1080" s="518"/>
      <c r="R1080" s="518"/>
      <c r="S1080" s="518"/>
      <c r="T1080" s="518"/>
      <c r="U1080" s="518"/>
      <c r="V1080" s="518"/>
      <c r="W1080" s="518"/>
      <c r="X1080" s="1033">
        <f>J1080</f>
        <v>19.98</v>
      </c>
      <c r="Y1080" s="809">
        <f>$J$3</f>
        <v>6805</v>
      </c>
      <c r="Z1080" s="609"/>
      <c r="AA1080" s="604"/>
      <c r="AB1080" s="604"/>
      <c r="AC1080" s="604"/>
      <c r="AD1080" s="604"/>
      <c r="AE1080" s="604"/>
      <c r="AF1080" s="604"/>
      <c r="AG1080" s="604"/>
      <c r="AH1080" s="604"/>
      <c r="AI1080" s="604"/>
      <c r="AJ1080" s="604"/>
      <c r="AK1080" s="604"/>
      <c r="AL1080" s="604"/>
      <c r="AM1080" s="604"/>
      <c r="AN1080" s="604"/>
    </row>
    <row r="1081" spans="1:40" ht="15.75" customHeight="1">
      <c r="A1081" s="683">
        <v>45434</v>
      </c>
      <c r="B1081" s="612"/>
      <c r="C1081" s="611" t="s">
        <v>194</v>
      </c>
      <c r="D1081" s="608"/>
      <c r="E1081" s="518"/>
      <c r="F1081" s="518"/>
      <c r="G1081" s="518"/>
      <c r="H1081" s="518"/>
      <c r="I1081" s="518"/>
      <c r="J1081" s="518"/>
      <c r="K1081" s="518"/>
      <c r="L1081" s="518"/>
      <c r="M1081" s="518"/>
      <c r="N1081" s="518"/>
      <c r="O1081" s="518"/>
      <c r="P1081" s="518"/>
      <c r="Q1081" s="518"/>
      <c r="R1081" s="518"/>
      <c r="S1081" s="518">
        <v>11.5</v>
      </c>
      <c r="T1081" s="518"/>
      <c r="U1081" s="518"/>
      <c r="V1081" s="518"/>
      <c r="W1081" s="518"/>
      <c r="X1081" s="808">
        <f>S1081</f>
        <v>11.5</v>
      </c>
      <c r="Y1081" s="809">
        <f>$S$3</f>
        <v>6855</v>
      </c>
      <c r="Z1081" s="609"/>
      <c r="AA1081" s="604"/>
      <c r="AB1081" s="604"/>
      <c r="AC1081" s="604"/>
      <c r="AD1081" s="604"/>
      <c r="AE1081" s="604"/>
      <c r="AF1081" s="604"/>
      <c r="AG1081" s="604"/>
      <c r="AH1081" s="604"/>
      <c r="AI1081" s="604"/>
      <c r="AJ1081" s="604"/>
      <c r="AK1081" s="604"/>
      <c r="AL1081" s="604"/>
      <c r="AM1081" s="604"/>
      <c r="AN1081" s="604"/>
    </row>
    <row r="1082" spans="1:40" ht="15.75" customHeight="1">
      <c r="A1082" s="683">
        <v>45435</v>
      </c>
      <c r="B1082" s="615"/>
      <c r="C1082" s="611" t="s">
        <v>364</v>
      </c>
      <c r="D1082" s="608"/>
      <c r="E1082" s="518"/>
      <c r="F1082" s="518"/>
      <c r="G1082" s="518"/>
      <c r="H1082" s="518"/>
      <c r="I1082" s="518"/>
      <c r="J1082" s="518"/>
      <c r="K1082" s="518">
        <v>11.77</v>
      </c>
      <c r="L1082" s="518"/>
      <c r="M1082" s="518"/>
      <c r="N1082" s="518"/>
      <c r="O1082" s="518"/>
      <c r="P1082" s="518"/>
      <c r="Q1082" s="518"/>
      <c r="R1082" s="518"/>
      <c r="S1082" s="518">
        <v>11.83</v>
      </c>
      <c r="T1082" s="518"/>
      <c r="U1082" s="518"/>
      <c r="V1082" s="518"/>
      <c r="W1082" s="518"/>
      <c r="X1082" s="808">
        <f>S1082</f>
        <v>11.83</v>
      </c>
      <c r="Y1082" s="809">
        <f>$S$3</f>
        <v>6855</v>
      </c>
      <c r="Z1082" s="609"/>
      <c r="AA1082" s="604"/>
      <c r="AB1082" s="604"/>
      <c r="AC1082" s="604"/>
      <c r="AD1082" s="604"/>
      <c r="AE1082" s="604"/>
      <c r="AF1082" s="604"/>
      <c r="AG1082" s="604"/>
      <c r="AH1082" s="604"/>
      <c r="AI1082" s="604"/>
      <c r="AJ1082" s="604"/>
      <c r="AK1082" s="604"/>
      <c r="AL1082" s="604"/>
      <c r="AM1082" s="604"/>
      <c r="AN1082" s="604"/>
    </row>
    <row r="1083" spans="1:40" ht="15.75" customHeight="1">
      <c r="A1083" s="683">
        <v>45443</v>
      </c>
      <c r="B1083" s="612"/>
      <c r="C1083" s="611" t="s">
        <v>545</v>
      </c>
      <c r="D1083" s="608"/>
      <c r="E1083" s="518"/>
      <c r="F1083" s="518"/>
      <c r="G1083" s="518"/>
      <c r="H1083" s="518"/>
      <c r="I1083" s="518"/>
      <c r="J1083" s="518"/>
      <c r="K1083" s="518"/>
      <c r="L1083" s="518"/>
      <c r="M1083" s="518"/>
      <c r="N1083" s="518"/>
      <c r="O1083" s="518"/>
      <c r="P1083" s="518"/>
      <c r="Q1083" s="518"/>
      <c r="R1083" s="518"/>
      <c r="S1083" s="518">
        <v>11.2</v>
      </c>
      <c r="T1083" s="518"/>
      <c r="U1083" s="518"/>
      <c r="V1083" s="518"/>
      <c r="W1083" s="518"/>
      <c r="X1083" s="808">
        <f>S1083</f>
        <v>11.2</v>
      </c>
      <c r="Y1083" s="809">
        <f>$S$3</f>
        <v>6855</v>
      </c>
      <c r="Z1083" s="609"/>
      <c r="AA1083" s="604"/>
      <c r="AB1083" s="604"/>
      <c r="AC1083" s="604"/>
      <c r="AD1083" s="604"/>
      <c r="AE1083" s="604"/>
      <c r="AF1083" s="604"/>
      <c r="AG1083" s="604"/>
      <c r="AH1083" s="604"/>
      <c r="AI1083" s="604"/>
      <c r="AJ1083" s="604"/>
      <c r="AK1083" s="604"/>
      <c r="AL1083" s="604"/>
      <c r="AM1083" s="604"/>
      <c r="AN1083" s="604"/>
    </row>
    <row r="1084" spans="1:40" ht="15.75" customHeight="1">
      <c r="A1084" s="683">
        <v>45443</v>
      </c>
      <c r="B1084" s="615"/>
      <c r="C1084" s="614" t="s">
        <v>260</v>
      </c>
      <c r="D1084" s="608"/>
      <c r="E1084" s="518">
        <v>605.5</v>
      </c>
      <c r="F1084" s="518"/>
      <c r="G1084" s="518"/>
      <c r="H1084" s="518"/>
      <c r="I1084" s="518"/>
      <c r="J1084" s="518"/>
      <c r="K1084" s="518"/>
      <c r="L1084" s="518"/>
      <c r="M1084" s="518"/>
      <c r="N1084" s="518"/>
      <c r="O1084" s="518"/>
      <c r="P1084" s="518"/>
      <c r="Q1084" s="518"/>
      <c r="R1084" s="518"/>
      <c r="S1084" s="518"/>
      <c r="T1084" s="518"/>
      <c r="U1084" s="518"/>
      <c r="V1084" s="518"/>
      <c r="W1084" s="518"/>
      <c r="X1084" s="808">
        <f>E1084</f>
        <v>605.5</v>
      </c>
      <c r="Y1084" s="809" t="s">
        <v>2304</v>
      </c>
      <c r="Z1084" s="609"/>
      <c r="AA1084" s="604"/>
      <c r="AB1084" s="604"/>
      <c r="AC1084" s="604"/>
      <c r="AD1084" s="604"/>
      <c r="AE1084" s="604"/>
      <c r="AF1084" s="604"/>
      <c r="AG1084" s="604"/>
      <c r="AH1084" s="604"/>
      <c r="AI1084" s="604"/>
      <c r="AJ1084" s="604"/>
      <c r="AK1084" s="604"/>
      <c r="AL1084" s="604"/>
      <c r="AM1084" s="604"/>
      <c r="AN1084" s="604"/>
    </row>
    <row r="1085" spans="1:40" ht="15.75" customHeight="1">
      <c r="A1085" s="683"/>
      <c r="B1085" s="612"/>
      <c r="C1085" s="611"/>
      <c r="D1085" s="608"/>
      <c r="E1085" s="518"/>
      <c r="F1085" s="518"/>
      <c r="G1085" s="518"/>
      <c r="H1085" s="518"/>
      <c r="I1085" s="518"/>
      <c r="J1085" s="518"/>
      <c r="K1085" s="518"/>
      <c r="L1085" s="518"/>
      <c r="M1085" s="518"/>
      <c r="N1085" s="518"/>
      <c r="O1085" s="518"/>
      <c r="P1085" s="518"/>
      <c r="Q1085" s="518"/>
      <c r="R1085" s="518"/>
      <c r="S1085" s="518"/>
      <c r="T1085" s="518"/>
      <c r="U1085" s="518"/>
      <c r="V1085" s="518"/>
      <c r="W1085" s="518"/>
      <c r="X1085" s="808"/>
      <c r="Y1085" s="809"/>
      <c r="Z1085" s="609"/>
      <c r="AA1085" s="604"/>
      <c r="AB1085" s="604"/>
      <c r="AC1085" s="604"/>
      <c r="AD1085" s="604"/>
      <c r="AE1085" s="604"/>
      <c r="AF1085" s="604"/>
      <c r="AG1085" s="604"/>
      <c r="AH1085" s="604"/>
      <c r="AI1085" s="604"/>
      <c r="AJ1085" s="604"/>
      <c r="AK1085" s="604"/>
      <c r="AL1085" s="604"/>
      <c r="AM1085" s="604"/>
      <c r="AN1085" s="604"/>
    </row>
    <row r="1086" spans="1:40" ht="15.75" customHeight="1">
      <c r="A1086" s="620"/>
      <c r="B1086" s="620"/>
      <c r="C1086" s="621"/>
      <c r="D1086" s="622"/>
      <c r="E1086" s="623"/>
      <c r="F1086" s="623"/>
      <c r="G1086" s="623"/>
      <c r="H1086" s="623"/>
      <c r="I1086" s="623"/>
      <c r="J1086" s="623"/>
      <c r="K1086" s="623"/>
      <c r="L1086" s="623"/>
      <c r="M1086" s="623"/>
      <c r="N1086" s="623"/>
      <c r="O1086" s="623"/>
      <c r="P1086" s="623"/>
      <c r="Q1086" s="623"/>
      <c r="R1086" s="623"/>
      <c r="S1086" s="623"/>
      <c r="T1086" s="623"/>
      <c r="U1086" s="623"/>
      <c r="V1086" s="623"/>
      <c r="W1086" s="623"/>
      <c r="X1086" s="808"/>
      <c r="Y1086" s="809"/>
      <c r="Z1086" s="623"/>
      <c r="AA1086" s="604"/>
      <c r="AB1086" s="604"/>
      <c r="AC1086" s="604"/>
      <c r="AD1086" s="604"/>
      <c r="AE1086" s="604"/>
      <c r="AF1086" s="604"/>
      <c r="AG1086" s="604"/>
      <c r="AH1086" s="604"/>
      <c r="AI1086" s="604"/>
      <c r="AJ1086" s="604"/>
      <c r="AK1086" s="604"/>
      <c r="AL1086" s="604"/>
      <c r="AM1086" s="604"/>
      <c r="AN1086" s="604"/>
    </row>
    <row r="1087" spans="1:40" ht="15.75" customHeight="1">
      <c r="A1087" s="683"/>
      <c r="B1087" s="596"/>
      <c r="C1087" s="624"/>
      <c r="D1087" s="608"/>
      <c r="E1087" s="518"/>
      <c r="F1087" s="518"/>
      <c r="G1087" s="518"/>
      <c r="H1087" s="518"/>
      <c r="I1087" s="518"/>
      <c r="J1087" s="518"/>
      <c r="K1087" s="518"/>
      <c r="L1087" s="518"/>
      <c r="M1087" s="518"/>
      <c r="N1087" s="518"/>
      <c r="O1087" s="518"/>
      <c r="P1087" s="518"/>
      <c r="Q1087" s="518"/>
      <c r="R1087" s="518"/>
      <c r="S1087" s="518"/>
      <c r="T1087" s="604"/>
      <c r="U1087" s="604"/>
      <c r="V1087" s="604"/>
      <c r="W1087" s="604"/>
      <c r="X1087" s="808"/>
      <c r="Y1087" s="809"/>
      <c r="Z1087" s="609"/>
      <c r="AA1087" s="604"/>
      <c r="AB1087" s="604"/>
      <c r="AC1087" s="604"/>
      <c r="AD1087" s="604"/>
      <c r="AE1087" s="604"/>
      <c r="AF1087" s="604"/>
      <c r="AG1087" s="604"/>
      <c r="AH1087" s="604"/>
      <c r="AI1087" s="604"/>
      <c r="AJ1087" s="604"/>
      <c r="AK1087" s="604"/>
      <c r="AL1087" s="604"/>
      <c r="AM1087" s="604"/>
      <c r="AN1087" s="604"/>
    </row>
    <row r="1088" spans="1:40" ht="15.75" customHeight="1">
      <c r="A1088" s="683">
        <v>45415</v>
      </c>
      <c r="B1088" s="673" t="s">
        <v>546</v>
      </c>
      <c r="C1088" s="624" t="s">
        <v>547</v>
      </c>
      <c r="D1088" s="608">
        <v>2475</v>
      </c>
      <c r="E1088" s="518"/>
      <c r="F1088" s="518"/>
      <c r="G1088" s="518"/>
      <c r="H1088" s="518"/>
      <c r="I1088" s="518"/>
      <c r="J1088" s="518"/>
      <c r="K1088" s="518"/>
      <c r="L1088" s="518"/>
      <c r="M1088" s="518"/>
      <c r="N1088" s="518"/>
      <c r="O1088" s="518"/>
      <c r="P1088" s="518"/>
      <c r="Q1088" s="518"/>
      <c r="R1088" s="518"/>
      <c r="S1088" s="518"/>
      <c r="T1088" s="604"/>
      <c r="U1088" s="604"/>
      <c r="V1088" s="604"/>
      <c r="W1088" s="604"/>
      <c r="X1088" s="1034">
        <f>D1088</f>
        <v>2475</v>
      </c>
      <c r="Y1088" s="809" t="s">
        <v>2300</v>
      </c>
      <c r="Z1088" s="609"/>
      <c r="AA1088" s="604"/>
      <c r="AB1088" s="604"/>
      <c r="AC1088" s="604"/>
      <c r="AD1088" s="604"/>
      <c r="AE1088" s="604"/>
      <c r="AF1088" s="604"/>
      <c r="AG1088" s="604"/>
      <c r="AH1088" s="604"/>
      <c r="AI1088" s="604"/>
      <c r="AJ1088" s="604"/>
      <c r="AK1088" s="604"/>
      <c r="AL1088" s="604"/>
      <c r="AM1088" s="604"/>
      <c r="AN1088" s="604"/>
    </row>
    <row r="1089" spans="1:40" ht="15.75" customHeight="1">
      <c r="A1089" s="683">
        <v>45418</v>
      </c>
      <c r="B1089" s="596"/>
      <c r="C1089" s="684" t="s">
        <v>2218</v>
      </c>
      <c r="D1089" s="608"/>
      <c r="E1089" s="518"/>
      <c r="F1089" s="518"/>
      <c r="G1089" s="608"/>
      <c r="H1089" s="518"/>
      <c r="I1089" s="518"/>
      <c r="J1089" s="518"/>
      <c r="K1089" s="518"/>
      <c r="L1089" s="518"/>
      <c r="M1089" s="518"/>
      <c r="N1089" s="518"/>
      <c r="O1089" s="518"/>
      <c r="P1089" s="518"/>
      <c r="Q1089" s="518">
        <v>54</v>
      </c>
      <c r="R1089" s="518"/>
      <c r="S1089" s="518"/>
      <c r="T1089" s="604"/>
      <c r="U1089" s="604"/>
      <c r="V1089" s="604"/>
      <c r="W1089" s="604"/>
      <c r="X1089" s="808">
        <f>Q1089</f>
        <v>54</v>
      </c>
      <c r="Y1089" s="809" t="str">
        <f>$Q$3</f>
        <v>6495-2</v>
      </c>
      <c r="Z1089" s="609"/>
      <c r="AA1089" s="604"/>
      <c r="AB1089" s="604"/>
      <c r="AC1089" s="604"/>
      <c r="AD1089" s="604"/>
      <c r="AE1089" s="604"/>
      <c r="AF1089" s="604"/>
      <c r="AG1089" s="604"/>
      <c r="AH1089" s="604"/>
      <c r="AI1089" s="604"/>
      <c r="AJ1089" s="604"/>
      <c r="AK1089" s="604"/>
      <c r="AL1089" s="604"/>
      <c r="AM1089" s="604"/>
      <c r="AN1089" s="604"/>
    </row>
    <row r="1090" spans="1:40" ht="15.75" customHeight="1">
      <c r="A1090" s="683">
        <v>45426</v>
      </c>
      <c r="B1090" s="596"/>
      <c r="C1090" s="624" t="s">
        <v>545</v>
      </c>
      <c r="D1090" s="608"/>
      <c r="E1090" s="518"/>
      <c r="F1090" s="518"/>
      <c r="G1090" s="608"/>
      <c r="H1090" s="518"/>
      <c r="I1090" s="518"/>
      <c r="J1090" s="518"/>
      <c r="K1090" s="518"/>
      <c r="L1090" s="518"/>
      <c r="M1090" s="518"/>
      <c r="N1090" s="518"/>
      <c r="O1090" s="518"/>
      <c r="P1090" s="518"/>
      <c r="Q1090" s="518"/>
      <c r="R1090" s="518"/>
      <c r="S1090" s="518">
        <v>11.2</v>
      </c>
      <c r="T1090" s="604"/>
      <c r="U1090" s="604"/>
      <c r="V1090" s="604"/>
      <c r="W1090" s="604"/>
      <c r="X1090" s="808">
        <f>S1090</f>
        <v>11.2</v>
      </c>
      <c r="Y1090" s="809">
        <f>$S$3</f>
        <v>6855</v>
      </c>
      <c r="Z1090" s="609"/>
      <c r="AA1090" s="604"/>
      <c r="AB1090" s="604"/>
      <c r="AC1090" s="604"/>
      <c r="AD1090" s="604"/>
      <c r="AE1090" s="604"/>
      <c r="AF1090" s="604"/>
      <c r="AG1090" s="604"/>
      <c r="AH1090" s="604"/>
      <c r="AI1090" s="604"/>
      <c r="AJ1090" s="604"/>
      <c r="AK1090" s="604"/>
      <c r="AL1090" s="604"/>
      <c r="AM1090" s="604"/>
      <c r="AN1090" s="604"/>
    </row>
    <row r="1091" spans="1:40" ht="15.75" customHeight="1">
      <c r="A1091" s="683">
        <v>45426</v>
      </c>
      <c r="B1091" s="596"/>
      <c r="C1091" s="624" t="s">
        <v>396</v>
      </c>
      <c r="D1091" s="608"/>
      <c r="E1091" s="518"/>
      <c r="F1091" s="518"/>
      <c r="G1091" s="608"/>
      <c r="H1091" s="518"/>
      <c r="I1091" s="518"/>
      <c r="J1091" s="518"/>
      <c r="K1091" s="518"/>
      <c r="L1091" s="518">
        <v>219.35</v>
      </c>
      <c r="M1091" s="518"/>
      <c r="N1091" s="518"/>
      <c r="O1091" s="518"/>
      <c r="P1091" s="518"/>
      <c r="Q1091" s="518"/>
      <c r="R1091" s="518"/>
      <c r="S1091" s="518"/>
      <c r="T1091" s="604"/>
      <c r="U1091" s="604"/>
      <c r="V1091" s="604"/>
      <c r="W1091" s="604"/>
      <c r="X1091" s="1033">
        <f>L1091</f>
        <v>219.35</v>
      </c>
      <c r="Y1091" s="809" t="str">
        <f>$L$3</f>
        <v>6673-1</v>
      </c>
      <c r="Z1091" s="609"/>
      <c r="AA1091" s="604"/>
      <c r="AB1091" s="604"/>
      <c r="AC1091" s="604"/>
      <c r="AD1091" s="604"/>
      <c r="AE1091" s="604"/>
      <c r="AF1091" s="604"/>
      <c r="AG1091" s="604"/>
      <c r="AH1091" s="604"/>
      <c r="AI1091" s="604"/>
      <c r="AJ1091" s="604"/>
      <c r="AK1091" s="604"/>
      <c r="AL1091" s="604"/>
      <c r="AM1091" s="604"/>
      <c r="AN1091" s="604"/>
    </row>
    <row r="1092" spans="1:40" ht="15.75" customHeight="1">
      <c r="A1092" s="683">
        <v>45427</v>
      </c>
      <c r="B1092" s="624" t="s">
        <v>531</v>
      </c>
      <c r="C1092" s="624" t="s">
        <v>548</v>
      </c>
      <c r="D1092" s="608"/>
      <c r="E1092" s="518"/>
      <c r="F1092" s="518">
        <v>2547</v>
      </c>
      <c r="G1092" s="608"/>
      <c r="H1092" s="518"/>
      <c r="I1092" s="518"/>
      <c r="J1092" s="518"/>
      <c r="K1092" s="518"/>
      <c r="L1092" s="518"/>
      <c r="M1092" s="518"/>
      <c r="N1092" s="518"/>
      <c r="O1092" s="518"/>
      <c r="P1092" s="518"/>
      <c r="Q1092" s="518"/>
      <c r="R1092" s="518"/>
      <c r="S1092" s="518"/>
      <c r="T1092" s="604"/>
      <c r="U1092" s="604"/>
      <c r="V1092" s="604"/>
      <c r="W1092" s="604"/>
      <c r="X1092" s="808"/>
      <c r="Y1092" s="809"/>
      <c r="Z1092" s="609"/>
      <c r="AA1092" s="604"/>
      <c r="AB1092" s="604"/>
      <c r="AC1092" s="604"/>
      <c r="AD1092" s="604"/>
      <c r="AE1092" s="604"/>
      <c r="AF1092" s="604"/>
      <c r="AG1092" s="604"/>
      <c r="AH1092" s="604"/>
      <c r="AI1092" s="604"/>
      <c r="AJ1092" s="604"/>
      <c r="AK1092" s="604"/>
      <c r="AL1092" s="604"/>
      <c r="AM1092" s="604"/>
      <c r="AN1092" s="604"/>
    </row>
    <row r="1093" spans="1:40" ht="15.75" customHeight="1">
      <c r="A1093" s="683">
        <v>45427</v>
      </c>
      <c r="B1093" s="624" t="s">
        <v>531</v>
      </c>
      <c r="C1093" s="624" t="s">
        <v>549</v>
      </c>
      <c r="D1093" s="608"/>
      <c r="E1093" s="518"/>
      <c r="F1093" s="518">
        <v>2260</v>
      </c>
      <c r="G1093" s="608"/>
      <c r="H1093" s="518"/>
      <c r="I1093" s="518"/>
      <c r="J1093" s="518"/>
      <c r="K1093" s="518"/>
      <c r="L1093" s="518"/>
      <c r="M1093" s="518"/>
      <c r="N1093" s="518"/>
      <c r="O1093" s="518"/>
      <c r="P1093" s="518"/>
      <c r="Q1093" s="518"/>
      <c r="R1093" s="518"/>
      <c r="S1093" s="518"/>
      <c r="T1093" s="604"/>
      <c r="U1093" s="604"/>
      <c r="V1093" s="604"/>
      <c r="W1093" s="604"/>
      <c r="X1093" s="808"/>
      <c r="Y1093" s="809"/>
      <c r="Z1093" s="609"/>
      <c r="AA1093" s="604"/>
      <c r="AB1093" s="604"/>
      <c r="AC1093" s="604"/>
      <c r="AD1093" s="604"/>
      <c r="AE1093" s="604"/>
      <c r="AF1093" s="604"/>
      <c r="AG1093" s="604"/>
      <c r="AH1093" s="604"/>
      <c r="AI1093" s="604"/>
      <c r="AJ1093" s="604"/>
      <c r="AK1093" s="604"/>
      <c r="AL1093" s="604"/>
      <c r="AM1093" s="604"/>
      <c r="AN1093" s="604"/>
    </row>
    <row r="1094" spans="1:40" ht="15.75" customHeight="1">
      <c r="A1094" s="683">
        <v>45427</v>
      </c>
      <c r="B1094" s="624" t="s">
        <v>531</v>
      </c>
      <c r="C1094" s="624" t="s">
        <v>550</v>
      </c>
      <c r="D1094" s="608"/>
      <c r="E1094" s="518"/>
      <c r="F1094" s="518">
        <v>1599</v>
      </c>
      <c r="G1094" s="608"/>
      <c r="H1094" s="518"/>
      <c r="I1094" s="518"/>
      <c r="J1094" s="518"/>
      <c r="K1094" s="518"/>
      <c r="L1094" s="518"/>
      <c r="M1094" s="518"/>
      <c r="N1094" s="518"/>
      <c r="O1094" s="518"/>
      <c r="P1094" s="518"/>
      <c r="Q1094" s="518"/>
      <c r="R1094" s="518"/>
      <c r="S1094" s="518"/>
      <c r="T1094" s="604"/>
      <c r="U1094" s="604"/>
      <c r="V1094" s="604"/>
      <c r="W1094" s="604"/>
      <c r="X1094" s="808"/>
      <c r="Y1094" s="809"/>
      <c r="Z1094" s="609"/>
      <c r="AA1094" s="604"/>
      <c r="AB1094" s="604"/>
      <c r="AC1094" s="604"/>
      <c r="AD1094" s="604"/>
      <c r="AE1094" s="604"/>
      <c r="AF1094" s="604"/>
      <c r="AG1094" s="604"/>
      <c r="AH1094" s="604"/>
      <c r="AI1094" s="604"/>
      <c r="AJ1094" s="604"/>
      <c r="AK1094" s="604"/>
      <c r="AL1094" s="604"/>
      <c r="AM1094" s="604"/>
      <c r="AN1094" s="604"/>
    </row>
    <row r="1095" spans="1:40" ht="15.75" customHeight="1">
      <c r="A1095" s="683">
        <v>45427</v>
      </c>
      <c r="B1095" s="624" t="s">
        <v>531</v>
      </c>
      <c r="C1095" s="624" t="s">
        <v>551</v>
      </c>
      <c r="D1095" s="608"/>
      <c r="E1095" s="518"/>
      <c r="F1095" s="518">
        <v>420</v>
      </c>
      <c r="G1095" s="608"/>
      <c r="H1095" s="518"/>
      <c r="I1095" s="518"/>
      <c r="J1095" s="518"/>
      <c r="K1095" s="518"/>
      <c r="L1095" s="518"/>
      <c r="M1095" s="518"/>
      <c r="N1095" s="518"/>
      <c r="O1095" s="518"/>
      <c r="P1095" s="518"/>
      <c r="Q1095" s="518"/>
      <c r="R1095" s="518"/>
      <c r="S1095" s="518"/>
      <c r="T1095" s="604"/>
      <c r="U1095" s="604"/>
      <c r="V1095" s="604"/>
      <c r="W1095" s="604"/>
      <c r="X1095" s="808"/>
      <c r="Y1095" s="809"/>
      <c r="Z1095" s="609"/>
      <c r="AA1095" s="604"/>
      <c r="AB1095" s="604"/>
      <c r="AC1095" s="604"/>
      <c r="AD1095" s="604"/>
      <c r="AE1095" s="604"/>
      <c r="AF1095" s="604"/>
      <c r="AG1095" s="604"/>
      <c r="AH1095" s="604"/>
      <c r="AI1095" s="604"/>
      <c r="AJ1095" s="604"/>
      <c r="AK1095" s="604"/>
      <c r="AL1095" s="604"/>
      <c r="AM1095" s="604"/>
      <c r="AN1095" s="604"/>
    </row>
    <row r="1096" spans="1:40" ht="15.75" customHeight="1">
      <c r="A1096" s="683">
        <v>45427</v>
      </c>
      <c r="B1096" s="624" t="s">
        <v>531</v>
      </c>
      <c r="C1096" s="624" t="s">
        <v>552</v>
      </c>
      <c r="D1096" s="608"/>
      <c r="E1096" s="518"/>
      <c r="F1096" s="616"/>
      <c r="G1096" s="608"/>
      <c r="H1096" s="518"/>
      <c r="I1096" s="518"/>
      <c r="J1096" s="518"/>
      <c r="K1096" s="518"/>
      <c r="L1096" s="518"/>
      <c r="M1096" s="518"/>
      <c r="N1096" s="518"/>
      <c r="O1096" s="518"/>
      <c r="P1096" s="518"/>
      <c r="Q1096" s="518"/>
      <c r="R1096" s="518"/>
      <c r="S1096" s="518">
        <v>11</v>
      </c>
      <c r="T1096" s="604"/>
      <c r="U1096" s="604"/>
      <c r="V1096" s="604"/>
      <c r="W1096" s="604"/>
      <c r="X1096" s="808"/>
      <c r="Y1096" s="809"/>
      <c r="Z1096" s="609"/>
      <c r="AA1096" s="604"/>
      <c r="AB1096" s="604"/>
      <c r="AC1096" s="604"/>
      <c r="AD1096" s="604"/>
      <c r="AE1096" s="604"/>
      <c r="AF1096" s="604"/>
      <c r="AG1096" s="604"/>
      <c r="AH1096" s="604"/>
      <c r="AI1096" s="604"/>
      <c r="AJ1096" s="604"/>
      <c r="AK1096" s="604"/>
      <c r="AL1096" s="604"/>
      <c r="AM1096" s="604"/>
      <c r="AN1096" s="604"/>
    </row>
    <row r="1097" spans="1:40" ht="15.75" customHeight="1">
      <c r="A1097" s="683">
        <v>45427</v>
      </c>
      <c r="B1097" s="624" t="s">
        <v>531</v>
      </c>
      <c r="C1097" s="624" t="s">
        <v>551</v>
      </c>
      <c r="D1097" s="608"/>
      <c r="E1097" s="518"/>
      <c r="F1097" s="518">
        <v>522</v>
      </c>
      <c r="G1097" s="608"/>
      <c r="H1097" s="518"/>
      <c r="I1097" s="518"/>
      <c r="J1097" s="518"/>
      <c r="K1097" s="518"/>
      <c r="L1097" s="518"/>
      <c r="M1097" s="518"/>
      <c r="N1097" s="518"/>
      <c r="O1097" s="518"/>
      <c r="P1097" s="518"/>
      <c r="Q1097" s="518"/>
      <c r="R1097" s="518"/>
      <c r="S1097" s="518"/>
      <c r="T1097" s="604"/>
      <c r="U1097" s="604"/>
      <c r="V1097" s="604"/>
      <c r="W1097" s="604"/>
      <c r="X1097" s="808"/>
      <c r="Y1097" s="809"/>
      <c r="Z1097" s="609"/>
      <c r="AA1097" s="604"/>
      <c r="AB1097" s="604"/>
      <c r="AC1097" s="604"/>
      <c r="AD1097" s="604"/>
      <c r="AE1097" s="604"/>
      <c r="AF1097" s="604"/>
      <c r="AG1097" s="604"/>
      <c r="AH1097" s="604"/>
      <c r="AI1097" s="604"/>
      <c r="AJ1097" s="604"/>
      <c r="AK1097" s="604"/>
      <c r="AL1097" s="604"/>
      <c r="AM1097" s="604"/>
      <c r="AN1097" s="604"/>
    </row>
    <row r="1098" spans="1:40" ht="15.75" customHeight="1">
      <c r="A1098" s="683">
        <v>45428</v>
      </c>
      <c r="B1098" s="596"/>
      <c r="C1098" s="624" t="s">
        <v>396</v>
      </c>
      <c r="D1098" s="608"/>
      <c r="E1098" s="518">
        <v>46.44</v>
      </c>
      <c r="F1098" s="518"/>
      <c r="G1098" s="608"/>
      <c r="H1098" s="518"/>
      <c r="I1098" s="518"/>
      <c r="J1098" s="518"/>
      <c r="K1098" s="518"/>
      <c r="L1098" s="518"/>
      <c r="M1098" s="518"/>
      <c r="N1098" s="518"/>
      <c r="O1098" s="518"/>
      <c r="P1098" s="518"/>
      <c r="Q1098" s="518"/>
      <c r="R1098" s="518"/>
      <c r="S1098" s="518"/>
      <c r="T1098" s="604"/>
      <c r="U1098" s="604"/>
      <c r="V1098" s="604"/>
      <c r="W1098" s="604"/>
      <c r="X1098" s="808">
        <f>E1098</f>
        <v>46.44</v>
      </c>
      <c r="Y1098" s="809" t="s">
        <v>2304</v>
      </c>
      <c r="Z1098" s="609"/>
      <c r="AA1098" s="604"/>
      <c r="AB1098" s="604"/>
      <c r="AC1098" s="604"/>
      <c r="AD1098" s="604"/>
      <c r="AE1098" s="604"/>
      <c r="AF1098" s="604"/>
      <c r="AG1098" s="604"/>
      <c r="AH1098" s="604"/>
      <c r="AI1098" s="604"/>
      <c r="AJ1098" s="604"/>
      <c r="AK1098" s="604"/>
      <c r="AL1098" s="604"/>
      <c r="AM1098" s="604"/>
      <c r="AN1098" s="604"/>
    </row>
    <row r="1099" spans="1:40" ht="15.75" customHeight="1">
      <c r="A1099" s="683">
        <v>45429</v>
      </c>
      <c r="B1099" s="673"/>
      <c r="C1099" s="624" t="s">
        <v>553</v>
      </c>
      <c r="D1099" s="608"/>
      <c r="E1099" s="518"/>
      <c r="F1099" s="518">
        <v>20.52</v>
      </c>
      <c r="G1099" s="608"/>
      <c r="H1099" s="518"/>
      <c r="I1099" s="518"/>
      <c r="J1099" s="518"/>
      <c r="K1099" s="518"/>
      <c r="L1099" s="518"/>
      <c r="M1099" s="518"/>
      <c r="N1099" s="518"/>
      <c r="O1099" s="518"/>
      <c r="P1099" s="518"/>
      <c r="Q1099" s="518"/>
      <c r="R1099" s="518"/>
      <c r="S1099" s="518"/>
      <c r="T1099" s="604"/>
      <c r="U1099" s="604"/>
      <c r="V1099" s="604"/>
      <c r="W1099" s="604"/>
      <c r="X1099" s="808"/>
      <c r="Y1099" s="809"/>
      <c r="Z1099" s="609"/>
      <c r="AA1099" s="604"/>
      <c r="AB1099" s="604"/>
      <c r="AC1099" s="604"/>
      <c r="AD1099" s="604"/>
      <c r="AE1099" s="604"/>
      <c r="AF1099" s="604"/>
      <c r="AG1099" s="604"/>
      <c r="AH1099" s="604"/>
      <c r="AI1099" s="604"/>
      <c r="AJ1099" s="604"/>
      <c r="AK1099" s="604"/>
      <c r="AL1099" s="604"/>
      <c r="AM1099" s="604"/>
      <c r="AN1099" s="604"/>
    </row>
    <row r="1100" spans="1:40" ht="15.75" customHeight="1">
      <c r="A1100" s="683">
        <v>45432</v>
      </c>
      <c r="B1100" s="596"/>
      <c r="C1100" s="624" t="s">
        <v>207</v>
      </c>
      <c r="D1100" s="608"/>
      <c r="E1100" s="518"/>
      <c r="F1100" s="518"/>
      <c r="G1100" s="608"/>
      <c r="H1100" s="518"/>
      <c r="I1100" s="518"/>
      <c r="J1100" s="518"/>
      <c r="K1100" s="518"/>
      <c r="L1100" s="518"/>
      <c r="M1100" s="518">
        <v>29.25</v>
      </c>
      <c r="N1100" s="518"/>
      <c r="O1100" s="518"/>
      <c r="P1100" s="518"/>
      <c r="Q1100" s="518"/>
      <c r="R1100" s="518"/>
      <c r="S1100" s="518"/>
      <c r="T1100" s="604"/>
      <c r="U1100" s="604"/>
      <c r="V1100" s="604"/>
      <c r="W1100" s="604"/>
      <c r="X1100" s="808">
        <f>M1100</f>
        <v>29.25</v>
      </c>
      <c r="Y1100" s="809" t="str">
        <f>$M$3</f>
        <v>6673-2</v>
      </c>
      <c r="Z1100" s="609"/>
      <c r="AA1100" s="604"/>
      <c r="AB1100" s="604"/>
      <c r="AC1100" s="604"/>
      <c r="AD1100" s="604"/>
      <c r="AE1100" s="604"/>
      <c r="AF1100" s="604"/>
      <c r="AG1100" s="604"/>
      <c r="AH1100" s="604"/>
      <c r="AI1100" s="604"/>
      <c r="AJ1100" s="604"/>
      <c r="AK1100" s="604"/>
      <c r="AL1100" s="604"/>
      <c r="AM1100" s="604"/>
      <c r="AN1100" s="604"/>
    </row>
    <row r="1101" spans="1:40" ht="15.75" customHeight="1">
      <c r="A1101" s="683">
        <v>45433</v>
      </c>
      <c r="B1101" s="673" t="s">
        <v>554</v>
      </c>
      <c r="C1101" s="624" t="s">
        <v>392</v>
      </c>
      <c r="D1101" s="608">
        <v>3100</v>
      </c>
      <c r="E1101" s="518"/>
      <c r="F1101" s="518"/>
      <c r="G1101" s="608"/>
      <c r="H1101" s="518"/>
      <c r="I1101" s="518"/>
      <c r="J1101" s="518"/>
      <c r="K1101" s="518"/>
      <c r="L1101" s="518"/>
      <c r="M1101" s="518"/>
      <c r="N1101" s="518"/>
      <c r="O1101" s="518"/>
      <c r="P1101" s="518"/>
      <c r="Q1101" s="518"/>
      <c r="R1101" s="518"/>
      <c r="S1101" s="518"/>
      <c r="T1101" s="604"/>
      <c r="U1101" s="604"/>
      <c r="V1101" s="604"/>
      <c r="W1101" s="604"/>
      <c r="X1101" s="1034">
        <f>D1101</f>
        <v>3100</v>
      </c>
      <c r="Y1101" s="809" t="s">
        <v>2300</v>
      </c>
      <c r="Z1101" s="609"/>
      <c r="AA1101" s="604"/>
      <c r="AB1101" s="604"/>
      <c r="AC1101" s="604"/>
      <c r="AD1101" s="604"/>
      <c r="AE1101" s="604"/>
      <c r="AF1101" s="604"/>
      <c r="AG1101" s="604"/>
      <c r="AH1101" s="604"/>
      <c r="AI1101" s="604"/>
      <c r="AJ1101" s="604"/>
      <c r="AK1101" s="604"/>
      <c r="AL1101" s="604"/>
      <c r="AM1101" s="604"/>
      <c r="AN1101" s="604"/>
    </row>
    <row r="1102" spans="1:40" ht="15.75" customHeight="1">
      <c r="A1102" s="683">
        <v>45434</v>
      </c>
      <c r="B1102" s="596"/>
      <c r="C1102" s="624" t="s">
        <v>451</v>
      </c>
      <c r="D1102" s="608"/>
      <c r="E1102" s="518">
        <v>1259.5</v>
      </c>
      <c r="F1102" s="518"/>
      <c r="G1102" s="608"/>
      <c r="H1102" s="518"/>
      <c r="I1102" s="518"/>
      <c r="J1102" s="518"/>
      <c r="K1102" s="518"/>
      <c r="L1102" s="518"/>
      <c r="M1102" s="518"/>
      <c r="N1102" s="518"/>
      <c r="O1102" s="518"/>
      <c r="P1102" s="518"/>
      <c r="Q1102" s="518"/>
      <c r="R1102" s="518"/>
      <c r="S1102" s="518"/>
      <c r="T1102" s="604"/>
      <c r="U1102" s="604"/>
      <c r="V1102" s="604"/>
      <c r="W1102" s="604"/>
      <c r="X1102" s="808">
        <f>E1102</f>
        <v>1259.5</v>
      </c>
      <c r="Y1102" s="809" t="s">
        <v>2304</v>
      </c>
      <c r="Z1102" s="609"/>
      <c r="AA1102" s="604"/>
      <c r="AB1102" s="604"/>
      <c r="AC1102" s="604"/>
      <c r="AD1102" s="604"/>
      <c r="AE1102" s="604"/>
      <c r="AF1102" s="604"/>
      <c r="AG1102" s="604"/>
      <c r="AH1102" s="604"/>
      <c r="AI1102" s="604"/>
      <c r="AJ1102" s="604"/>
      <c r="AK1102" s="604"/>
      <c r="AL1102" s="604"/>
      <c r="AM1102" s="604"/>
      <c r="AN1102" s="604"/>
    </row>
    <row r="1103" spans="1:40" ht="15.75" customHeight="1">
      <c r="A1103" s="683">
        <v>45434</v>
      </c>
      <c r="B1103" s="596"/>
      <c r="C1103" s="624" t="s">
        <v>555</v>
      </c>
      <c r="D1103" s="608"/>
      <c r="E1103" s="518"/>
      <c r="F1103" s="518"/>
      <c r="G1103" s="608"/>
      <c r="H1103" s="518"/>
      <c r="I1103" s="518"/>
      <c r="J1103" s="518"/>
      <c r="K1103" s="518"/>
      <c r="L1103" s="518"/>
      <c r="M1103" s="518"/>
      <c r="N1103" s="518"/>
      <c r="O1103" s="518">
        <v>420.42</v>
      </c>
      <c r="P1103" s="518"/>
      <c r="Q1103" s="518"/>
      <c r="R1103" s="518"/>
      <c r="S1103" s="518"/>
      <c r="T1103" s="604"/>
      <c r="U1103" s="604"/>
      <c r="V1103" s="604"/>
      <c r="W1103" s="604"/>
      <c r="X1103" s="1033">
        <f>O1103</f>
        <v>420.42</v>
      </c>
      <c r="Y1103" s="809">
        <f>$O$3</f>
        <v>6530</v>
      </c>
      <c r="Z1103" s="609"/>
      <c r="AA1103" s="604"/>
      <c r="AB1103" s="604"/>
      <c r="AC1103" s="604"/>
      <c r="AD1103" s="604"/>
      <c r="AE1103" s="604"/>
      <c r="AF1103" s="604"/>
      <c r="AG1103" s="604"/>
      <c r="AH1103" s="604"/>
      <c r="AI1103" s="604"/>
      <c r="AJ1103" s="604"/>
      <c r="AK1103" s="604"/>
      <c r="AL1103" s="604"/>
      <c r="AM1103" s="604"/>
      <c r="AN1103" s="604"/>
    </row>
    <row r="1104" spans="1:40" ht="15.75" customHeight="1">
      <c r="A1104" s="683">
        <v>45435</v>
      </c>
      <c r="B1104" s="673" t="s">
        <v>556</v>
      </c>
      <c r="C1104" s="624" t="s">
        <v>91</v>
      </c>
      <c r="D1104" s="608"/>
      <c r="E1104" s="518">
        <v>2410</v>
      </c>
      <c r="F1104" s="518"/>
      <c r="G1104" s="608"/>
      <c r="H1104" s="518"/>
      <c r="I1104" s="518"/>
      <c r="J1104" s="518"/>
      <c r="K1104" s="518"/>
      <c r="L1104" s="518"/>
      <c r="M1104" s="518"/>
      <c r="N1104" s="518"/>
      <c r="O1104" s="518"/>
      <c r="P1104" s="518"/>
      <c r="Q1104" s="518"/>
      <c r="R1104" s="518"/>
      <c r="S1104" s="518"/>
      <c r="T1104" s="604"/>
      <c r="U1104" s="604"/>
      <c r="V1104" s="604"/>
      <c r="W1104" s="604"/>
      <c r="X1104" s="808">
        <f>E1104</f>
        <v>2410</v>
      </c>
      <c r="Y1104" s="809" t="s">
        <v>2304</v>
      </c>
      <c r="Z1104" s="609"/>
      <c r="AA1104" s="604"/>
      <c r="AB1104" s="604"/>
      <c r="AC1104" s="604"/>
      <c r="AD1104" s="604"/>
      <c r="AE1104" s="604"/>
      <c r="AF1104" s="604"/>
      <c r="AG1104" s="604"/>
      <c r="AH1104" s="604"/>
      <c r="AI1104" s="604"/>
      <c r="AJ1104" s="604"/>
      <c r="AK1104" s="604"/>
      <c r="AL1104" s="604"/>
      <c r="AM1104" s="604"/>
      <c r="AN1104" s="604"/>
    </row>
    <row r="1105" spans="1:40" ht="15.75" customHeight="1">
      <c r="A1105" s="683">
        <v>45436</v>
      </c>
      <c r="B1105" s="673" t="s">
        <v>557</v>
      </c>
      <c r="C1105" s="624" t="s">
        <v>413</v>
      </c>
      <c r="D1105" s="608">
        <v>380</v>
      </c>
      <c r="E1105" s="518"/>
      <c r="F1105" s="518"/>
      <c r="G1105" s="608"/>
      <c r="H1105" s="518"/>
      <c r="I1105" s="518"/>
      <c r="J1105" s="518"/>
      <c r="K1105" s="518"/>
      <c r="L1105" s="518"/>
      <c r="M1105" s="518"/>
      <c r="N1105" s="518"/>
      <c r="O1105" s="518"/>
      <c r="P1105" s="518"/>
      <c r="Q1105" s="518"/>
      <c r="R1105" s="518"/>
      <c r="S1105" s="518"/>
      <c r="T1105" s="604"/>
      <c r="U1105" s="604"/>
      <c r="V1105" s="604"/>
      <c r="W1105" s="604"/>
      <c r="X1105" s="1034">
        <f>D1105</f>
        <v>380</v>
      </c>
      <c r="Y1105" s="809" t="s">
        <v>2300</v>
      </c>
      <c r="Z1105" s="609"/>
      <c r="AA1105" s="604"/>
      <c r="AB1105" s="604"/>
      <c r="AC1105" s="604"/>
      <c r="AD1105" s="604"/>
      <c r="AE1105" s="604"/>
      <c r="AF1105" s="604"/>
      <c r="AG1105" s="604"/>
      <c r="AH1105" s="604"/>
      <c r="AI1105" s="604"/>
      <c r="AJ1105" s="604"/>
      <c r="AK1105" s="604"/>
      <c r="AL1105" s="604"/>
      <c r="AM1105" s="604"/>
      <c r="AN1105" s="604"/>
    </row>
    <row r="1106" spans="1:40" ht="15.75" customHeight="1">
      <c r="A1106" s="683">
        <v>45440</v>
      </c>
      <c r="B1106" s="596"/>
      <c r="C1106" s="624" t="s">
        <v>558</v>
      </c>
      <c r="D1106" s="608"/>
      <c r="E1106" s="518"/>
      <c r="F1106" s="518"/>
      <c r="G1106" s="518"/>
      <c r="H1106" s="518"/>
      <c r="I1106" s="518"/>
      <c r="J1106" s="518"/>
      <c r="K1106" s="518"/>
      <c r="L1106" s="518"/>
      <c r="M1106" s="518"/>
      <c r="N1106" s="518"/>
      <c r="O1106" s="518">
        <f>51.01*B1071</f>
        <v>59.573048699999994</v>
      </c>
      <c r="P1106" s="518"/>
      <c r="Q1106" s="518"/>
      <c r="R1106" s="518"/>
      <c r="S1106" s="518"/>
      <c r="T1106" s="604"/>
      <c r="U1106" s="604"/>
      <c r="V1106" s="604"/>
      <c r="W1106" s="604"/>
      <c r="X1106" s="1033">
        <f>O1106</f>
        <v>59.573048699999994</v>
      </c>
      <c r="Y1106" s="809">
        <f>$O$3</f>
        <v>6530</v>
      </c>
      <c r="Z1106" s="609"/>
      <c r="AA1106" s="604"/>
      <c r="AB1106" s="604"/>
      <c r="AC1106" s="604"/>
      <c r="AD1106" s="604"/>
      <c r="AE1106" s="604"/>
      <c r="AF1106" s="604"/>
      <c r="AG1106" s="604"/>
      <c r="AH1106" s="604"/>
      <c r="AI1106" s="604"/>
      <c r="AJ1106" s="604"/>
      <c r="AK1106" s="604"/>
      <c r="AL1106" s="604"/>
      <c r="AM1106" s="604"/>
      <c r="AN1106" s="604"/>
    </row>
    <row r="1107" spans="1:40" ht="15.75" customHeight="1">
      <c r="A1107" s="683">
        <v>45441</v>
      </c>
      <c r="B1107" s="616" t="s">
        <v>2219</v>
      </c>
      <c r="C1107" s="624" t="s">
        <v>433</v>
      </c>
      <c r="D1107" s="608">
        <v>850</v>
      </c>
      <c r="E1107" s="518"/>
      <c r="F1107" s="518"/>
      <c r="G1107" s="518"/>
      <c r="H1107" s="518"/>
      <c r="I1107" s="518"/>
      <c r="J1107" s="518"/>
      <c r="K1107" s="518"/>
      <c r="L1107" s="518"/>
      <c r="M1107" s="518"/>
      <c r="N1107" s="518"/>
      <c r="O1107" s="518"/>
      <c r="P1107" s="518"/>
      <c r="Q1107" s="518"/>
      <c r="R1107" s="518"/>
      <c r="S1107" s="518"/>
      <c r="T1107" s="604"/>
      <c r="U1107" s="604"/>
      <c r="V1107" s="604"/>
      <c r="W1107" s="604"/>
      <c r="X1107" s="1034">
        <f>D1107</f>
        <v>850</v>
      </c>
      <c r="Y1107" s="809" t="s">
        <v>2300</v>
      </c>
      <c r="Z1107" s="609"/>
      <c r="AA1107" s="604"/>
      <c r="AB1107" s="604"/>
      <c r="AC1107" s="604"/>
      <c r="AD1107" s="604"/>
      <c r="AE1107" s="604"/>
      <c r="AF1107" s="604"/>
      <c r="AG1107" s="604"/>
      <c r="AH1107" s="604"/>
      <c r="AI1107" s="604"/>
      <c r="AJ1107" s="604"/>
      <c r="AK1107" s="604"/>
      <c r="AL1107" s="604"/>
      <c r="AM1107" s="604"/>
      <c r="AN1107" s="604"/>
    </row>
    <row r="1108" spans="1:40" ht="15.75" customHeight="1" thickBot="1">
      <c r="A1108" s="683"/>
      <c r="B1108" s="596"/>
      <c r="C1108" s="624"/>
      <c r="D1108" s="608"/>
      <c r="E1108" s="518"/>
      <c r="F1108" s="518"/>
      <c r="G1108" s="518"/>
      <c r="H1108" s="518"/>
      <c r="I1108" s="518"/>
      <c r="J1108" s="518"/>
      <c r="K1108" s="518"/>
      <c r="L1108" s="518"/>
      <c r="M1108" s="518"/>
      <c r="N1108" s="518"/>
      <c r="O1108" s="518"/>
      <c r="P1108" s="518"/>
      <c r="Q1108" s="518"/>
      <c r="R1108" s="518"/>
      <c r="S1108" s="518"/>
      <c r="T1108" s="604"/>
      <c r="U1108" s="604"/>
      <c r="V1108" s="604"/>
      <c r="W1108" s="604"/>
      <c r="X1108" s="808"/>
      <c r="Y1108" s="809"/>
      <c r="Z1108" s="609"/>
      <c r="AA1108" s="604"/>
      <c r="AB1108" s="604"/>
      <c r="AC1108" s="604"/>
      <c r="AD1108" s="604"/>
      <c r="AE1108" s="604"/>
      <c r="AF1108" s="604"/>
      <c r="AG1108" s="604"/>
      <c r="AH1108" s="604"/>
      <c r="AI1108" s="604"/>
      <c r="AJ1108" s="604"/>
      <c r="AK1108" s="604"/>
      <c r="AL1108" s="604"/>
      <c r="AM1108" s="604"/>
      <c r="AN1108" s="604"/>
    </row>
    <row r="1109" spans="1:40" ht="15.75" customHeight="1" thickTop="1">
      <c r="A1109" s="627"/>
      <c r="B1109" s="655">
        <v>45444</v>
      </c>
      <c r="C1109" s="627"/>
      <c r="D1109" s="601"/>
      <c r="E1109" s="602"/>
      <c r="F1109" s="602"/>
      <c r="G1109" s="602"/>
      <c r="H1109" s="602"/>
      <c r="I1109" s="602"/>
      <c r="J1109" s="602"/>
      <c r="K1109" s="602"/>
      <c r="L1109" s="602"/>
      <c r="M1109" s="602"/>
      <c r="N1109" s="602"/>
      <c r="O1109" s="602"/>
      <c r="P1109" s="602"/>
      <c r="Q1109" s="602"/>
      <c r="R1109" s="602"/>
      <c r="S1109" s="602"/>
      <c r="T1109" s="602"/>
      <c r="U1109" s="602"/>
      <c r="V1109" s="602"/>
      <c r="W1109" s="602"/>
      <c r="X1109" s="808"/>
      <c r="Y1109" s="809"/>
      <c r="Z1109" s="602"/>
      <c r="AA1109" s="604"/>
      <c r="AB1109" s="604"/>
      <c r="AC1109" s="604"/>
      <c r="AD1109" s="604"/>
      <c r="AE1109" s="604"/>
      <c r="AF1109" s="604"/>
      <c r="AG1109" s="604"/>
      <c r="AH1109" s="604"/>
      <c r="AI1109" s="604"/>
      <c r="AJ1109" s="604"/>
      <c r="AK1109" s="604"/>
      <c r="AL1109" s="604"/>
      <c r="AM1109" s="604"/>
      <c r="AN1109" s="604"/>
    </row>
    <row r="1110" spans="1:40" ht="15.75" customHeight="1">
      <c r="A1110" s="683"/>
      <c r="B1110" s="630"/>
      <c r="C1110" s="607"/>
      <c r="D1110" s="608"/>
      <c r="E1110" s="518"/>
      <c r="F1110" s="518"/>
      <c r="G1110" s="518"/>
      <c r="H1110" s="518"/>
      <c r="I1110" s="518"/>
      <c r="J1110" s="518"/>
      <c r="K1110" s="518"/>
      <c r="L1110" s="518"/>
      <c r="M1110" s="518"/>
      <c r="N1110" s="518"/>
      <c r="O1110" s="518"/>
      <c r="P1110" s="518"/>
      <c r="Q1110" s="518"/>
      <c r="R1110" s="518"/>
      <c r="S1110" s="518"/>
      <c r="T1110" s="518"/>
      <c r="U1110" s="518"/>
      <c r="V1110" s="518"/>
      <c r="W1110" s="518"/>
      <c r="X1110" s="808"/>
      <c r="Y1110" s="809"/>
      <c r="Z1110" s="609"/>
      <c r="AA1110" s="604"/>
      <c r="AB1110" s="604"/>
      <c r="AC1110" s="604"/>
      <c r="AD1110" s="604"/>
      <c r="AE1110" s="604"/>
      <c r="AF1110" s="604"/>
      <c r="AG1110" s="604"/>
      <c r="AH1110" s="604"/>
      <c r="AI1110" s="604"/>
      <c r="AJ1110" s="604"/>
      <c r="AK1110" s="604"/>
      <c r="AL1110" s="604"/>
      <c r="AM1110" s="604"/>
      <c r="AN1110" s="604"/>
    </row>
    <row r="1111" spans="1:40" ht="15.75" customHeight="1">
      <c r="A1111" s="683">
        <v>45445</v>
      </c>
      <c r="B1111" s="612"/>
      <c r="C1111" s="611" t="s">
        <v>320</v>
      </c>
      <c r="D1111" s="608"/>
      <c r="E1111" s="518"/>
      <c r="F1111" s="518"/>
      <c r="G1111" s="518"/>
      <c r="H1111" s="518"/>
      <c r="I1111" s="518"/>
      <c r="J1111" s="518"/>
      <c r="K1111" s="518">
        <v>37.19</v>
      </c>
      <c r="L1111" s="518"/>
      <c r="M1111" s="518"/>
      <c r="N1111" s="518"/>
      <c r="O1111" s="518"/>
      <c r="P1111" s="518"/>
      <c r="Q1111" s="518"/>
      <c r="R1111" s="518"/>
      <c r="S1111" s="518"/>
      <c r="T1111" s="518"/>
      <c r="U1111" s="518"/>
      <c r="V1111" s="518"/>
      <c r="W1111" s="518"/>
      <c r="X1111" s="1033">
        <f>K1111</f>
        <v>37.19</v>
      </c>
      <c r="Y1111" s="809" t="str">
        <f>$K$3</f>
        <v>6495-1</v>
      </c>
      <c r="Z1111" s="609"/>
      <c r="AA1111" s="604"/>
      <c r="AB1111" s="604"/>
      <c r="AC1111" s="604"/>
      <c r="AD1111" s="604"/>
      <c r="AE1111" s="604"/>
      <c r="AF1111" s="604"/>
      <c r="AG1111" s="604"/>
      <c r="AH1111" s="604"/>
      <c r="AI1111" s="604"/>
      <c r="AJ1111" s="604"/>
      <c r="AK1111" s="604"/>
      <c r="AL1111" s="604"/>
      <c r="AM1111" s="604"/>
      <c r="AN1111" s="604"/>
    </row>
    <row r="1112" spans="1:40" ht="15.75" customHeight="1">
      <c r="A1112" s="683">
        <v>45446</v>
      </c>
      <c r="B1112" s="663"/>
      <c r="C1112" s="611" t="s">
        <v>62</v>
      </c>
      <c r="D1112" s="608"/>
      <c r="E1112" s="518"/>
      <c r="F1112" s="518"/>
      <c r="G1112" s="518"/>
      <c r="H1112" s="518"/>
      <c r="I1112" s="518"/>
      <c r="J1112" s="518"/>
      <c r="K1112" s="518"/>
      <c r="L1112" s="518"/>
      <c r="M1112" s="518"/>
      <c r="N1112" s="518"/>
      <c r="O1112" s="518"/>
      <c r="P1112" s="518"/>
      <c r="Q1112" s="518"/>
      <c r="R1112" s="518"/>
      <c r="S1112" s="518"/>
      <c r="T1112" s="518"/>
      <c r="U1112" s="518"/>
      <c r="V1112" s="518">
        <v>1036.55</v>
      </c>
      <c r="W1112" s="518"/>
      <c r="X1112" s="808"/>
      <c r="Y1112" s="809"/>
      <c r="Z1112" s="609"/>
      <c r="AA1112" s="604"/>
      <c r="AB1112" s="604"/>
      <c r="AC1112" s="604"/>
      <c r="AD1112" s="604"/>
      <c r="AE1112" s="604"/>
      <c r="AF1112" s="604"/>
      <c r="AG1112" s="604"/>
      <c r="AH1112" s="604"/>
      <c r="AI1112" s="604"/>
      <c r="AJ1112" s="604"/>
      <c r="AK1112" s="604"/>
      <c r="AL1112" s="604"/>
      <c r="AM1112" s="604"/>
      <c r="AN1112" s="604"/>
    </row>
    <row r="1113" spans="1:40" ht="15.75" customHeight="1">
      <c r="A1113" s="683">
        <v>45446</v>
      </c>
      <c r="B1113" s="672">
        <f>'Conversion rates'!B33</f>
        <v>1.180348</v>
      </c>
      <c r="C1113" s="611" t="s">
        <v>276</v>
      </c>
      <c r="D1113" s="608"/>
      <c r="E1113" s="518"/>
      <c r="F1113" s="518"/>
      <c r="G1113" s="518"/>
      <c r="H1113" s="518"/>
      <c r="I1113" s="518"/>
      <c r="J1113" s="518"/>
      <c r="K1113" s="518"/>
      <c r="L1113" s="518"/>
      <c r="M1113" s="518"/>
      <c r="N1113" s="518"/>
      <c r="O1113" s="518"/>
      <c r="P1113" s="518"/>
      <c r="Q1113" s="518"/>
      <c r="R1113" s="518"/>
      <c r="S1113" s="518"/>
      <c r="T1113" s="518">
        <v>80</v>
      </c>
      <c r="U1113" s="518"/>
      <c r="V1113" s="518"/>
      <c r="W1113" s="518"/>
      <c r="X1113" s="808">
        <f>T1113</f>
        <v>80</v>
      </c>
      <c r="Y1113" s="809">
        <f>$T$3</f>
        <v>2300</v>
      </c>
      <c r="Z1113" s="609"/>
      <c r="AA1113" s="604"/>
      <c r="AB1113" s="604"/>
      <c r="AC1113" s="604"/>
      <c r="AD1113" s="604"/>
      <c r="AE1113" s="604"/>
      <c r="AF1113" s="604"/>
      <c r="AG1113" s="604"/>
      <c r="AH1113" s="604"/>
      <c r="AI1113" s="604"/>
      <c r="AJ1113" s="604"/>
      <c r="AK1113" s="604"/>
      <c r="AL1113" s="604"/>
      <c r="AM1113" s="604"/>
      <c r="AN1113" s="604"/>
    </row>
    <row r="1114" spans="1:40" ht="15.75" customHeight="1">
      <c r="A1114" s="683">
        <v>45446</v>
      </c>
      <c r="B1114" s="615"/>
      <c r="C1114" s="614" t="s">
        <v>421</v>
      </c>
      <c r="D1114" s="608"/>
      <c r="E1114" s="518"/>
      <c r="F1114" s="518"/>
      <c r="G1114" s="518"/>
      <c r="H1114" s="518"/>
      <c r="I1114" s="518"/>
      <c r="J1114" s="518"/>
      <c r="K1114" s="518"/>
      <c r="L1114" s="518"/>
      <c r="M1114" s="518">
        <v>49</v>
      </c>
      <c r="N1114" s="518"/>
      <c r="O1114" s="518"/>
      <c r="P1114" s="518"/>
      <c r="Q1114" s="518"/>
      <c r="R1114" s="518"/>
      <c r="S1114" s="518"/>
      <c r="T1114" s="518"/>
      <c r="U1114" s="518"/>
      <c r="V1114" s="518"/>
      <c r="W1114" s="518"/>
      <c r="X1114" s="808">
        <f>M1114</f>
        <v>49</v>
      </c>
      <c r="Y1114" s="809" t="str">
        <f>$M$3</f>
        <v>6673-2</v>
      </c>
      <c r="Z1114" s="609"/>
      <c r="AA1114" s="604"/>
      <c r="AB1114" s="604"/>
      <c r="AC1114" s="604"/>
      <c r="AD1114" s="604"/>
      <c r="AE1114" s="604"/>
      <c r="AF1114" s="604"/>
      <c r="AG1114" s="604"/>
      <c r="AH1114" s="604"/>
      <c r="AI1114" s="604"/>
      <c r="AJ1114" s="604"/>
      <c r="AK1114" s="604"/>
      <c r="AL1114" s="604"/>
      <c r="AM1114" s="604"/>
      <c r="AN1114" s="604"/>
    </row>
    <row r="1115" spans="1:40" ht="15.75" customHeight="1">
      <c r="A1115" s="683">
        <v>45447</v>
      </c>
      <c r="B1115" s="612" t="s">
        <v>310</v>
      </c>
      <c r="C1115" s="614" t="s">
        <v>401</v>
      </c>
      <c r="D1115" s="608"/>
      <c r="E1115" s="518"/>
      <c r="F1115" s="518"/>
      <c r="G1115" s="518"/>
      <c r="H1115" s="518"/>
      <c r="I1115" s="518"/>
      <c r="J1115" s="518"/>
      <c r="K1115" s="518"/>
      <c r="L1115" s="518"/>
      <c r="M1115" s="616"/>
      <c r="N1115" s="518">
        <v>950</v>
      </c>
      <c r="O1115" s="518"/>
      <c r="P1115" s="518"/>
      <c r="Q1115" s="518"/>
      <c r="R1115" s="518"/>
      <c r="S1115" s="518"/>
      <c r="T1115" s="518"/>
      <c r="U1115" s="518"/>
      <c r="V1115" s="518"/>
      <c r="W1115" s="518"/>
      <c r="X1115" s="808">
        <f>N1115</f>
        <v>950</v>
      </c>
      <c r="Y1115" s="809">
        <f>$N$3</f>
        <v>6680</v>
      </c>
      <c r="Z1115" s="609"/>
      <c r="AA1115" s="604"/>
      <c r="AB1115" s="604"/>
      <c r="AC1115" s="604"/>
      <c r="AD1115" s="604"/>
      <c r="AE1115" s="604"/>
      <c r="AF1115" s="604"/>
      <c r="AG1115" s="604"/>
      <c r="AH1115" s="604"/>
      <c r="AI1115" s="604"/>
      <c r="AJ1115" s="604"/>
      <c r="AK1115" s="604"/>
      <c r="AL1115" s="604"/>
      <c r="AM1115" s="604"/>
      <c r="AN1115" s="604"/>
    </row>
    <row r="1116" spans="1:40" ht="15.75" customHeight="1">
      <c r="A1116" s="683">
        <v>45450</v>
      </c>
      <c r="B1116" s="612"/>
      <c r="C1116" s="611" t="s">
        <v>545</v>
      </c>
      <c r="D1116" s="608"/>
      <c r="E1116" s="518"/>
      <c r="F1116" s="518"/>
      <c r="G1116" s="518"/>
      <c r="H1116" s="518"/>
      <c r="I1116" s="518"/>
      <c r="J1116" s="518"/>
      <c r="K1116" s="518"/>
      <c r="L1116" s="518"/>
      <c r="M1116" s="518"/>
      <c r="N1116" s="518"/>
      <c r="O1116" s="518"/>
      <c r="P1116" s="518"/>
      <c r="Q1116" s="518"/>
      <c r="R1116" s="518"/>
      <c r="S1116" s="518">
        <v>11.2</v>
      </c>
      <c r="T1116" s="518"/>
      <c r="U1116" s="518"/>
      <c r="V1116" s="518"/>
      <c r="W1116" s="518"/>
      <c r="X1116" s="808">
        <f>S1116</f>
        <v>11.2</v>
      </c>
      <c r="Y1116" s="809">
        <f>$S$3</f>
        <v>6855</v>
      </c>
      <c r="Z1116" s="609"/>
      <c r="AA1116" s="604"/>
      <c r="AB1116" s="604"/>
      <c r="AC1116" s="604"/>
      <c r="AD1116" s="604"/>
      <c r="AE1116" s="604"/>
      <c r="AF1116" s="604"/>
      <c r="AG1116" s="604"/>
      <c r="AH1116" s="604"/>
      <c r="AI1116" s="604"/>
      <c r="AJ1116" s="604"/>
      <c r="AK1116" s="604"/>
      <c r="AL1116" s="604"/>
      <c r="AM1116" s="604"/>
      <c r="AN1116" s="604"/>
    </row>
    <row r="1117" spans="1:40" ht="15.75" customHeight="1">
      <c r="A1117" s="683">
        <v>45460</v>
      </c>
      <c r="B1117" s="612"/>
      <c r="C1117" s="611" t="s">
        <v>559</v>
      </c>
      <c r="D1117" s="608"/>
      <c r="E1117" s="518"/>
      <c r="F1117" s="518"/>
      <c r="G1117" s="518"/>
      <c r="H1117" s="518"/>
      <c r="I1117" s="518"/>
      <c r="J1117" s="518"/>
      <c r="K1117" s="518"/>
      <c r="L1117" s="518"/>
      <c r="M1117" s="518"/>
      <c r="N1117" s="518"/>
      <c r="O1117" s="518"/>
      <c r="P1117" s="518"/>
      <c r="Q1117" s="518"/>
      <c r="R1117" s="518"/>
      <c r="S1117" s="518"/>
      <c r="T1117" s="518">
        <v>18.36</v>
      </c>
      <c r="U1117" s="518"/>
      <c r="V1117" s="518"/>
      <c r="W1117" s="518"/>
      <c r="X1117" s="808">
        <f>T1117</f>
        <v>18.36</v>
      </c>
      <c r="Y1117" s="809">
        <f>$T$3</f>
        <v>2300</v>
      </c>
      <c r="Z1117" s="609"/>
      <c r="AA1117" s="604"/>
      <c r="AB1117" s="604"/>
      <c r="AC1117" s="604"/>
      <c r="AD1117" s="604"/>
      <c r="AE1117" s="604"/>
      <c r="AF1117" s="604"/>
      <c r="AG1117" s="604"/>
      <c r="AH1117" s="604"/>
      <c r="AI1117" s="604"/>
      <c r="AJ1117" s="604"/>
      <c r="AK1117" s="604"/>
      <c r="AL1117" s="604"/>
      <c r="AM1117" s="604"/>
      <c r="AN1117" s="604"/>
    </row>
    <row r="1118" spans="1:40" ht="15.75" customHeight="1">
      <c r="A1118" s="683">
        <v>45460</v>
      </c>
      <c r="B1118" s="615"/>
      <c r="C1118" s="611" t="s">
        <v>341</v>
      </c>
      <c r="D1118" s="608"/>
      <c r="E1118" s="518"/>
      <c r="F1118" s="518"/>
      <c r="G1118" s="518"/>
      <c r="H1118" s="518">
        <v>850.25</v>
      </c>
      <c r="I1118" s="518"/>
      <c r="J1118" s="518"/>
      <c r="K1118" s="518"/>
      <c r="L1118" s="518"/>
      <c r="M1118" s="518"/>
      <c r="N1118" s="518"/>
      <c r="O1118" s="518"/>
      <c r="P1118" s="518"/>
      <c r="Q1118" s="518"/>
      <c r="R1118" s="518"/>
      <c r="S1118" s="518"/>
      <c r="T1118" s="518"/>
      <c r="U1118" s="518"/>
      <c r="V1118" s="518"/>
      <c r="W1118" s="518"/>
      <c r="X1118" s="1033">
        <f>H1118</f>
        <v>850.25</v>
      </c>
      <c r="Y1118" s="809">
        <f>$H$3</f>
        <v>2200</v>
      </c>
      <c r="Z1118" s="609"/>
      <c r="AA1118" s="604"/>
      <c r="AB1118" s="604"/>
      <c r="AC1118" s="604"/>
      <c r="AD1118" s="604"/>
      <c r="AE1118" s="604"/>
      <c r="AF1118" s="604"/>
      <c r="AG1118" s="604"/>
      <c r="AH1118" s="604"/>
      <c r="AI1118" s="604"/>
      <c r="AJ1118" s="604"/>
      <c r="AK1118" s="604"/>
      <c r="AL1118" s="604"/>
      <c r="AM1118" s="604"/>
      <c r="AN1118" s="604"/>
    </row>
    <row r="1119" spans="1:40" ht="18" customHeight="1">
      <c r="A1119" s="683">
        <v>45460</v>
      </c>
      <c r="B1119" s="615"/>
      <c r="C1119" s="614" t="s">
        <v>508</v>
      </c>
      <c r="D1119" s="608"/>
      <c r="E1119" s="518"/>
      <c r="F1119" s="518"/>
      <c r="G1119" s="518"/>
      <c r="H1119" s="518"/>
      <c r="I1119" s="518"/>
      <c r="J1119" s="518"/>
      <c r="K1119" s="518"/>
      <c r="L1119" s="518"/>
      <c r="M1119" s="518"/>
      <c r="N1119" s="518"/>
      <c r="O1119" s="518"/>
      <c r="P1119" s="518"/>
      <c r="Q1119" s="518">
        <v>5.39</v>
      </c>
      <c r="R1119" s="518"/>
      <c r="S1119" s="518"/>
      <c r="T1119" s="518"/>
      <c r="U1119" s="518"/>
      <c r="V1119" s="518"/>
      <c r="W1119" s="518"/>
      <c r="X1119" s="808">
        <f>Q1119</f>
        <v>5.39</v>
      </c>
      <c r="Y1119" s="809" t="str">
        <f>$Q$3</f>
        <v>6495-2</v>
      </c>
      <c r="Z1119" s="609"/>
      <c r="AA1119" s="604"/>
      <c r="AB1119" s="604"/>
      <c r="AC1119" s="604"/>
      <c r="AD1119" s="604"/>
      <c r="AE1119" s="604"/>
      <c r="AF1119" s="604"/>
      <c r="AG1119" s="604"/>
      <c r="AH1119" s="604"/>
      <c r="AI1119" s="604"/>
      <c r="AJ1119" s="604"/>
      <c r="AK1119" s="604"/>
      <c r="AL1119" s="604"/>
      <c r="AM1119" s="604"/>
      <c r="AN1119" s="604"/>
    </row>
    <row r="1120" spans="1:40" ht="18" customHeight="1">
      <c r="A1120" s="683">
        <v>45461</v>
      </c>
      <c r="B1120" s="613"/>
      <c r="C1120" s="611" t="s">
        <v>111</v>
      </c>
      <c r="D1120" s="608"/>
      <c r="E1120" s="518"/>
      <c r="F1120" s="518"/>
      <c r="G1120" s="518"/>
      <c r="H1120" s="518"/>
      <c r="I1120" s="518"/>
      <c r="J1120" s="518"/>
      <c r="K1120" s="518">
        <v>34.99</v>
      </c>
      <c r="L1120" s="518"/>
      <c r="M1120" s="518"/>
      <c r="N1120" s="518"/>
      <c r="O1120" s="518"/>
      <c r="P1120" s="518"/>
      <c r="Q1120" s="518"/>
      <c r="R1120" s="518"/>
      <c r="S1120" s="518"/>
      <c r="T1120" s="518"/>
      <c r="U1120" s="518"/>
      <c r="V1120" s="518"/>
      <c r="W1120" s="518"/>
      <c r="X1120" s="1033">
        <f>K1120</f>
        <v>34.99</v>
      </c>
      <c r="Y1120" s="809" t="str">
        <f>$K$3</f>
        <v>6495-1</v>
      </c>
      <c r="Z1120" s="609"/>
      <c r="AA1120" s="604"/>
      <c r="AB1120" s="604"/>
      <c r="AC1120" s="604"/>
      <c r="AD1120" s="604"/>
      <c r="AE1120" s="604"/>
      <c r="AF1120" s="604"/>
      <c r="AG1120" s="604"/>
      <c r="AH1120" s="604"/>
      <c r="AI1120" s="604"/>
      <c r="AJ1120" s="604"/>
      <c r="AK1120" s="604"/>
      <c r="AL1120" s="604"/>
      <c r="AM1120" s="604"/>
      <c r="AN1120" s="604"/>
    </row>
    <row r="1121" spans="1:40" ht="15.75" customHeight="1">
      <c r="A1121" s="683">
        <v>45463</v>
      </c>
      <c r="B1121" s="613"/>
      <c r="C1121" s="611" t="s">
        <v>78</v>
      </c>
      <c r="D1121" s="608"/>
      <c r="E1121" s="518"/>
      <c r="F1121" s="518"/>
      <c r="G1121" s="518"/>
      <c r="H1121" s="518"/>
      <c r="I1121" s="518"/>
      <c r="J1121" s="518">
        <v>28.12</v>
      </c>
      <c r="K1121" s="518"/>
      <c r="L1121" s="518"/>
      <c r="M1121" s="518"/>
      <c r="N1121" s="518"/>
      <c r="O1121" s="518"/>
      <c r="P1121" s="518"/>
      <c r="Q1121" s="518"/>
      <c r="R1121" s="518"/>
      <c r="S1121" s="518"/>
      <c r="T1121" s="518"/>
      <c r="U1121" s="518"/>
      <c r="V1121" s="518"/>
      <c r="W1121" s="518"/>
      <c r="X1121" s="1033">
        <f>J1121</f>
        <v>28.12</v>
      </c>
      <c r="Y1121" s="809">
        <f>$J$3</f>
        <v>6805</v>
      </c>
      <c r="Z1121" s="609"/>
      <c r="AA1121" s="604"/>
      <c r="AB1121" s="604"/>
      <c r="AC1121" s="604"/>
      <c r="AD1121" s="604"/>
      <c r="AE1121" s="604"/>
      <c r="AF1121" s="604"/>
      <c r="AG1121" s="604"/>
      <c r="AH1121" s="604"/>
      <c r="AI1121" s="604"/>
      <c r="AJ1121" s="604"/>
      <c r="AK1121" s="604"/>
      <c r="AL1121" s="604"/>
      <c r="AM1121" s="604"/>
      <c r="AN1121" s="604"/>
    </row>
    <row r="1122" spans="1:40" ht="15.75" customHeight="1">
      <c r="A1122" s="683">
        <v>45464</v>
      </c>
      <c r="B1122" s="612"/>
      <c r="C1122" s="611" t="s">
        <v>320</v>
      </c>
      <c r="D1122" s="608"/>
      <c r="E1122" s="518"/>
      <c r="F1122" s="518"/>
      <c r="G1122" s="518"/>
      <c r="H1122" s="518"/>
      <c r="I1122" s="518"/>
      <c r="J1122" s="518"/>
      <c r="K1122" s="518">
        <v>37.56</v>
      </c>
      <c r="L1122" s="518"/>
      <c r="M1122" s="518"/>
      <c r="N1122" s="518"/>
      <c r="O1122" s="518"/>
      <c r="P1122" s="518"/>
      <c r="Q1122" s="518"/>
      <c r="R1122" s="518"/>
      <c r="S1122" s="518"/>
      <c r="T1122" s="518"/>
      <c r="U1122" s="518"/>
      <c r="V1122" s="518"/>
      <c r="W1122" s="518"/>
      <c r="X1122" s="1033">
        <f>K1122</f>
        <v>37.56</v>
      </c>
      <c r="Y1122" s="809" t="str">
        <f>$K$3</f>
        <v>6495-1</v>
      </c>
      <c r="Z1122" s="609"/>
      <c r="AA1122" s="604"/>
      <c r="AB1122" s="604"/>
      <c r="AC1122" s="604"/>
      <c r="AD1122" s="604"/>
      <c r="AE1122" s="604"/>
      <c r="AF1122" s="604"/>
      <c r="AG1122" s="604"/>
      <c r="AH1122" s="604"/>
      <c r="AI1122" s="604"/>
      <c r="AJ1122" s="604"/>
      <c r="AK1122" s="604"/>
      <c r="AL1122" s="604"/>
      <c r="AM1122" s="604"/>
      <c r="AN1122" s="604"/>
    </row>
    <row r="1123" spans="1:40" ht="15.75" customHeight="1">
      <c r="A1123" s="683">
        <v>45464</v>
      </c>
      <c r="B1123" s="612"/>
      <c r="C1123" s="611" t="s">
        <v>194</v>
      </c>
      <c r="D1123" s="608"/>
      <c r="E1123" s="518"/>
      <c r="F1123" s="518"/>
      <c r="G1123" s="518"/>
      <c r="H1123" s="518"/>
      <c r="I1123" s="518"/>
      <c r="J1123" s="518"/>
      <c r="K1123" s="518"/>
      <c r="L1123" s="518"/>
      <c r="M1123" s="518"/>
      <c r="N1123" s="518"/>
      <c r="O1123" s="518"/>
      <c r="P1123" s="518"/>
      <c r="Q1123" s="518"/>
      <c r="R1123" s="518"/>
      <c r="S1123" s="518">
        <v>11.5</v>
      </c>
      <c r="T1123" s="518"/>
      <c r="U1123" s="518"/>
      <c r="V1123" s="518"/>
      <c r="W1123" s="518"/>
      <c r="X1123" s="808">
        <f>S1123</f>
        <v>11.5</v>
      </c>
      <c r="Y1123" s="809">
        <f>$S$3</f>
        <v>6855</v>
      </c>
      <c r="Z1123" s="609"/>
      <c r="AA1123" s="604"/>
      <c r="AB1123" s="604"/>
      <c r="AC1123" s="604"/>
      <c r="AD1123" s="604"/>
      <c r="AE1123" s="604"/>
      <c r="AF1123" s="604"/>
      <c r="AG1123" s="604"/>
      <c r="AH1123" s="604"/>
      <c r="AI1123" s="604"/>
      <c r="AJ1123" s="604"/>
      <c r="AK1123" s="604"/>
      <c r="AL1123" s="604"/>
      <c r="AM1123" s="604"/>
      <c r="AN1123" s="604"/>
    </row>
    <row r="1124" spans="1:40" ht="15.75" customHeight="1">
      <c r="A1124" s="683">
        <v>45471</v>
      </c>
      <c r="B1124" s="615"/>
      <c r="C1124" s="614" t="s">
        <v>260</v>
      </c>
      <c r="D1124" s="608"/>
      <c r="E1124" s="518">
        <v>605.5</v>
      </c>
      <c r="F1124" s="518"/>
      <c r="G1124" s="518"/>
      <c r="H1124" s="518"/>
      <c r="I1124" s="518"/>
      <c r="J1124" s="518"/>
      <c r="K1124" s="518"/>
      <c r="L1124" s="518"/>
      <c r="M1124" s="518"/>
      <c r="N1124" s="518"/>
      <c r="O1124" s="518"/>
      <c r="P1124" s="518"/>
      <c r="Q1124" s="518"/>
      <c r="R1124" s="518"/>
      <c r="S1124" s="518"/>
      <c r="T1124" s="518"/>
      <c r="U1124" s="518"/>
      <c r="V1124" s="518"/>
      <c r="W1124" s="518"/>
      <c r="X1124" s="808">
        <f>E1124</f>
        <v>605.5</v>
      </c>
      <c r="Y1124" s="809" t="s">
        <v>2304</v>
      </c>
      <c r="Z1124" s="609"/>
      <c r="AA1124" s="604"/>
      <c r="AB1124" s="604"/>
      <c r="AC1124" s="604"/>
      <c r="AD1124" s="604"/>
      <c r="AE1124" s="604"/>
      <c r="AF1124" s="604"/>
      <c r="AG1124" s="604"/>
      <c r="AH1124" s="604"/>
      <c r="AI1124" s="604"/>
      <c r="AJ1124" s="604"/>
      <c r="AK1124" s="604"/>
      <c r="AL1124" s="604"/>
      <c r="AM1124" s="604"/>
      <c r="AN1124" s="604"/>
    </row>
    <row r="1125" spans="1:40" ht="15.75" customHeight="1">
      <c r="A1125" s="683">
        <v>45473</v>
      </c>
      <c r="B1125" s="615"/>
      <c r="C1125" s="611" t="s">
        <v>344</v>
      </c>
      <c r="D1125" s="608"/>
      <c r="E1125" s="518"/>
      <c r="F1125" s="518"/>
      <c r="G1125" s="518"/>
      <c r="H1125" s="518"/>
      <c r="I1125" s="518"/>
      <c r="J1125" s="518"/>
      <c r="K1125" s="518"/>
      <c r="L1125" s="518"/>
      <c r="M1125" s="518"/>
      <c r="N1125" s="518"/>
      <c r="O1125" s="518"/>
      <c r="P1125" s="518"/>
      <c r="Q1125" s="518"/>
      <c r="R1125" s="518"/>
      <c r="S1125" s="518">
        <v>5.34</v>
      </c>
      <c r="T1125" s="518"/>
      <c r="U1125" s="518"/>
      <c r="V1125" s="518"/>
      <c r="W1125" s="518"/>
      <c r="X1125" s="808">
        <f>S1125</f>
        <v>5.34</v>
      </c>
      <c r="Y1125" s="809">
        <f>$S$3</f>
        <v>6855</v>
      </c>
      <c r="Z1125" s="609"/>
      <c r="AA1125" s="604"/>
      <c r="AB1125" s="604"/>
      <c r="AC1125" s="604"/>
      <c r="AD1125" s="604"/>
      <c r="AE1125" s="604"/>
      <c r="AF1125" s="604"/>
      <c r="AG1125" s="604"/>
      <c r="AH1125" s="604"/>
      <c r="AI1125" s="604"/>
      <c r="AJ1125" s="604"/>
      <c r="AK1125" s="604"/>
      <c r="AL1125" s="604"/>
      <c r="AM1125" s="604"/>
      <c r="AN1125" s="604"/>
    </row>
    <row r="1126" spans="1:40" ht="15.75" customHeight="1">
      <c r="A1126" s="683">
        <v>45527</v>
      </c>
      <c r="B1126" s="615"/>
      <c r="C1126" s="611" t="s">
        <v>364</v>
      </c>
      <c r="D1126" s="608"/>
      <c r="E1126" s="518"/>
      <c r="F1126" s="518"/>
      <c r="G1126" s="518"/>
      <c r="H1126" s="518"/>
      <c r="I1126" s="518"/>
      <c r="J1126" s="518"/>
      <c r="K1126" s="518">
        <v>11.77</v>
      </c>
      <c r="L1126" s="518"/>
      <c r="M1126" s="518"/>
      <c r="N1126" s="518"/>
      <c r="O1126" s="518"/>
      <c r="P1126" s="518"/>
      <c r="Q1126" s="518"/>
      <c r="R1126" s="518"/>
      <c r="S1126" s="518">
        <v>11.83</v>
      </c>
      <c r="T1126" s="518"/>
      <c r="U1126" s="518"/>
      <c r="V1126" s="518"/>
      <c r="W1126" s="518"/>
      <c r="X1126" s="1033">
        <f>K1126</f>
        <v>11.77</v>
      </c>
      <c r="Y1126" s="809" t="str">
        <f>$K$3</f>
        <v>6495-1</v>
      </c>
      <c r="Z1126" s="609"/>
      <c r="AA1126" s="604"/>
      <c r="AB1126" s="604"/>
      <c r="AC1126" s="604"/>
      <c r="AD1126" s="604"/>
      <c r="AE1126" s="604"/>
      <c r="AF1126" s="604"/>
      <c r="AG1126" s="604"/>
      <c r="AH1126" s="604"/>
      <c r="AI1126" s="604"/>
      <c r="AJ1126" s="604"/>
      <c r="AK1126" s="604"/>
      <c r="AL1126" s="604"/>
      <c r="AM1126" s="604"/>
      <c r="AN1126" s="604"/>
    </row>
    <row r="1127" spans="1:40" ht="15.75" customHeight="1">
      <c r="A1127" s="683"/>
      <c r="B1127" s="612"/>
      <c r="C1127" s="611"/>
      <c r="D1127" s="608"/>
      <c r="E1127" s="518"/>
      <c r="F1127" s="518"/>
      <c r="G1127" s="518"/>
      <c r="H1127" s="518"/>
      <c r="I1127" s="518"/>
      <c r="J1127" s="518"/>
      <c r="K1127" s="518"/>
      <c r="L1127" s="518"/>
      <c r="M1127" s="518"/>
      <c r="N1127" s="518"/>
      <c r="O1127" s="518"/>
      <c r="P1127" s="518"/>
      <c r="Q1127" s="518"/>
      <c r="R1127" s="518"/>
      <c r="S1127" s="518"/>
      <c r="T1127" s="518"/>
      <c r="U1127" s="518"/>
      <c r="V1127" s="518"/>
      <c r="W1127" s="518"/>
      <c r="X1127" s="808"/>
      <c r="Y1127" s="809"/>
      <c r="Z1127" s="609"/>
      <c r="AA1127" s="604"/>
      <c r="AB1127" s="604"/>
      <c r="AC1127" s="604"/>
      <c r="AD1127" s="604"/>
      <c r="AE1127" s="604"/>
      <c r="AF1127" s="604"/>
      <c r="AG1127" s="604"/>
      <c r="AH1127" s="604"/>
      <c r="AI1127" s="604"/>
      <c r="AJ1127" s="604"/>
      <c r="AK1127" s="604"/>
      <c r="AL1127" s="604"/>
      <c r="AM1127" s="604"/>
      <c r="AN1127" s="604"/>
    </row>
    <row r="1128" spans="1:40" ht="15.75" customHeight="1">
      <c r="A1128" s="620"/>
      <c r="B1128" s="620"/>
      <c r="C1128" s="621"/>
      <c r="D1128" s="622"/>
      <c r="E1128" s="623"/>
      <c r="F1128" s="623"/>
      <c r="G1128" s="623"/>
      <c r="H1128" s="623"/>
      <c r="I1128" s="623"/>
      <c r="J1128" s="518"/>
      <c r="K1128" s="518"/>
      <c r="L1128" s="518"/>
      <c r="M1128" s="518"/>
      <c r="N1128" s="518"/>
      <c r="O1128" s="518"/>
      <c r="P1128" s="518"/>
      <c r="Q1128" s="518"/>
      <c r="R1128" s="518"/>
      <c r="S1128" s="518"/>
      <c r="T1128" s="518"/>
      <c r="U1128" s="518"/>
      <c r="V1128" s="518"/>
      <c r="W1128" s="518"/>
      <c r="X1128" s="808"/>
      <c r="Y1128" s="809"/>
      <c r="Z1128" s="609"/>
      <c r="AA1128" s="604"/>
      <c r="AB1128" s="604"/>
      <c r="AC1128" s="604"/>
      <c r="AD1128" s="604"/>
      <c r="AE1128" s="604"/>
      <c r="AF1128" s="604"/>
      <c r="AG1128" s="604"/>
      <c r="AH1128" s="604"/>
      <c r="AI1128" s="604"/>
      <c r="AJ1128" s="604"/>
      <c r="AK1128" s="604"/>
      <c r="AL1128" s="604"/>
      <c r="AM1128" s="604"/>
      <c r="AN1128" s="604"/>
    </row>
    <row r="1129" spans="1:40" ht="15.75" customHeight="1">
      <c r="A1129" s="683">
        <v>45446</v>
      </c>
      <c r="B1129" s="616"/>
      <c r="C1129" s="685" t="s">
        <v>403</v>
      </c>
      <c r="D1129" s="518"/>
      <c r="E1129" s="518"/>
      <c r="F1129" s="518"/>
      <c r="G1129" s="518"/>
      <c r="H1129" s="518"/>
      <c r="I1129" s="518"/>
      <c r="J1129" s="518"/>
      <c r="K1129" s="518"/>
      <c r="L1129" s="518"/>
      <c r="M1129" s="518"/>
      <c r="N1129" s="518"/>
      <c r="O1129" s="518">
        <v>56.5</v>
      </c>
      <c r="P1129" s="518"/>
      <c r="Q1129" s="518"/>
      <c r="R1129" s="518"/>
      <c r="S1129" s="518"/>
      <c r="T1129" s="518"/>
      <c r="U1129" s="518"/>
      <c r="V1129" s="518"/>
      <c r="W1129" s="518"/>
      <c r="X1129" s="1033">
        <f>O1129</f>
        <v>56.5</v>
      </c>
      <c r="Y1129" s="809">
        <f>$O$3</f>
        <v>6530</v>
      </c>
      <c r="Z1129" s="609"/>
      <c r="AA1129" s="604"/>
      <c r="AB1129" s="604"/>
      <c r="AC1129" s="604"/>
      <c r="AD1129" s="604"/>
      <c r="AE1129" s="604"/>
      <c r="AF1129" s="604"/>
      <c r="AG1129" s="604"/>
      <c r="AH1129" s="604"/>
      <c r="AI1129" s="604"/>
      <c r="AJ1129" s="604"/>
      <c r="AK1129" s="604"/>
      <c r="AL1129" s="604"/>
      <c r="AM1129" s="604"/>
      <c r="AN1129" s="604"/>
    </row>
    <row r="1130" spans="1:40" ht="15.75" customHeight="1">
      <c r="A1130" s="683">
        <v>45446</v>
      </c>
      <c r="B1130" s="616"/>
      <c r="C1130" s="685" t="s">
        <v>403</v>
      </c>
      <c r="D1130" s="518"/>
      <c r="E1130" s="518"/>
      <c r="F1130" s="518"/>
      <c r="G1130" s="518"/>
      <c r="H1130" s="518"/>
      <c r="I1130" s="518"/>
      <c r="J1130" s="518"/>
      <c r="K1130" s="518"/>
      <c r="L1130" s="518"/>
      <c r="M1130" s="518"/>
      <c r="N1130" s="518"/>
      <c r="O1130" s="518">
        <v>94</v>
      </c>
      <c r="P1130" s="518"/>
      <c r="Q1130" s="518"/>
      <c r="R1130" s="518"/>
      <c r="S1130" s="518"/>
      <c r="T1130" s="518"/>
      <c r="U1130" s="518"/>
      <c r="V1130" s="518"/>
      <c r="W1130" s="518"/>
      <c r="X1130" s="1033">
        <f>O1130</f>
        <v>94</v>
      </c>
      <c r="Y1130" s="809">
        <f>$O$3</f>
        <v>6530</v>
      </c>
      <c r="Z1130" s="609"/>
      <c r="AA1130" s="604"/>
      <c r="AB1130" s="604"/>
      <c r="AC1130" s="604"/>
      <c r="AD1130" s="604"/>
      <c r="AE1130" s="604"/>
      <c r="AF1130" s="604"/>
      <c r="AG1130" s="604"/>
      <c r="AH1130" s="604"/>
      <c r="AI1130" s="604"/>
      <c r="AJ1130" s="604"/>
      <c r="AK1130" s="604"/>
      <c r="AL1130" s="604"/>
      <c r="AM1130" s="604"/>
      <c r="AN1130" s="604"/>
    </row>
    <row r="1131" spans="1:40" ht="15.75" customHeight="1">
      <c r="A1131" s="683">
        <v>45450</v>
      </c>
      <c r="B1131" s="686" t="s">
        <v>560</v>
      </c>
      <c r="C1131" s="685" t="s">
        <v>389</v>
      </c>
      <c r="D1131" s="518"/>
      <c r="E1131" s="518">
        <v>1900</v>
      </c>
      <c r="F1131" s="518"/>
      <c r="G1131" s="608"/>
      <c r="H1131" s="518"/>
      <c r="I1131" s="518"/>
      <c r="J1131" s="518"/>
      <c r="K1131" s="518"/>
      <c r="L1131" s="518"/>
      <c r="M1131" s="518"/>
      <c r="N1131" s="518"/>
      <c r="O1131" s="518"/>
      <c r="P1131" s="518"/>
      <c r="Q1131" s="518"/>
      <c r="R1131" s="518"/>
      <c r="S1131" s="518"/>
      <c r="T1131" s="518"/>
      <c r="U1131" s="518"/>
      <c r="V1131" s="518"/>
      <c r="W1131" s="518"/>
      <c r="X1131" s="808">
        <f>E1131</f>
        <v>1900</v>
      </c>
      <c r="Y1131" s="809" t="s">
        <v>2304</v>
      </c>
      <c r="Z1131" s="609"/>
      <c r="AA1131" s="604"/>
      <c r="AB1131" s="604"/>
      <c r="AC1131" s="604"/>
      <c r="AD1131" s="604"/>
      <c r="AE1131" s="604"/>
      <c r="AF1131" s="604"/>
      <c r="AG1131" s="604"/>
      <c r="AH1131" s="604"/>
      <c r="AI1131" s="604"/>
      <c r="AJ1131" s="604"/>
      <c r="AK1131" s="604"/>
      <c r="AL1131" s="604"/>
      <c r="AM1131" s="604"/>
      <c r="AN1131" s="604"/>
    </row>
    <row r="1132" spans="1:40" ht="15.75" customHeight="1">
      <c r="A1132" s="683">
        <v>45450</v>
      </c>
      <c r="B1132" s="596"/>
      <c r="C1132" s="624" t="s">
        <v>561</v>
      </c>
      <c r="D1132" s="608"/>
      <c r="E1132" s="518"/>
      <c r="F1132" s="518"/>
      <c r="G1132" s="608"/>
      <c r="H1132" s="518"/>
      <c r="I1132" s="518"/>
      <c r="J1132" s="518"/>
      <c r="K1132" s="518"/>
      <c r="L1132" s="518"/>
      <c r="M1132" s="518"/>
      <c r="N1132" s="518"/>
      <c r="O1132" s="518">
        <f>52.08*B1113</f>
        <v>61.472523839999994</v>
      </c>
      <c r="P1132" s="518"/>
      <c r="Q1132" s="518"/>
      <c r="R1132" s="518"/>
      <c r="S1132" s="518"/>
      <c r="T1132" s="604"/>
      <c r="U1132" s="604"/>
      <c r="V1132" s="604"/>
      <c r="W1132" s="604"/>
      <c r="X1132" s="1033">
        <f>O1132</f>
        <v>61.472523839999994</v>
      </c>
      <c r="Y1132" s="809">
        <f>$O$3</f>
        <v>6530</v>
      </c>
      <c r="Z1132" s="609"/>
      <c r="AA1132" s="604"/>
      <c r="AB1132" s="604"/>
      <c r="AC1132" s="604"/>
      <c r="AD1132" s="604"/>
      <c r="AE1132" s="604"/>
      <c r="AF1132" s="604"/>
      <c r="AG1132" s="604"/>
      <c r="AH1132" s="604"/>
      <c r="AI1132" s="604"/>
      <c r="AJ1132" s="604"/>
      <c r="AK1132" s="604"/>
      <c r="AL1132" s="604"/>
      <c r="AM1132" s="604"/>
      <c r="AN1132" s="604"/>
    </row>
    <row r="1133" spans="1:40" ht="15.75" customHeight="1">
      <c r="A1133" s="683">
        <v>45460</v>
      </c>
      <c r="B1133" s="616"/>
      <c r="C1133" s="685" t="s">
        <v>207</v>
      </c>
      <c r="D1133" s="518"/>
      <c r="E1133" s="518"/>
      <c r="F1133" s="518"/>
      <c r="G1133" s="608"/>
      <c r="H1133" s="518"/>
      <c r="I1133" s="518"/>
      <c r="J1133" s="518"/>
      <c r="K1133" s="518"/>
      <c r="L1133" s="518"/>
      <c r="M1133" s="518">
        <v>29.72</v>
      </c>
      <c r="N1133" s="518"/>
      <c r="O1133" s="518"/>
      <c r="P1133" s="518"/>
      <c r="Q1133" s="518"/>
      <c r="R1133" s="518"/>
      <c r="S1133" s="518"/>
      <c r="T1133" s="518"/>
      <c r="U1133" s="518"/>
      <c r="V1133" s="518"/>
      <c r="W1133" s="518"/>
      <c r="X1133" s="808">
        <f>M1133</f>
        <v>29.72</v>
      </c>
      <c r="Y1133" s="809" t="str">
        <f>$M$3</f>
        <v>6673-2</v>
      </c>
      <c r="Z1133" s="609"/>
      <c r="AA1133" s="604"/>
      <c r="AB1133" s="604"/>
      <c r="AC1133" s="604"/>
      <c r="AD1133" s="604"/>
      <c r="AE1133" s="604"/>
      <c r="AF1133" s="604"/>
      <c r="AG1133" s="604"/>
      <c r="AH1133" s="604"/>
      <c r="AI1133" s="604"/>
      <c r="AJ1133" s="604"/>
      <c r="AK1133" s="604"/>
      <c r="AL1133" s="604"/>
      <c r="AM1133" s="604"/>
      <c r="AN1133" s="604"/>
    </row>
    <row r="1134" spans="1:40" ht="15.75" customHeight="1">
      <c r="A1134" s="683">
        <v>45463</v>
      </c>
      <c r="B1134" s="596"/>
      <c r="C1134" s="624" t="s">
        <v>562</v>
      </c>
      <c r="D1134" s="608"/>
      <c r="E1134" s="518"/>
      <c r="F1134" s="518"/>
      <c r="G1134" s="608"/>
      <c r="H1134" s="518"/>
      <c r="I1134" s="518"/>
      <c r="J1134" s="518"/>
      <c r="K1134" s="518"/>
      <c r="L1134" s="518"/>
      <c r="M1134" s="518">
        <v>119</v>
      </c>
      <c r="N1134" s="518"/>
      <c r="O1134" s="518"/>
      <c r="P1134" s="518"/>
      <c r="Q1134" s="518"/>
      <c r="R1134" s="518"/>
      <c r="S1134" s="518"/>
      <c r="T1134" s="604"/>
      <c r="U1134" s="604"/>
      <c r="V1134" s="604"/>
      <c r="W1134" s="604"/>
      <c r="X1134" s="808">
        <f>M1134</f>
        <v>119</v>
      </c>
      <c r="Y1134" s="809" t="str">
        <f>$M$3</f>
        <v>6673-2</v>
      </c>
      <c r="Z1134" s="609"/>
      <c r="AA1134" s="604"/>
      <c r="AB1134" s="604"/>
      <c r="AC1134" s="604"/>
      <c r="AD1134" s="604"/>
      <c r="AE1134" s="604"/>
      <c r="AF1134" s="604"/>
      <c r="AG1134" s="604"/>
      <c r="AH1134" s="604"/>
      <c r="AI1134" s="604"/>
      <c r="AJ1134" s="604"/>
      <c r="AK1134" s="604"/>
      <c r="AL1134" s="604"/>
      <c r="AM1134" s="604"/>
      <c r="AN1134" s="604"/>
    </row>
    <row r="1135" spans="1:40" ht="15.75" customHeight="1">
      <c r="A1135" s="683">
        <v>45464</v>
      </c>
      <c r="B1135" s="687" t="s">
        <v>563</v>
      </c>
      <c r="C1135" s="624" t="s">
        <v>200</v>
      </c>
      <c r="D1135" s="608">
        <v>3260</v>
      </c>
      <c r="E1135" s="518"/>
      <c r="F1135" s="518"/>
      <c r="G1135" s="608"/>
      <c r="H1135" s="518"/>
      <c r="I1135" s="518"/>
      <c r="J1135" s="518"/>
      <c r="K1135" s="518"/>
      <c r="L1135" s="518"/>
      <c r="M1135" s="518"/>
      <c r="N1135" s="518"/>
      <c r="O1135" s="518"/>
      <c r="P1135" s="518"/>
      <c r="Q1135" s="518"/>
      <c r="R1135" s="518"/>
      <c r="S1135" s="518"/>
      <c r="T1135" s="604"/>
      <c r="U1135" s="604"/>
      <c r="V1135" s="604"/>
      <c r="W1135" s="604"/>
      <c r="X1135" s="1034">
        <f>D1135</f>
        <v>3260</v>
      </c>
      <c r="Y1135" s="809" t="s">
        <v>2300</v>
      </c>
      <c r="Z1135" s="609"/>
      <c r="AA1135" s="604"/>
      <c r="AB1135" s="604"/>
      <c r="AC1135" s="604"/>
      <c r="AD1135" s="604"/>
      <c r="AE1135" s="604"/>
      <c r="AF1135" s="604"/>
      <c r="AG1135" s="604"/>
      <c r="AH1135" s="604"/>
      <c r="AI1135" s="604"/>
      <c r="AJ1135" s="604"/>
      <c r="AK1135" s="604"/>
      <c r="AL1135" s="604"/>
      <c r="AM1135" s="604"/>
      <c r="AN1135" s="604"/>
    </row>
    <row r="1136" spans="1:40" ht="15.75" customHeight="1">
      <c r="A1136" s="683">
        <v>45467</v>
      </c>
      <c r="B1136" s="616" t="s">
        <v>2220</v>
      </c>
      <c r="C1136" s="624" t="s">
        <v>406</v>
      </c>
      <c r="D1136" s="608">
        <v>3100</v>
      </c>
      <c r="E1136" s="518"/>
      <c r="F1136" s="518"/>
      <c r="G1136" s="608"/>
      <c r="H1136" s="518"/>
      <c r="I1136" s="518"/>
      <c r="J1136" s="518"/>
      <c r="K1136" s="518"/>
      <c r="L1136" s="518"/>
      <c r="M1136" s="518"/>
      <c r="N1136" s="518"/>
      <c r="O1136" s="518"/>
      <c r="P1136" s="518"/>
      <c r="Q1136" s="518"/>
      <c r="R1136" s="518"/>
      <c r="S1136" s="518"/>
      <c r="T1136" s="604"/>
      <c r="U1136" s="604"/>
      <c r="V1136" s="604"/>
      <c r="W1136" s="604"/>
      <c r="X1136" s="1034">
        <f>D1136</f>
        <v>3100</v>
      </c>
      <c r="Y1136" s="809" t="s">
        <v>2300</v>
      </c>
      <c r="Z1136" s="609"/>
      <c r="AA1136" s="604"/>
      <c r="AB1136" s="604"/>
      <c r="AC1136" s="604"/>
      <c r="AD1136" s="604"/>
      <c r="AE1136" s="604"/>
      <c r="AF1136" s="604"/>
      <c r="AG1136" s="604"/>
      <c r="AH1136" s="604"/>
      <c r="AI1136" s="604"/>
      <c r="AJ1136" s="604"/>
      <c r="AK1136" s="604"/>
      <c r="AL1136" s="604"/>
      <c r="AM1136" s="604"/>
      <c r="AN1136" s="604"/>
    </row>
    <row r="1137" spans="1:40" ht="15.75" customHeight="1">
      <c r="A1137" s="683">
        <v>45471</v>
      </c>
      <c r="B1137" s="616" t="s">
        <v>2221</v>
      </c>
      <c r="C1137" s="685" t="s">
        <v>91</v>
      </c>
      <c r="D1137" s="518"/>
      <c r="E1137" s="518">
        <v>311.86</v>
      </c>
      <c r="F1137" s="518"/>
      <c r="G1137" s="608"/>
      <c r="H1137" s="518"/>
      <c r="I1137" s="518"/>
      <c r="J1137" s="518"/>
      <c r="K1137" s="518"/>
      <c r="L1137" s="518"/>
      <c r="M1137" s="518"/>
      <c r="N1137" s="518"/>
      <c r="O1137" s="518"/>
      <c r="P1137" s="518"/>
      <c r="Q1137" s="518"/>
      <c r="R1137" s="518"/>
      <c r="S1137" s="518"/>
      <c r="T1137" s="518"/>
      <c r="U1137" s="518"/>
      <c r="V1137" s="518"/>
      <c r="W1137" s="518"/>
      <c r="X1137" s="808">
        <f>E1137</f>
        <v>311.86</v>
      </c>
      <c r="Y1137" s="809" t="s">
        <v>2304</v>
      </c>
      <c r="Z1137" s="609"/>
      <c r="AA1137" s="604"/>
      <c r="AB1137" s="604"/>
      <c r="AC1137" s="604"/>
      <c r="AD1137" s="604"/>
      <c r="AE1137" s="604"/>
      <c r="AF1137" s="604"/>
      <c r="AG1137" s="604"/>
      <c r="AH1137" s="604"/>
      <c r="AI1137" s="604"/>
      <c r="AJ1137" s="604"/>
      <c r="AK1137" s="604"/>
      <c r="AL1137" s="604"/>
      <c r="AM1137" s="604"/>
      <c r="AN1137" s="604"/>
    </row>
    <row r="1138" spans="1:40" ht="15.75" customHeight="1">
      <c r="A1138" s="683">
        <v>45471</v>
      </c>
      <c r="B1138" s="616"/>
      <c r="C1138" s="685" t="s">
        <v>564</v>
      </c>
      <c r="D1138" s="518"/>
      <c r="E1138" s="518"/>
      <c r="F1138" s="518"/>
      <c r="G1138" s="608"/>
      <c r="H1138" s="518"/>
      <c r="I1138" s="518"/>
      <c r="J1138" s="518"/>
      <c r="K1138" s="518"/>
      <c r="L1138" s="518"/>
      <c r="M1138" s="518"/>
      <c r="N1138" s="518"/>
      <c r="O1138" s="518"/>
      <c r="P1138" s="518"/>
      <c r="Q1138" s="518"/>
      <c r="R1138" s="518"/>
      <c r="S1138" s="518">
        <v>21.3</v>
      </c>
      <c r="T1138" s="518"/>
      <c r="U1138" s="518"/>
      <c r="V1138" s="518"/>
      <c r="W1138" s="518"/>
      <c r="X1138" s="808">
        <f>S1138</f>
        <v>21.3</v>
      </c>
      <c r="Y1138" s="809">
        <f>$S$3</f>
        <v>6855</v>
      </c>
      <c r="Z1138" s="609"/>
      <c r="AA1138" s="604"/>
      <c r="AB1138" s="604"/>
      <c r="AC1138" s="604"/>
      <c r="AD1138" s="604"/>
      <c r="AE1138" s="604"/>
      <c r="AF1138" s="604"/>
      <c r="AG1138" s="604"/>
      <c r="AH1138" s="604"/>
      <c r="AI1138" s="604"/>
      <c r="AJ1138" s="604"/>
      <c r="AK1138" s="604"/>
      <c r="AL1138" s="604"/>
      <c r="AM1138" s="604"/>
      <c r="AN1138" s="604"/>
    </row>
    <row r="1139" spans="1:40" ht="15.75" customHeight="1">
      <c r="A1139" s="669">
        <v>45471</v>
      </c>
      <c r="B1139" s="616" t="s">
        <v>565</v>
      </c>
      <c r="C1139" s="624" t="s">
        <v>2407</v>
      </c>
      <c r="D1139" s="518">
        <v>51670</v>
      </c>
      <c r="E1139" s="518"/>
      <c r="F1139" s="518"/>
      <c r="G1139" s="608"/>
      <c r="H1139" s="518"/>
      <c r="I1139" s="518"/>
      <c r="J1139" s="518"/>
      <c r="K1139" s="518"/>
      <c r="L1139" s="518"/>
      <c r="M1139" s="518"/>
      <c r="N1139" s="518"/>
      <c r="O1139" s="518"/>
      <c r="P1139" s="518"/>
      <c r="Q1139" s="518"/>
      <c r="R1139" s="518"/>
      <c r="S1139" s="518"/>
      <c r="T1139" s="604"/>
      <c r="U1139" s="604"/>
      <c r="V1139" s="604"/>
      <c r="W1139" s="604"/>
      <c r="X1139" s="1034">
        <f>D1139</f>
        <v>51670</v>
      </c>
      <c r="Y1139" s="809" t="s">
        <v>2300</v>
      </c>
      <c r="Z1139" s="609"/>
      <c r="AA1139" s="604"/>
      <c r="AB1139" s="604"/>
      <c r="AC1139" s="604"/>
      <c r="AD1139" s="604"/>
      <c r="AE1139" s="604"/>
      <c r="AF1139" s="604"/>
      <c r="AG1139" s="604"/>
      <c r="AH1139" s="604"/>
      <c r="AI1139" s="604"/>
      <c r="AJ1139" s="604"/>
      <c r="AK1139" s="604"/>
      <c r="AL1139" s="604"/>
      <c r="AM1139" s="604"/>
      <c r="AN1139" s="604"/>
    </row>
    <row r="1140" spans="1:40" ht="15.75" customHeight="1">
      <c r="A1140" s="688" t="s">
        <v>566</v>
      </c>
      <c r="B1140" s="596"/>
      <c r="C1140" s="624" t="s">
        <v>567</v>
      </c>
      <c r="D1140" s="608"/>
      <c r="E1140" s="518"/>
      <c r="F1140" s="518"/>
      <c r="G1140" s="518"/>
      <c r="H1140" s="518"/>
      <c r="I1140" s="518"/>
      <c r="J1140" s="518"/>
      <c r="K1140" s="518"/>
      <c r="L1140" s="518"/>
      <c r="M1140" s="518"/>
      <c r="N1140" s="518"/>
      <c r="O1140" s="518"/>
      <c r="P1140" s="518"/>
      <c r="Q1140" s="518"/>
      <c r="R1140" s="518"/>
      <c r="S1140" s="518">
        <v>82</v>
      </c>
      <c r="T1140" s="604"/>
      <c r="U1140" s="604"/>
      <c r="V1140" s="604"/>
      <c r="W1140" s="604"/>
      <c r="X1140" s="808">
        <f>S1140</f>
        <v>82</v>
      </c>
      <c r="Y1140" s="809">
        <f>$S$3</f>
        <v>6855</v>
      </c>
      <c r="Z1140" s="609"/>
      <c r="AA1140" s="604"/>
      <c r="AB1140" s="604"/>
      <c r="AC1140" s="604"/>
      <c r="AD1140" s="604"/>
      <c r="AE1140" s="604"/>
      <c r="AF1140" s="604"/>
      <c r="AG1140" s="604"/>
      <c r="AH1140" s="604"/>
      <c r="AI1140" s="604"/>
      <c r="AJ1140" s="604"/>
      <c r="AK1140" s="604"/>
      <c r="AL1140" s="604"/>
      <c r="AM1140" s="604"/>
      <c r="AN1140" s="604"/>
    </row>
    <row r="1141" spans="1:40" ht="14.4" thickBot="1">
      <c r="A1141" s="616"/>
      <c r="B1141" s="616"/>
      <c r="C1141" s="616"/>
      <c r="D1141" s="616"/>
      <c r="E1141" s="616"/>
      <c r="F1141" s="616"/>
      <c r="G1141" s="616"/>
      <c r="H1141" s="616"/>
      <c r="I1141" s="616"/>
      <c r="J1141" s="616"/>
      <c r="K1141" s="616"/>
      <c r="L1141" s="616"/>
      <c r="M1141" s="616"/>
      <c r="N1141" s="616"/>
      <c r="O1141" s="604"/>
      <c r="P1141" s="604"/>
      <c r="Q1141" s="604"/>
      <c r="R1141" s="604"/>
      <c r="S1141" s="604"/>
      <c r="T1141" s="604"/>
      <c r="U1141" s="604"/>
      <c r="V1141" s="604"/>
      <c r="W1141" s="604"/>
      <c r="X1141" s="808"/>
      <c r="Y1141" s="809"/>
      <c r="Z1141" s="609"/>
      <c r="AA1141" s="604"/>
      <c r="AB1141" s="604"/>
      <c r="AC1141" s="604"/>
      <c r="AD1141" s="604"/>
      <c r="AE1141" s="604"/>
      <c r="AF1141" s="604"/>
      <c r="AG1141" s="604"/>
      <c r="AH1141" s="604"/>
      <c r="AI1141" s="604"/>
      <c r="AJ1141" s="604"/>
      <c r="AK1141" s="604"/>
      <c r="AL1141" s="604"/>
      <c r="AM1141" s="604"/>
      <c r="AN1141" s="604"/>
    </row>
    <row r="1142" spans="1:40" ht="15.75" customHeight="1" thickTop="1">
      <c r="A1142" s="627"/>
      <c r="B1142" s="655">
        <v>45474</v>
      </c>
      <c r="C1142" s="602"/>
      <c r="D1142" s="602"/>
      <c r="E1142" s="602"/>
      <c r="F1142" s="602"/>
      <c r="G1142" s="602"/>
      <c r="H1142" s="602"/>
      <c r="I1142" s="602"/>
      <c r="J1142" s="602"/>
      <c r="K1142" s="602"/>
      <c r="L1142" s="602"/>
      <c r="M1142" s="602"/>
      <c r="N1142" s="602"/>
      <c r="O1142" s="602"/>
      <c r="P1142" s="602"/>
      <c r="Q1142" s="602"/>
      <c r="R1142" s="602"/>
      <c r="S1142" s="602"/>
      <c r="T1142" s="602"/>
      <c r="U1142" s="602"/>
      <c r="V1142" s="602"/>
      <c r="W1142" s="602"/>
      <c r="X1142" s="808"/>
      <c r="Y1142" s="809"/>
      <c r="Z1142" s="602"/>
      <c r="AA1142" s="604"/>
      <c r="AB1142" s="604"/>
      <c r="AC1142" s="604"/>
      <c r="AD1142" s="604"/>
      <c r="AE1142" s="604"/>
      <c r="AF1142" s="604"/>
      <c r="AG1142" s="604"/>
      <c r="AH1142" s="604"/>
      <c r="AI1142" s="604"/>
      <c r="AJ1142" s="604"/>
      <c r="AK1142" s="604"/>
      <c r="AL1142" s="604"/>
      <c r="AM1142" s="604"/>
      <c r="AN1142" s="604"/>
    </row>
    <row r="1143" spans="1:40" ht="15.75" customHeight="1">
      <c r="A1143" s="683"/>
      <c r="B1143" s="630"/>
      <c r="C1143" s="607"/>
      <c r="D1143" s="608"/>
      <c r="E1143" s="518"/>
      <c r="F1143" s="518"/>
      <c r="G1143" s="518"/>
      <c r="H1143" s="518"/>
      <c r="I1143" s="518"/>
      <c r="J1143" s="518"/>
      <c r="K1143" s="518"/>
      <c r="L1143" s="518"/>
      <c r="M1143" s="518"/>
      <c r="N1143" s="518"/>
      <c r="O1143" s="518"/>
      <c r="P1143" s="518"/>
      <c r="Q1143" s="518"/>
      <c r="R1143" s="518"/>
      <c r="S1143" s="518"/>
      <c r="T1143" s="518"/>
      <c r="U1143" s="518"/>
      <c r="V1143" s="518"/>
      <c r="W1143" s="518"/>
      <c r="X1143" s="808"/>
      <c r="Y1143" s="809"/>
      <c r="Z1143" s="609"/>
      <c r="AA1143" s="604"/>
      <c r="AB1143" s="604"/>
      <c r="AC1143" s="604"/>
      <c r="AD1143" s="604"/>
      <c r="AE1143" s="604"/>
      <c r="AF1143" s="604"/>
      <c r="AG1143" s="604"/>
      <c r="AH1143" s="604"/>
      <c r="AI1143" s="604"/>
      <c r="AJ1143" s="604"/>
      <c r="AK1143" s="604"/>
      <c r="AL1143" s="604"/>
      <c r="AM1143" s="604"/>
      <c r="AN1143" s="604"/>
    </row>
    <row r="1144" spans="1:40" ht="15.75" customHeight="1">
      <c r="A1144" s="683">
        <v>45474</v>
      </c>
      <c r="B1144" s="663"/>
      <c r="C1144" s="611" t="s">
        <v>62</v>
      </c>
      <c r="D1144" s="608"/>
      <c r="E1144" s="518"/>
      <c r="F1144" s="518"/>
      <c r="G1144" s="518"/>
      <c r="H1144" s="518"/>
      <c r="I1144" s="518"/>
      <c r="J1144" s="518"/>
      <c r="K1144" s="518"/>
      <c r="L1144" s="518"/>
      <c r="M1144" s="518"/>
      <c r="N1144" s="518"/>
      <c r="O1144" s="518"/>
      <c r="P1144" s="518"/>
      <c r="Q1144" s="518"/>
      <c r="R1144" s="518"/>
      <c r="S1144" s="518"/>
      <c r="T1144" s="518"/>
      <c r="U1144" s="518"/>
      <c r="V1144" s="518">
        <v>1036.55</v>
      </c>
      <c r="W1144" s="518"/>
      <c r="X1144" s="808"/>
      <c r="Y1144" s="809"/>
      <c r="Z1144" s="609"/>
      <c r="AA1144" s="604"/>
      <c r="AB1144" s="604"/>
      <c r="AC1144" s="604"/>
      <c r="AD1144" s="604"/>
      <c r="AE1144" s="604"/>
      <c r="AF1144" s="604"/>
      <c r="AG1144" s="604"/>
      <c r="AH1144" s="604"/>
      <c r="AI1144" s="604"/>
      <c r="AJ1144" s="604"/>
      <c r="AK1144" s="604"/>
      <c r="AL1144" s="604"/>
      <c r="AM1144" s="604"/>
      <c r="AN1144" s="604"/>
    </row>
    <row r="1145" spans="1:40" ht="15.75" customHeight="1">
      <c r="A1145" s="683">
        <v>45474</v>
      </c>
      <c r="B1145" s="612"/>
      <c r="C1145" s="611" t="s">
        <v>63</v>
      </c>
      <c r="D1145" s="608"/>
      <c r="E1145" s="518"/>
      <c r="F1145" s="518"/>
      <c r="G1145" s="518"/>
      <c r="H1145" s="518"/>
      <c r="I1145" s="518"/>
      <c r="J1145" s="518"/>
      <c r="K1145" s="518"/>
      <c r="L1145" s="518"/>
      <c r="M1145" s="518"/>
      <c r="N1145" s="518"/>
      <c r="O1145" s="518"/>
      <c r="P1145" s="518"/>
      <c r="Q1145" s="518"/>
      <c r="R1145" s="518"/>
      <c r="S1145" s="518"/>
      <c r="T1145" s="518">
        <v>292.54000000000002</v>
      </c>
      <c r="U1145" s="518"/>
      <c r="V1145" s="518"/>
      <c r="W1145" s="518"/>
      <c r="X1145" s="808">
        <f>T1145</f>
        <v>292.54000000000002</v>
      </c>
      <c r="Y1145" s="809">
        <f>$T$3</f>
        <v>2300</v>
      </c>
      <c r="Z1145" s="609"/>
      <c r="AA1145" s="604"/>
      <c r="AB1145" s="604"/>
      <c r="AC1145" s="604"/>
      <c r="AD1145" s="604"/>
      <c r="AE1145" s="604"/>
      <c r="AF1145" s="604"/>
      <c r="AG1145" s="604"/>
      <c r="AH1145" s="604"/>
      <c r="AI1145" s="604"/>
      <c r="AJ1145" s="604"/>
      <c r="AK1145" s="604"/>
      <c r="AL1145" s="604"/>
      <c r="AM1145" s="604"/>
      <c r="AN1145" s="604"/>
    </row>
    <row r="1146" spans="1:40" ht="15.75" customHeight="1">
      <c r="A1146" s="683">
        <v>45474</v>
      </c>
      <c r="B1146" s="615"/>
      <c r="C1146" s="614" t="s">
        <v>421</v>
      </c>
      <c r="D1146" s="608"/>
      <c r="E1146" s="518"/>
      <c r="F1146" s="518"/>
      <c r="G1146" s="518"/>
      <c r="H1146" s="518"/>
      <c r="I1146" s="518"/>
      <c r="J1146" s="518"/>
      <c r="K1146" s="518"/>
      <c r="L1146" s="518"/>
      <c r="M1146" s="518">
        <v>49</v>
      </c>
      <c r="N1146" s="518"/>
      <c r="O1146" s="518"/>
      <c r="P1146" s="518"/>
      <c r="Q1146" s="518"/>
      <c r="R1146" s="518"/>
      <c r="S1146" s="518"/>
      <c r="T1146" s="518"/>
      <c r="U1146" s="518"/>
      <c r="V1146" s="518"/>
      <c r="W1146" s="518"/>
      <c r="X1146" s="808">
        <f>M1146</f>
        <v>49</v>
      </c>
      <c r="Y1146" s="809" t="str">
        <f>$M$3</f>
        <v>6673-2</v>
      </c>
      <c r="Z1146" s="609"/>
      <c r="AA1146" s="604"/>
      <c r="AB1146" s="604"/>
      <c r="AC1146" s="604"/>
      <c r="AD1146" s="604"/>
      <c r="AE1146" s="604"/>
      <c r="AF1146" s="604"/>
      <c r="AG1146" s="604"/>
      <c r="AH1146" s="604"/>
      <c r="AI1146" s="604"/>
      <c r="AJ1146" s="604"/>
      <c r="AK1146" s="604"/>
      <c r="AL1146" s="604"/>
      <c r="AM1146" s="604"/>
      <c r="AN1146" s="604"/>
    </row>
    <row r="1147" spans="1:40" ht="15.75" customHeight="1">
      <c r="A1147" s="683">
        <v>45475</v>
      </c>
      <c r="B1147" s="610">
        <f>'Conversion rates'!B34</f>
        <v>1.1839280000000001</v>
      </c>
      <c r="C1147" s="611" t="s">
        <v>276</v>
      </c>
      <c r="D1147" s="608"/>
      <c r="E1147" s="518"/>
      <c r="F1147" s="518"/>
      <c r="G1147" s="518"/>
      <c r="H1147" s="518"/>
      <c r="I1147" s="518"/>
      <c r="J1147" s="518"/>
      <c r="K1147" s="518"/>
      <c r="L1147" s="518"/>
      <c r="M1147" s="518"/>
      <c r="N1147" s="518"/>
      <c r="O1147" s="518"/>
      <c r="P1147" s="518"/>
      <c r="Q1147" s="518"/>
      <c r="R1147" s="518"/>
      <c r="S1147" s="518"/>
      <c r="T1147" s="518">
        <v>80</v>
      </c>
      <c r="U1147" s="518"/>
      <c r="V1147" s="518"/>
      <c r="W1147" s="518"/>
      <c r="X1147" s="808">
        <f>T1147</f>
        <v>80</v>
      </c>
      <c r="Y1147" s="809">
        <f>$T$3</f>
        <v>2300</v>
      </c>
      <c r="Z1147" s="609"/>
      <c r="AA1147" s="604"/>
      <c r="AB1147" s="604"/>
      <c r="AC1147" s="604"/>
      <c r="AD1147" s="604"/>
      <c r="AE1147" s="604"/>
      <c r="AF1147" s="604"/>
      <c r="AG1147" s="604"/>
      <c r="AH1147" s="604"/>
      <c r="AI1147" s="604"/>
      <c r="AJ1147" s="604"/>
      <c r="AK1147" s="604"/>
      <c r="AL1147" s="604"/>
      <c r="AM1147" s="604"/>
      <c r="AN1147" s="604"/>
    </row>
    <row r="1148" spans="1:40" ht="15.75" customHeight="1">
      <c r="A1148" s="683">
        <v>45476</v>
      </c>
      <c r="B1148" s="612" t="s">
        <v>310</v>
      </c>
      <c r="C1148" s="614" t="s">
        <v>419</v>
      </c>
      <c r="D1148" s="608"/>
      <c r="E1148" s="518"/>
      <c r="F1148" s="518"/>
      <c r="G1148" s="518"/>
      <c r="H1148" s="518"/>
      <c r="I1148" s="518"/>
      <c r="J1148" s="518"/>
      <c r="K1148" s="518"/>
      <c r="L1148" s="518"/>
      <c r="M1148" s="616"/>
      <c r="N1148" s="518">
        <v>950</v>
      </c>
      <c r="O1148" s="518"/>
      <c r="P1148" s="518"/>
      <c r="Q1148" s="518"/>
      <c r="R1148" s="518"/>
      <c r="S1148" s="518"/>
      <c r="T1148" s="518"/>
      <c r="U1148" s="518"/>
      <c r="V1148" s="518"/>
      <c r="W1148" s="518"/>
      <c r="X1148" s="808">
        <f>N1148</f>
        <v>950</v>
      </c>
      <c r="Y1148" s="809">
        <f>$N$3</f>
        <v>6680</v>
      </c>
      <c r="Z1148" s="609"/>
      <c r="AA1148" s="604"/>
      <c r="AB1148" s="604"/>
      <c r="AC1148" s="604"/>
      <c r="AD1148" s="604"/>
      <c r="AE1148" s="604"/>
      <c r="AF1148" s="604"/>
      <c r="AG1148" s="604"/>
      <c r="AH1148" s="604"/>
      <c r="AI1148" s="604"/>
      <c r="AJ1148" s="604"/>
      <c r="AK1148" s="604"/>
      <c r="AL1148" s="604"/>
      <c r="AM1148" s="604"/>
      <c r="AN1148" s="604"/>
    </row>
    <row r="1149" spans="1:40" ht="15.75" customHeight="1">
      <c r="A1149" s="683">
        <v>45481</v>
      </c>
      <c r="B1149" s="612"/>
      <c r="C1149" s="611" t="s">
        <v>320</v>
      </c>
      <c r="D1149" s="608"/>
      <c r="E1149" s="518"/>
      <c r="F1149" s="518"/>
      <c r="G1149" s="518"/>
      <c r="H1149" s="518"/>
      <c r="I1149" s="518"/>
      <c r="J1149" s="518"/>
      <c r="K1149" s="518">
        <v>37.5</v>
      </c>
      <c r="L1149" s="518"/>
      <c r="M1149" s="518"/>
      <c r="N1149" s="518"/>
      <c r="O1149" s="518"/>
      <c r="P1149" s="518"/>
      <c r="Q1149" s="518"/>
      <c r="R1149" s="518"/>
      <c r="S1149" s="518"/>
      <c r="T1149" s="518"/>
      <c r="U1149" s="518"/>
      <c r="V1149" s="518"/>
      <c r="W1149" s="518"/>
      <c r="X1149" s="1033">
        <f>K1149</f>
        <v>37.5</v>
      </c>
      <c r="Y1149" s="809" t="str">
        <f>$K$3</f>
        <v>6495-1</v>
      </c>
      <c r="Z1149" s="609"/>
      <c r="AA1149" s="604"/>
      <c r="AB1149" s="604"/>
      <c r="AC1149" s="604"/>
      <c r="AD1149" s="604"/>
      <c r="AE1149" s="604"/>
      <c r="AF1149" s="604"/>
      <c r="AG1149" s="604"/>
      <c r="AH1149" s="604"/>
      <c r="AI1149" s="604"/>
      <c r="AJ1149" s="604"/>
      <c r="AK1149" s="604"/>
      <c r="AL1149" s="604"/>
      <c r="AM1149" s="604"/>
      <c r="AN1149" s="604"/>
    </row>
    <row r="1150" spans="1:40" ht="15.75" customHeight="1">
      <c r="A1150" s="683">
        <v>45488</v>
      </c>
      <c r="B1150" s="612"/>
      <c r="C1150" s="611" t="s">
        <v>568</v>
      </c>
      <c r="D1150" s="608"/>
      <c r="E1150" s="518"/>
      <c r="F1150" s="518"/>
      <c r="G1150" s="518"/>
      <c r="H1150" s="518"/>
      <c r="I1150" s="518"/>
      <c r="J1150" s="518"/>
      <c r="K1150" s="518"/>
      <c r="L1150" s="518"/>
      <c r="M1150" s="518"/>
      <c r="N1150" s="518"/>
      <c r="O1150" s="518"/>
      <c r="P1150" s="518"/>
      <c r="Q1150" s="518"/>
      <c r="R1150" s="518"/>
      <c r="S1150" s="518"/>
      <c r="T1150" s="518">
        <v>18.36</v>
      </c>
      <c r="U1150" s="518"/>
      <c r="V1150" s="518"/>
      <c r="W1150" s="518"/>
      <c r="X1150" s="808">
        <f>T1150</f>
        <v>18.36</v>
      </c>
      <c r="Y1150" s="809">
        <f>$T$3</f>
        <v>2300</v>
      </c>
      <c r="Z1150" s="609"/>
      <c r="AA1150" s="604"/>
      <c r="AB1150" s="604"/>
      <c r="AC1150" s="604"/>
      <c r="AD1150" s="604"/>
      <c r="AE1150" s="604"/>
      <c r="AF1150" s="604"/>
      <c r="AG1150" s="604"/>
      <c r="AH1150" s="604"/>
      <c r="AI1150" s="604"/>
      <c r="AJ1150" s="604"/>
      <c r="AK1150" s="604"/>
      <c r="AL1150" s="604"/>
      <c r="AM1150" s="604"/>
      <c r="AN1150" s="604"/>
    </row>
    <row r="1151" spans="1:40" ht="15.75" customHeight="1">
      <c r="A1151" s="683">
        <v>45488</v>
      </c>
      <c r="B1151" s="615"/>
      <c r="C1151" s="611" t="s">
        <v>341</v>
      </c>
      <c r="D1151" s="608"/>
      <c r="E1151" s="518"/>
      <c r="F1151" s="518"/>
      <c r="G1151" s="518"/>
      <c r="H1151" s="518">
        <v>850.25</v>
      </c>
      <c r="I1151" s="518"/>
      <c r="J1151" s="518"/>
      <c r="K1151" s="518"/>
      <c r="L1151" s="518"/>
      <c r="M1151" s="518"/>
      <c r="N1151" s="518"/>
      <c r="O1151" s="518"/>
      <c r="P1151" s="518"/>
      <c r="Q1151" s="518"/>
      <c r="R1151" s="518"/>
      <c r="S1151" s="518"/>
      <c r="T1151" s="518"/>
      <c r="U1151" s="518"/>
      <c r="V1151" s="518"/>
      <c r="W1151" s="518"/>
      <c r="X1151" s="1033">
        <f>H1151</f>
        <v>850.25</v>
      </c>
      <c r="Y1151" s="809">
        <f>$H$3</f>
        <v>2200</v>
      </c>
      <c r="Z1151" s="609"/>
      <c r="AA1151" s="604"/>
      <c r="AB1151" s="604"/>
      <c r="AC1151" s="604"/>
      <c r="AD1151" s="604"/>
      <c r="AE1151" s="604"/>
      <c r="AF1151" s="604"/>
      <c r="AG1151" s="604"/>
      <c r="AH1151" s="604"/>
      <c r="AI1151" s="604"/>
      <c r="AJ1151" s="604"/>
      <c r="AK1151" s="604"/>
      <c r="AL1151" s="604"/>
      <c r="AM1151" s="604"/>
      <c r="AN1151" s="604"/>
    </row>
    <row r="1152" spans="1:40" ht="15.75" customHeight="1">
      <c r="A1152" s="683">
        <v>45489</v>
      </c>
      <c r="B1152" s="615"/>
      <c r="C1152" s="614" t="s">
        <v>508</v>
      </c>
      <c r="D1152" s="608"/>
      <c r="E1152" s="518"/>
      <c r="F1152" s="518"/>
      <c r="G1152" s="518"/>
      <c r="H1152" s="518"/>
      <c r="I1152" s="518"/>
      <c r="J1152" s="518"/>
      <c r="K1152" s="518"/>
      <c r="L1152" s="518"/>
      <c r="M1152" s="518"/>
      <c r="N1152" s="518"/>
      <c r="O1152" s="518"/>
      <c r="P1152" s="518"/>
      <c r="Q1152" s="518">
        <v>5.39</v>
      </c>
      <c r="R1152" s="518"/>
      <c r="S1152" s="518"/>
      <c r="T1152" s="518"/>
      <c r="U1152" s="518"/>
      <c r="V1152" s="518"/>
      <c r="W1152" s="518"/>
      <c r="X1152" s="808">
        <f>Q1152</f>
        <v>5.39</v>
      </c>
      <c r="Y1152" s="809" t="str">
        <f>$Q$3</f>
        <v>6495-2</v>
      </c>
      <c r="Z1152" s="609"/>
      <c r="AA1152" s="604"/>
      <c r="AB1152" s="604"/>
      <c r="AC1152" s="604"/>
      <c r="AD1152" s="604"/>
      <c r="AE1152" s="604"/>
      <c r="AF1152" s="604"/>
      <c r="AG1152" s="604"/>
      <c r="AH1152" s="604"/>
      <c r="AI1152" s="604"/>
      <c r="AJ1152" s="604"/>
      <c r="AK1152" s="604"/>
      <c r="AL1152" s="604"/>
      <c r="AM1152" s="604"/>
      <c r="AN1152" s="604"/>
    </row>
    <row r="1153" spans="1:40" ht="18" customHeight="1">
      <c r="A1153" s="683">
        <v>45490</v>
      </c>
      <c r="B1153" s="613"/>
      <c r="C1153" s="611" t="s">
        <v>518</v>
      </c>
      <c r="D1153" s="608"/>
      <c r="E1153" s="518"/>
      <c r="F1153" s="518"/>
      <c r="G1153" s="518"/>
      <c r="H1153" s="518"/>
      <c r="I1153" s="518"/>
      <c r="J1153" s="518"/>
      <c r="K1153" s="518">
        <v>34.99</v>
      </c>
      <c r="L1153" s="518"/>
      <c r="M1153" s="518"/>
      <c r="N1153" s="518"/>
      <c r="O1153" s="518"/>
      <c r="P1153" s="518"/>
      <c r="Q1153" s="518"/>
      <c r="R1153" s="518"/>
      <c r="S1153" s="518"/>
      <c r="T1153" s="518"/>
      <c r="U1153" s="518"/>
      <c r="V1153" s="518"/>
      <c r="W1153" s="518"/>
      <c r="X1153" s="1033">
        <f>K1153</f>
        <v>34.99</v>
      </c>
      <c r="Y1153" s="809" t="str">
        <f>$K$3</f>
        <v>6495-1</v>
      </c>
      <c r="Z1153" s="609"/>
      <c r="AA1153" s="604"/>
      <c r="AB1153" s="604"/>
      <c r="AC1153" s="604"/>
      <c r="AD1153" s="604"/>
      <c r="AE1153" s="604"/>
      <c r="AF1153" s="604"/>
      <c r="AG1153" s="604"/>
      <c r="AH1153" s="604"/>
      <c r="AI1153" s="604"/>
      <c r="AJ1153" s="604"/>
      <c r="AK1153" s="604"/>
      <c r="AL1153" s="604"/>
      <c r="AM1153" s="604"/>
      <c r="AN1153" s="604"/>
    </row>
    <row r="1154" spans="1:40" ht="18" customHeight="1">
      <c r="A1154" s="683">
        <v>45491</v>
      </c>
      <c r="B1154" s="613"/>
      <c r="C1154" s="611" t="s">
        <v>78</v>
      </c>
      <c r="D1154" s="608"/>
      <c r="E1154" s="518"/>
      <c r="F1154" s="518"/>
      <c r="G1154" s="518"/>
      <c r="H1154" s="518"/>
      <c r="I1154" s="518"/>
      <c r="J1154" s="518">
        <v>19.98</v>
      </c>
      <c r="K1154" s="518"/>
      <c r="L1154" s="518"/>
      <c r="M1154" s="518"/>
      <c r="N1154" s="518"/>
      <c r="O1154" s="518"/>
      <c r="P1154" s="518"/>
      <c r="Q1154" s="518"/>
      <c r="R1154" s="518"/>
      <c r="S1154" s="518"/>
      <c r="T1154" s="518"/>
      <c r="U1154" s="518"/>
      <c r="V1154" s="518"/>
      <c r="W1154" s="518"/>
      <c r="X1154" s="1033">
        <f>J1154</f>
        <v>19.98</v>
      </c>
      <c r="Y1154" s="809">
        <f>$J$3</f>
        <v>6805</v>
      </c>
      <c r="Z1154" s="609"/>
      <c r="AA1154" s="604"/>
      <c r="AB1154" s="604"/>
      <c r="AC1154" s="604"/>
      <c r="AD1154" s="604"/>
      <c r="AE1154" s="604"/>
      <c r="AF1154" s="604"/>
      <c r="AG1154" s="604"/>
      <c r="AH1154" s="604"/>
      <c r="AI1154" s="604"/>
      <c r="AJ1154" s="604"/>
      <c r="AK1154" s="604"/>
      <c r="AL1154" s="604"/>
      <c r="AM1154" s="604"/>
      <c r="AN1154" s="604"/>
    </row>
    <row r="1155" spans="1:40" ht="15.75" customHeight="1">
      <c r="A1155" s="683">
        <v>45495</v>
      </c>
      <c r="B1155" s="612"/>
      <c r="C1155" s="611" t="s">
        <v>194</v>
      </c>
      <c r="D1155" s="608"/>
      <c r="E1155" s="518"/>
      <c r="F1155" s="518"/>
      <c r="G1155" s="518"/>
      <c r="H1155" s="518"/>
      <c r="I1155" s="518"/>
      <c r="J1155" s="518"/>
      <c r="K1155" s="518"/>
      <c r="L1155" s="518"/>
      <c r="M1155" s="518"/>
      <c r="N1155" s="518"/>
      <c r="O1155" s="518"/>
      <c r="P1155" s="518"/>
      <c r="Q1155" s="518"/>
      <c r="R1155" s="518"/>
      <c r="S1155" s="518">
        <v>11.5</v>
      </c>
      <c r="T1155" s="518"/>
      <c r="U1155" s="518"/>
      <c r="V1155" s="518"/>
      <c r="W1155" s="518"/>
      <c r="X1155" s="808">
        <f>S1155</f>
        <v>11.5</v>
      </c>
      <c r="Y1155" s="809">
        <f>$S$3</f>
        <v>6855</v>
      </c>
      <c r="Z1155" s="609"/>
      <c r="AA1155" s="604"/>
      <c r="AB1155" s="604"/>
      <c r="AC1155" s="604"/>
      <c r="AD1155" s="604"/>
      <c r="AE1155" s="604"/>
      <c r="AF1155" s="604"/>
      <c r="AG1155" s="604"/>
      <c r="AH1155" s="604"/>
      <c r="AI1155" s="604"/>
      <c r="AJ1155" s="604"/>
      <c r="AK1155" s="604"/>
      <c r="AL1155" s="604"/>
      <c r="AM1155" s="604"/>
      <c r="AN1155" s="604"/>
    </row>
    <row r="1156" spans="1:40" ht="15.75" customHeight="1">
      <c r="A1156" s="683">
        <v>45496</v>
      </c>
      <c r="B1156" s="612"/>
      <c r="C1156" s="611" t="s">
        <v>320</v>
      </c>
      <c r="D1156" s="608"/>
      <c r="E1156" s="518"/>
      <c r="F1156" s="518"/>
      <c r="G1156" s="518"/>
      <c r="H1156" s="518"/>
      <c r="I1156" s="518"/>
      <c r="J1156" s="518"/>
      <c r="K1156" s="518">
        <v>37.1</v>
      </c>
      <c r="L1156" s="518"/>
      <c r="M1156" s="518"/>
      <c r="N1156" s="518"/>
      <c r="O1156" s="518"/>
      <c r="P1156" s="518"/>
      <c r="Q1156" s="518"/>
      <c r="R1156" s="518"/>
      <c r="S1156" s="518"/>
      <c r="T1156" s="518"/>
      <c r="U1156" s="518"/>
      <c r="V1156" s="518"/>
      <c r="W1156" s="518"/>
      <c r="X1156" s="1033">
        <f>K1156</f>
        <v>37.1</v>
      </c>
      <c r="Y1156" s="809" t="str">
        <f>$K$3</f>
        <v>6495-1</v>
      </c>
      <c r="Z1156" s="609"/>
      <c r="AA1156" s="604"/>
      <c r="AB1156" s="604"/>
      <c r="AC1156" s="604"/>
      <c r="AD1156" s="604"/>
      <c r="AE1156" s="604"/>
      <c r="AF1156" s="604"/>
      <c r="AG1156" s="604"/>
      <c r="AH1156" s="604"/>
      <c r="AI1156" s="604"/>
      <c r="AJ1156" s="604"/>
      <c r="AK1156" s="604"/>
      <c r="AL1156" s="604"/>
      <c r="AM1156" s="604"/>
      <c r="AN1156" s="604"/>
    </row>
    <row r="1157" spans="1:40" ht="15.75" customHeight="1">
      <c r="A1157" s="683">
        <v>45496</v>
      </c>
      <c r="B1157" s="615"/>
      <c r="C1157" s="611" t="s">
        <v>364</v>
      </c>
      <c r="D1157" s="608"/>
      <c r="E1157" s="518"/>
      <c r="F1157" s="518"/>
      <c r="G1157" s="518"/>
      <c r="H1157" s="518"/>
      <c r="I1157" s="518"/>
      <c r="J1157" s="518"/>
      <c r="K1157" s="518">
        <v>11.77</v>
      </c>
      <c r="L1157" s="518"/>
      <c r="M1157" s="518"/>
      <c r="N1157" s="518"/>
      <c r="O1157" s="518"/>
      <c r="P1157" s="518"/>
      <c r="Q1157" s="518"/>
      <c r="R1157" s="518"/>
      <c r="S1157" s="518">
        <v>11.91</v>
      </c>
      <c r="T1157" s="518"/>
      <c r="U1157" s="518"/>
      <c r="V1157" s="518"/>
      <c r="W1157" s="518"/>
      <c r="X1157" s="1033">
        <f>K1157</f>
        <v>11.77</v>
      </c>
      <c r="Y1157" s="809" t="str">
        <f>$K$3</f>
        <v>6495-1</v>
      </c>
      <c r="Z1157" s="609"/>
      <c r="AA1157" s="604"/>
      <c r="AB1157" s="604"/>
      <c r="AC1157" s="604"/>
      <c r="AD1157" s="604"/>
      <c r="AE1157" s="604"/>
      <c r="AF1157" s="604"/>
      <c r="AG1157" s="604"/>
      <c r="AH1157" s="604"/>
      <c r="AI1157" s="604"/>
      <c r="AJ1157" s="604"/>
      <c r="AK1157" s="604"/>
      <c r="AL1157" s="604"/>
      <c r="AM1157" s="604"/>
      <c r="AN1157" s="604"/>
    </row>
    <row r="1158" spans="1:40" ht="15.75" customHeight="1">
      <c r="A1158" s="683">
        <v>45498</v>
      </c>
      <c r="B1158" s="615"/>
      <c r="C1158" s="611" t="s">
        <v>344</v>
      </c>
      <c r="D1158" s="608"/>
      <c r="E1158" s="518"/>
      <c r="F1158" s="518"/>
      <c r="G1158" s="518"/>
      <c r="H1158" s="518"/>
      <c r="I1158" s="518"/>
      <c r="J1158" s="518"/>
      <c r="K1158" s="518"/>
      <c r="L1158" s="518"/>
      <c r="M1158" s="518"/>
      <c r="N1158" s="518"/>
      <c r="O1158" s="518"/>
      <c r="P1158" s="518"/>
      <c r="Q1158" s="518"/>
      <c r="R1158" s="518"/>
      <c r="S1158" s="518">
        <v>20.14</v>
      </c>
      <c r="T1158" s="518"/>
      <c r="U1158" s="518"/>
      <c r="V1158" s="518"/>
      <c r="W1158" s="518"/>
      <c r="X1158" s="808">
        <f>S1158</f>
        <v>20.14</v>
      </c>
      <c r="Y1158" s="809">
        <f>$S$3</f>
        <v>6855</v>
      </c>
      <c r="Z1158" s="609"/>
      <c r="AA1158" s="604"/>
      <c r="AB1158" s="604"/>
      <c r="AC1158" s="604"/>
      <c r="AD1158" s="604"/>
      <c r="AE1158" s="604"/>
      <c r="AF1158" s="604"/>
      <c r="AG1158" s="604"/>
      <c r="AH1158" s="604"/>
      <c r="AI1158" s="604"/>
      <c r="AJ1158" s="604"/>
      <c r="AK1158" s="604"/>
      <c r="AL1158" s="604"/>
      <c r="AM1158" s="604"/>
      <c r="AN1158" s="604"/>
    </row>
    <row r="1159" spans="1:40" ht="15.75" customHeight="1">
      <c r="A1159" s="683">
        <v>45504</v>
      </c>
      <c r="B1159" s="612"/>
      <c r="C1159" s="611" t="s">
        <v>545</v>
      </c>
      <c r="D1159" s="608"/>
      <c r="E1159" s="518"/>
      <c r="F1159" s="518"/>
      <c r="G1159" s="518"/>
      <c r="H1159" s="518"/>
      <c r="I1159" s="518"/>
      <c r="J1159" s="518"/>
      <c r="K1159" s="518"/>
      <c r="L1159" s="518"/>
      <c r="M1159" s="518"/>
      <c r="N1159" s="518"/>
      <c r="O1159" s="518"/>
      <c r="P1159" s="518"/>
      <c r="Q1159" s="518"/>
      <c r="R1159" s="518"/>
      <c r="S1159" s="518">
        <v>11.2</v>
      </c>
      <c r="T1159" s="518"/>
      <c r="U1159" s="518"/>
      <c r="V1159" s="518"/>
      <c r="W1159" s="518"/>
      <c r="X1159" s="808">
        <f>S1159</f>
        <v>11.2</v>
      </c>
      <c r="Y1159" s="809">
        <f>$S$3</f>
        <v>6855</v>
      </c>
      <c r="Z1159" s="609"/>
      <c r="AA1159" s="604"/>
      <c r="AB1159" s="604"/>
      <c r="AC1159" s="604"/>
      <c r="AD1159" s="604"/>
      <c r="AE1159" s="604"/>
      <c r="AF1159" s="604"/>
      <c r="AG1159" s="604"/>
      <c r="AH1159" s="604"/>
      <c r="AI1159" s="604"/>
      <c r="AJ1159" s="604"/>
      <c r="AK1159" s="604"/>
      <c r="AL1159" s="604"/>
      <c r="AM1159" s="604"/>
      <c r="AN1159" s="604"/>
    </row>
    <row r="1160" spans="1:40" ht="15.75" customHeight="1">
      <c r="A1160" s="683">
        <v>45504</v>
      </c>
      <c r="B1160" s="615"/>
      <c r="C1160" s="614" t="s">
        <v>260</v>
      </c>
      <c r="D1160" s="608"/>
      <c r="E1160" s="518">
        <v>633.20000000000005</v>
      </c>
      <c r="F1160" s="518"/>
      <c r="G1160" s="518"/>
      <c r="H1160" s="518"/>
      <c r="I1160" s="518"/>
      <c r="J1160" s="518"/>
      <c r="K1160" s="518"/>
      <c r="L1160" s="518"/>
      <c r="M1160" s="518"/>
      <c r="N1160" s="518"/>
      <c r="O1160" s="518"/>
      <c r="P1160" s="518"/>
      <c r="Q1160" s="518"/>
      <c r="R1160" s="518"/>
      <c r="S1160" s="518"/>
      <c r="T1160" s="518"/>
      <c r="U1160" s="518"/>
      <c r="V1160" s="518"/>
      <c r="W1160" s="518"/>
      <c r="X1160" s="808">
        <f>E1160</f>
        <v>633.20000000000005</v>
      </c>
      <c r="Y1160" s="809" t="s">
        <v>2304</v>
      </c>
      <c r="Z1160" s="609"/>
      <c r="AA1160" s="604"/>
      <c r="AB1160" s="604"/>
      <c r="AC1160" s="604"/>
      <c r="AD1160" s="604"/>
      <c r="AE1160" s="604"/>
      <c r="AF1160" s="604"/>
      <c r="AG1160" s="604"/>
      <c r="AH1160" s="604"/>
      <c r="AI1160" s="604"/>
      <c r="AJ1160" s="604"/>
      <c r="AK1160" s="604"/>
      <c r="AL1160" s="604"/>
      <c r="AM1160" s="604"/>
      <c r="AN1160" s="604"/>
    </row>
    <row r="1161" spans="1:40" ht="15.75" customHeight="1">
      <c r="A1161" s="683"/>
      <c r="B1161" s="612"/>
      <c r="C1161" s="611"/>
      <c r="D1161" s="608"/>
      <c r="E1161" s="518"/>
      <c r="F1161" s="518"/>
      <c r="G1161" s="518"/>
      <c r="H1161" s="518"/>
      <c r="I1161" s="518"/>
      <c r="J1161" s="518"/>
      <c r="K1161" s="518"/>
      <c r="L1161" s="518"/>
      <c r="M1161" s="518"/>
      <c r="N1161" s="518"/>
      <c r="O1161" s="518"/>
      <c r="P1161" s="518"/>
      <c r="Q1161" s="518"/>
      <c r="R1161" s="518"/>
      <c r="S1161" s="518"/>
      <c r="T1161" s="518"/>
      <c r="U1161" s="518"/>
      <c r="V1161" s="518"/>
      <c r="W1161" s="518"/>
      <c r="X1161" s="808"/>
      <c r="Y1161" s="809"/>
      <c r="Z1161" s="609"/>
      <c r="AA1161" s="604"/>
      <c r="AB1161" s="604"/>
      <c r="AC1161" s="604"/>
      <c r="AD1161" s="604"/>
      <c r="AE1161" s="604"/>
      <c r="AF1161" s="604"/>
      <c r="AG1161" s="604"/>
      <c r="AH1161" s="604"/>
      <c r="AI1161" s="604"/>
      <c r="AJ1161" s="604"/>
      <c r="AK1161" s="604"/>
      <c r="AL1161" s="604"/>
      <c r="AM1161" s="604"/>
      <c r="AN1161" s="604"/>
    </row>
    <row r="1162" spans="1:40" ht="15.75" customHeight="1">
      <c r="A1162" s="620"/>
      <c r="B1162" s="620"/>
      <c r="C1162" s="621"/>
      <c r="D1162" s="623"/>
      <c r="E1162" s="623"/>
      <c r="F1162" s="623"/>
      <c r="G1162" s="623"/>
      <c r="H1162" s="623"/>
      <c r="I1162" s="623"/>
      <c r="J1162" s="623"/>
      <c r="K1162" s="623"/>
      <c r="L1162" s="623"/>
      <c r="M1162" s="623"/>
      <c r="N1162" s="623"/>
      <c r="O1162" s="623"/>
      <c r="P1162" s="623"/>
      <c r="Q1162" s="623"/>
      <c r="R1162" s="623"/>
      <c r="S1162" s="623"/>
      <c r="T1162" s="623"/>
      <c r="U1162" s="623"/>
      <c r="V1162" s="623"/>
      <c r="W1162" s="623"/>
      <c r="X1162" s="808"/>
      <c r="Y1162" s="809"/>
      <c r="Z1162" s="623"/>
      <c r="AA1162" s="604"/>
      <c r="AB1162" s="604"/>
      <c r="AC1162" s="604"/>
      <c r="AD1162" s="604"/>
      <c r="AE1162" s="604"/>
      <c r="AF1162" s="604"/>
      <c r="AG1162" s="604"/>
      <c r="AH1162" s="604"/>
      <c r="AI1162" s="604"/>
      <c r="AJ1162" s="604"/>
      <c r="AK1162" s="604"/>
      <c r="AL1162" s="604"/>
      <c r="AM1162" s="604"/>
      <c r="AN1162" s="604"/>
    </row>
    <row r="1163" spans="1:40" ht="15.75" customHeight="1">
      <c r="A1163" s="683">
        <v>45474</v>
      </c>
      <c r="B1163" s="616"/>
      <c r="C1163" s="685" t="s">
        <v>207</v>
      </c>
      <c r="D1163" s="608"/>
      <c r="E1163" s="518"/>
      <c r="F1163" s="518"/>
      <c r="G1163" s="518"/>
      <c r="H1163" s="518"/>
      <c r="I1163" s="518"/>
      <c r="J1163" s="518"/>
      <c r="K1163" s="518"/>
      <c r="L1163" s="518"/>
      <c r="M1163" s="518">
        <v>32.51</v>
      </c>
      <c r="N1163" s="518"/>
      <c r="O1163" s="518"/>
      <c r="P1163" s="518"/>
      <c r="Q1163" s="518"/>
      <c r="R1163" s="518"/>
      <c r="S1163" s="518"/>
      <c r="T1163" s="518"/>
      <c r="U1163" s="518"/>
      <c r="V1163" s="518"/>
      <c r="W1163" s="518"/>
      <c r="X1163" s="808">
        <f>M1163</f>
        <v>32.51</v>
      </c>
      <c r="Y1163" s="809" t="str">
        <f>$M$3</f>
        <v>6673-2</v>
      </c>
      <c r="Z1163" s="609"/>
      <c r="AA1163" s="604"/>
      <c r="AB1163" s="604"/>
      <c r="AC1163" s="604"/>
      <c r="AD1163" s="604"/>
      <c r="AE1163" s="604"/>
      <c r="AF1163" s="604"/>
      <c r="AG1163" s="604"/>
      <c r="AH1163" s="604"/>
      <c r="AI1163" s="604"/>
      <c r="AJ1163" s="604"/>
      <c r="AK1163" s="604"/>
      <c r="AL1163" s="604"/>
      <c r="AM1163" s="604"/>
      <c r="AN1163" s="604"/>
    </row>
    <row r="1164" spans="1:40" ht="15.75" customHeight="1">
      <c r="A1164" s="683">
        <v>45474</v>
      </c>
      <c r="B1164" s="616"/>
      <c r="C1164" s="685" t="s">
        <v>411</v>
      </c>
      <c r="D1164" s="608"/>
      <c r="E1164" s="518"/>
      <c r="F1164" s="518"/>
      <c r="G1164" s="518"/>
      <c r="H1164" s="518"/>
      <c r="I1164" s="518"/>
      <c r="J1164" s="518"/>
      <c r="K1164" s="518"/>
      <c r="L1164" s="518"/>
      <c r="M1164" s="518"/>
      <c r="N1164" s="518"/>
      <c r="O1164" s="518">
        <v>360.01</v>
      </c>
      <c r="P1164" s="518"/>
      <c r="Q1164" s="518"/>
      <c r="R1164" s="518"/>
      <c r="S1164" s="518"/>
      <c r="T1164" s="518"/>
      <c r="U1164" s="518"/>
      <c r="V1164" s="518"/>
      <c r="W1164" s="518"/>
      <c r="X1164" s="1033">
        <f>O1164</f>
        <v>360.01</v>
      </c>
      <c r="Y1164" s="809">
        <f>$O$3</f>
        <v>6530</v>
      </c>
      <c r="Z1164" s="609"/>
      <c r="AA1164" s="604"/>
      <c r="AB1164" s="604"/>
      <c r="AC1164" s="604"/>
      <c r="AD1164" s="604"/>
      <c r="AE1164" s="604"/>
      <c r="AF1164" s="604"/>
      <c r="AG1164" s="604"/>
      <c r="AH1164" s="604"/>
      <c r="AI1164" s="604"/>
      <c r="AJ1164" s="604"/>
      <c r="AK1164" s="604"/>
      <c r="AL1164" s="604"/>
      <c r="AM1164" s="604"/>
      <c r="AN1164" s="604"/>
    </row>
    <row r="1165" spans="1:40" ht="15.75" customHeight="1">
      <c r="A1165" s="683">
        <v>45476</v>
      </c>
      <c r="B1165" s="616"/>
      <c r="C1165" s="685" t="s">
        <v>569</v>
      </c>
      <c r="D1165" s="608"/>
      <c r="E1165" s="518"/>
      <c r="F1165" s="518"/>
      <c r="G1165" s="518"/>
      <c r="H1165" s="518"/>
      <c r="I1165" s="518"/>
      <c r="J1165" s="518"/>
      <c r="K1165" s="518"/>
      <c r="L1165" s="518"/>
      <c r="M1165" s="518"/>
      <c r="N1165" s="518"/>
      <c r="O1165" s="518">
        <v>187.19</v>
      </c>
      <c r="P1165" s="518"/>
      <c r="Q1165" s="518"/>
      <c r="R1165" s="518"/>
      <c r="S1165" s="518"/>
      <c r="T1165" s="518"/>
      <c r="U1165" s="518"/>
      <c r="V1165" s="518"/>
      <c r="W1165" s="518"/>
      <c r="X1165" s="1033">
        <f>O1165</f>
        <v>187.19</v>
      </c>
      <c r="Y1165" s="809">
        <f>$O$3</f>
        <v>6530</v>
      </c>
      <c r="Z1165" s="609"/>
      <c r="AA1165" s="604"/>
      <c r="AB1165" s="604"/>
      <c r="AC1165" s="604"/>
      <c r="AD1165" s="604"/>
      <c r="AE1165" s="604"/>
      <c r="AF1165" s="604"/>
      <c r="AG1165" s="604"/>
      <c r="AH1165" s="604"/>
      <c r="AI1165" s="604"/>
      <c r="AJ1165" s="604"/>
      <c r="AK1165" s="604"/>
      <c r="AL1165" s="604"/>
      <c r="AM1165" s="604"/>
      <c r="AN1165" s="604"/>
    </row>
    <row r="1166" spans="1:40" ht="15.75" customHeight="1">
      <c r="A1166" s="683">
        <v>45478</v>
      </c>
      <c r="B1166" s="616"/>
      <c r="C1166" s="685" t="s">
        <v>562</v>
      </c>
      <c r="D1166" s="608"/>
      <c r="E1166" s="518"/>
      <c r="F1166" s="518"/>
      <c r="G1166" s="518"/>
      <c r="H1166" s="518"/>
      <c r="I1166" s="518"/>
      <c r="J1166" s="518"/>
      <c r="K1166" s="518"/>
      <c r="L1166" s="518"/>
      <c r="M1166" s="518">
        <v>119</v>
      </c>
      <c r="N1166" s="518"/>
      <c r="O1166" s="518"/>
      <c r="P1166" s="518"/>
      <c r="Q1166" s="518"/>
      <c r="R1166" s="518"/>
      <c r="S1166" s="518"/>
      <c r="T1166" s="518"/>
      <c r="U1166" s="518"/>
      <c r="V1166" s="518"/>
      <c r="W1166" s="518"/>
      <c r="X1166" s="808">
        <f>M1166</f>
        <v>119</v>
      </c>
      <c r="Y1166" s="809" t="str">
        <f>$M$3</f>
        <v>6673-2</v>
      </c>
      <c r="Z1166" s="609"/>
      <c r="AA1166" s="604"/>
      <c r="AB1166" s="604"/>
      <c r="AC1166" s="604"/>
      <c r="AD1166" s="604"/>
      <c r="AE1166" s="604"/>
      <c r="AF1166" s="604"/>
      <c r="AG1166" s="604"/>
      <c r="AH1166" s="604"/>
      <c r="AI1166" s="604"/>
      <c r="AJ1166" s="604"/>
      <c r="AK1166" s="604"/>
      <c r="AL1166" s="604"/>
      <c r="AM1166" s="604"/>
      <c r="AN1166" s="604"/>
    </row>
    <row r="1167" spans="1:40" ht="15.75" customHeight="1">
      <c r="A1167" s="683">
        <v>45481</v>
      </c>
      <c r="B1167" s="616"/>
      <c r="C1167" s="685" t="s">
        <v>570</v>
      </c>
      <c r="D1167" s="608"/>
      <c r="E1167" s="518"/>
      <c r="F1167" s="518"/>
      <c r="G1167" s="518"/>
      <c r="H1167" s="518"/>
      <c r="I1167" s="518"/>
      <c r="J1167" s="518"/>
      <c r="K1167" s="518"/>
      <c r="L1167" s="518"/>
      <c r="M1167" s="518"/>
      <c r="N1167" s="518"/>
      <c r="O1167" s="518">
        <f>35*B1138</f>
        <v>0</v>
      </c>
      <c r="P1167" s="518"/>
      <c r="Q1167" s="518"/>
      <c r="R1167" s="518"/>
      <c r="S1167" s="518"/>
      <c r="T1167" s="518"/>
      <c r="U1167" s="518"/>
      <c r="V1167" s="518"/>
      <c r="W1167" s="518"/>
      <c r="X1167" s="1033">
        <f>O1167</f>
        <v>0</v>
      </c>
      <c r="Y1167" s="809">
        <f>$O$3</f>
        <v>6530</v>
      </c>
      <c r="Z1167" s="609"/>
      <c r="AA1167" s="604"/>
      <c r="AB1167" s="604"/>
      <c r="AC1167" s="604"/>
      <c r="AD1167" s="604"/>
      <c r="AE1167" s="604"/>
      <c r="AF1167" s="604"/>
      <c r="AG1167" s="604"/>
      <c r="AH1167" s="604"/>
      <c r="AI1167" s="604"/>
      <c r="AJ1167" s="604"/>
      <c r="AK1167" s="604"/>
      <c r="AL1167" s="604"/>
      <c r="AM1167" s="604"/>
      <c r="AN1167" s="604"/>
    </row>
    <row r="1168" spans="1:40" ht="15.75" customHeight="1">
      <c r="A1168" s="683">
        <v>45482</v>
      </c>
      <c r="B1168" s="616"/>
      <c r="C1168" s="685" t="s">
        <v>207</v>
      </c>
      <c r="D1168" s="608"/>
      <c r="E1168" s="518"/>
      <c r="F1168" s="518"/>
      <c r="G1168" s="518"/>
      <c r="H1168" s="518"/>
      <c r="I1168" s="518"/>
      <c r="J1168" s="518"/>
      <c r="K1168" s="518"/>
      <c r="L1168" s="518"/>
      <c r="M1168" s="518">
        <v>65.47</v>
      </c>
      <c r="N1168" s="518"/>
      <c r="O1168" s="518"/>
      <c r="P1168" s="518"/>
      <c r="Q1168" s="518"/>
      <c r="R1168" s="518"/>
      <c r="S1168" s="518"/>
      <c r="T1168" s="518"/>
      <c r="U1168" s="518"/>
      <c r="V1168" s="518"/>
      <c r="W1168" s="518"/>
      <c r="X1168" s="1033"/>
      <c r="Y1168" s="809"/>
      <c r="Z1168" s="609"/>
      <c r="AA1168" s="604"/>
      <c r="AB1168" s="604"/>
      <c r="AC1168" s="604"/>
      <c r="AD1168" s="604"/>
      <c r="AE1168" s="604"/>
      <c r="AF1168" s="604"/>
      <c r="AG1168" s="604"/>
      <c r="AH1168" s="604"/>
      <c r="AI1168" s="604"/>
      <c r="AJ1168" s="604"/>
      <c r="AK1168" s="604"/>
      <c r="AL1168" s="604"/>
      <c r="AM1168" s="604"/>
      <c r="AN1168" s="604"/>
    </row>
    <row r="1169" spans="1:40" ht="15.75" customHeight="1">
      <c r="A1169" s="683">
        <v>45489</v>
      </c>
      <c r="B1169" s="616"/>
      <c r="C1169" s="685" t="s">
        <v>571</v>
      </c>
      <c r="D1169" s="608"/>
      <c r="E1169" s="518"/>
      <c r="F1169" s="518"/>
      <c r="G1169" s="518"/>
      <c r="H1169" s="518"/>
      <c r="I1169" s="518"/>
      <c r="J1169" s="518"/>
      <c r="K1169" s="518"/>
      <c r="L1169" s="518"/>
      <c r="M1169" s="518"/>
      <c r="N1169" s="518"/>
      <c r="O1169" s="518">
        <f>41.65*B1141</f>
        <v>0</v>
      </c>
      <c r="P1169" s="518"/>
      <c r="Q1169" s="518"/>
      <c r="R1169" s="518"/>
      <c r="S1169" s="518"/>
      <c r="T1169" s="518"/>
      <c r="U1169" s="518"/>
      <c r="V1169" s="518"/>
      <c r="W1169" s="518"/>
      <c r="X1169" s="1033">
        <f>O1169</f>
        <v>0</v>
      </c>
      <c r="Y1169" s="809">
        <f>$O$3</f>
        <v>6530</v>
      </c>
      <c r="Z1169" s="609"/>
      <c r="AA1169" s="604"/>
      <c r="AB1169" s="604"/>
      <c r="AC1169" s="604"/>
      <c r="AD1169" s="604"/>
      <c r="AE1169" s="604"/>
      <c r="AF1169" s="604"/>
      <c r="AG1169" s="604"/>
      <c r="AH1169" s="604"/>
      <c r="AI1169" s="604"/>
      <c r="AJ1169" s="604"/>
      <c r="AK1169" s="604"/>
      <c r="AL1169" s="604"/>
      <c r="AM1169" s="604"/>
      <c r="AN1169" s="604"/>
    </row>
    <row r="1170" spans="1:40" ht="15.75" customHeight="1">
      <c r="A1170" s="683">
        <v>45490</v>
      </c>
      <c r="B1170" s="616"/>
      <c r="C1170" s="685" t="s">
        <v>572</v>
      </c>
      <c r="D1170" s="608"/>
      <c r="E1170" s="518"/>
      <c r="F1170" s="518"/>
      <c r="G1170" s="518"/>
      <c r="H1170" s="518"/>
      <c r="I1170" s="518"/>
      <c r="J1170" s="518"/>
      <c r="K1170" s="518"/>
      <c r="L1170" s="518">
        <v>327.79</v>
      </c>
      <c r="M1170" s="518"/>
      <c r="N1170" s="518"/>
      <c r="O1170" s="518"/>
      <c r="P1170" s="518"/>
      <c r="Q1170" s="518"/>
      <c r="R1170" s="518"/>
      <c r="S1170" s="518"/>
      <c r="T1170" s="518"/>
      <c r="U1170" s="518"/>
      <c r="V1170" s="518"/>
      <c r="W1170" s="518"/>
      <c r="X1170" s="1033">
        <f>L1170</f>
        <v>327.79</v>
      </c>
      <c r="Y1170" s="809" t="str">
        <f>$L$3</f>
        <v>6673-1</v>
      </c>
      <c r="Z1170" s="609"/>
      <c r="AA1170" s="604"/>
      <c r="AB1170" s="604"/>
      <c r="AC1170" s="604"/>
      <c r="AD1170" s="604"/>
      <c r="AE1170" s="604"/>
      <c r="AF1170" s="604"/>
      <c r="AG1170" s="604"/>
      <c r="AH1170" s="604"/>
      <c r="AI1170" s="604"/>
      <c r="AJ1170" s="604"/>
      <c r="AK1170" s="604"/>
      <c r="AL1170" s="604"/>
      <c r="AM1170" s="604"/>
      <c r="AN1170" s="604"/>
    </row>
    <row r="1171" spans="1:40" ht="15.75" customHeight="1">
      <c r="A1171" s="683">
        <v>45491</v>
      </c>
      <c r="B1171" s="616"/>
      <c r="C1171" s="685" t="s">
        <v>207</v>
      </c>
      <c r="D1171" s="608"/>
      <c r="E1171" s="518"/>
      <c r="F1171" s="518"/>
      <c r="G1171" s="518"/>
      <c r="H1171" s="518"/>
      <c r="I1171" s="518"/>
      <c r="J1171" s="518"/>
      <c r="K1171" s="518"/>
      <c r="L1171" s="518"/>
      <c r="M1171" s="518">
        <v>31.36</v>
      </c>
      <c r="N1171" s="518"/>
      <c r="O1171" s="518"/>
      <c r="P1171" s="518"/>
      <c r="Q1171" s="518"/>
      <c r="R1171" s="518"/>
      <c r="S1171" s="518"/>
      <c r="T1171" s="518"/>
      <c r="U1171" s="518"/>
      <c r="V1171" s="518"/>
      <c r="W1171" s="518"/>
      <c r="X1171" s="808">
        <f>M1171</f>
        <v>31.36</v>
      </c>
      <c r="Y1171" s="809" t="str">
        <f>$M$3</f>
        <v>6673-2</v>
      </c>
      <c r="Z1171" s="609"/>
      <c r="AA1171" s="604"/>
      <c r="AB1171" s="604"/>
      <c r="AC1171" s="604"/>
      <c r="AD1171" s="604"/>
      <c r="AE1171" s="604"/>
      <c r="AF1171" s="604"/>
      <c r="AG1171" s="604"/>
      <c r="AH1171" s="604"/>
      <c r="AI1171" s="604"/>
      <c r="AJ1171" s="604"/>
      <c r="AK1171" s="604"/>
      <c r="AL1171" s="604"/>
      <c r="AM1171" s="604"/>
      <c r="AN1171" s="604"/>
    </row>
    <row r="1172" spans="1:40" ht="15.75" customHeight="1">
      <c r="A1172" s="683">
        <v>45491</v>
      </c>
      <c r="B1172" s="616"/>
      <c r="C1172" s="685" t="s">
        <v>569</v>
      </c>
      <c r="D1172" s="608"/>
      <c r="E1172" s="518"/>
      <c r="F1172" s="518"/>
      <c r="G1172" s="518"/>
      <c r="H1172" s="518"/>
      <c r="I1172" s="518"/>
      <c r="J1172" s="518"/>
      <c r="K1172" s="518"/>
      <c r="L1172" s="518"/>
      <c r="M1172" s="518"/>
      <c r="N1172" s="518"/>
      <c r="O1172" s="518">
        <v>62.93</v>
      </c>
      <c r="P1172" s="518"/>
      <c r="Q1172" s="518"/>
      <c r="R1172" s="518"/>
      <c r="S1172" s="518"/>
      <c r="T1172" s="518"/>
      <c r="U1172" s="518"/>
      <c r="V1172" s="518"/>
      <c r="W1172" s="518"/>
      <c r="X1172" s="1033">
        <f>O1172</f>
        <v>62.93</v>
      </c>
      <c r="Y1172" s="809">
        <f>$O$3</f>
        <v>6530</v>
      </c>
      <c r="Z1172" s="609"/>
      <c r="AA1172" s="604"/>
      <c r="AB1172" s="604"/>
      <c r="AC1172" s="604"/>
      <c r="AD1172" s="604"/>
      <c r="AE1172" s="604"/>
      <c r="AF1172" s="604"/>
      <c r="AG1172" s="604"/>
      <c r="AH1172" s="604"/>
      <c r="AI1172" s="604"/>
      <c r="AJ1172" s="604"/>
      <c r="AK1172" s="604"/>
      <c r="AL1172" s="604"/>
      <c r="AM1172" s="604"/>
      <c r="AN1172" s="604"/>
    </row>
    <row r="1173" spans="1:40" ht="15.75" customHeight="1">
      <c r="A1173" s="683">
        <v>45491</v>
      </c>
      <c r="B1173" s="616"/>
      <c r="C1173" s="685" t="s">
        <v>573</v>
      </c>
      <c r="D1173" s="608"/>
      <c r="E1173" s="518"/>
      <c r="F1173" s="518"/>
      <c r="G1173" s="518"/>
      <c r="H1173" s="518"/>
      <c r="I1173" s="518"/>
      <c r="J1173" s="518"/>
      <c r="K1173" s="518"/>
      <c r="L1173" s="518"/>
      <c r="M1173" s="518"/>
      <c r="N1173" s="518"/>
      <c r="O1173" s="518"/>
      <c r="P1173" s="518">
        <v>90.78</v>
      </c>
      <c r="Q1173" s="518"/>
      <c r="R1173" s="518"/>
      <c r="S1173" s="518"/>
      <c r="T1173" s="518"/>
      <c r="U1173" s="518"/>
      <c r="V1173" s="518"/>
      <c r="W1173" s="518"/>
      <c r="X1173" s="1033">
        <f>P1173</f>
        <v>90.78</v>
      </c>
      <c r="Y1173" s="809">
        <f>$P$3</f>
        <v>6815</v>
      </c>
      <c r="Z1173" s="609"/>
      <c r="AA1173" s="604"/>
      <c r="AB1173" s="604"/>
      <c r="AC1173" s="604"/>
      <c r="AD1173" s="604"/>
      <c r="AE1173" s="604"/>
      <c r="AF1173" s="604"/>
      <c r="AG1173" s="604"/>
      <c r="AH1173" s="604"/>
      <c r="AI1173" s="604"/>
      <c r="AJ1173" s="604"/>
      <c r="AK1173" s="604"/>
      <c r="AL1173" s="604"/>
      <c r="AM1173" s="604"/>
      <c r="AN1173" s="604"/>
    </row>
    <row r="1174" spans="1:40" ht="15.75" customHeight="1">
      <c r="A1174" s="683">
        <v>45496</v>
      </c>
      <c r="B1174" s="616" t="s">
        <v>2222</v>
      </c>
      <c r="C1174" s="685" t="s">
        <v>410</v>
      </c>
      <c r="D1174" s="608"/>
      <c r="E1174" s="518">
        <v>2410</v>
      </c>
      <c r="F1174" s="518"/>
      <c r="G1174" s="518"/>
      <c r="H1174" s="518"/>
      <c r="I1174" s="518"/>
      <c r="J1174" s="518"/>
      <c r="K1174" s="518"/>
      <c r="L1174" s="518"/>
      <c r="M1174" s="518"/>
      <c r="N1174" s="518"/>
      <c r="O1174" s="518"/>
      <c r="P1174" s="518"/>
      <c r="Q1174" s="518"/>
      <c r="R1174" s="518"/>
      <c r="S1174" s="518"/>
      <c r="T1174" s="518"/>
      <c r="U1174" s="518"/>
      <c r="V1174" s="518"/>
      <c r="W1174" s="518"/>
      <c r="X1174" s="808">
        <f>E1174</f>
        <v>2410</v>
      </c>
      <c r="Y1174" s="809" t="s">
        <v>2304</v>
      </c>
      <c r="Z1174" s="609"/>
      <c r="AA1174" s="604"/>
      <c r="AB1174" s="604"/>
      <c r="AC1174" s="604"/>
      <c r="AD1174" s="604"/>
      <c r="AE1174" s="604"/>
      <c r="AF1174" s="604"/>
      <c r="AG1174" s="604"/>
      <c r="AH1174" s="604"/>
      <c r="AI1174" s="604"/>
      <c r="AJ1174" s="604"/>
      <c r="AK1174" s="604"/>
      <c r="AL1174" s="604"/>
      <c r="AM1174" s="604"/>
      <c r="AN1174" s="604"/>
    </row>
    <row r="1175" spans="1:40" ht="15.75" customHeight="1">
      <c r="A1175" s="683">
        <v>45496</v>
      </c>
      <c r="B1175" s="616"/>
      <c r="C1175" s="685" t="s">
        <v>574</v>
      </c>
      <c r="D1175" s="608"/>
      <c r="E1175" s="518"/>
      <c r="F1175" s="518"/>
      <c r="G1175" s="518"/>
      <c r="H1175" s="518"/>
      <c r="I1175" s="518"/>
      <c r="J1175" s="518"/>
      <c r="K1175" s="518"/>
      <c r="L1175" s="518">
        <v>409.18</v>
      </c>
      <c r="M1175" s="518"/>
      <c r="N1175" s="518"/>
      <c r="O1175" s="518"/>
      <c r="P1175" s="518"/>
      <c r="Q1175" s="518"/>
      <c r="R1175" s="518"/>
      <c r="S1175" s="518"/>
      <c r="T1175" s="518"/>
      <c r="U1175" s="518"/>
      <c r="V1175" s="518"/>
      <c r="W1175" s="518"/>
      <c r="X1175" s="1033">
        <f>L1175</f>
        <v>409.18</v>
      </c>
      <c r="Y1175" s="809" t="str">
        <f>$L$3</f>
        <v>6673-1</v>
      </c>
      <c r="Z1175" s="609"/>
      <c r="AA1175" s="604"/>
      <c r="AB1175" s="604"/>
      <c r="AC1175" s="604"/>
      <c r="AD1175" s="604"/>
      <c r="AE1175" s="604"/>
      <c r="AF1175" s="604"/>
      <c r="AG1175" s="604"/>
      <c r="AH1175" s="604"/>
      <c r="AI1175" s="604"/>
      <c r="AJ1175" s="604"/>
      <c r="AK1175" s="604"/>
      <c r="AL1175" s="604"/>
      <c r="AM1175" s="604"/>
      <c r="AN1175" s="604"/>
    </row>
    <row r="1176" spans="1:40" ht="15.75" customHeight="1">
      <c r="A1176" s="683">
        <v>45497</v>
      </c>
      <c r="B1176" s="687" t="s">
        <v>575</v>
      </c>
      <c r="C1176" s="685" t="s">
        <v>200</v>
      </c>
      <c r="D1176" s="608">
        <v>1425</v>
      </c>
      <c r="E1176" s="518"/>
      <c r="F1176" s="518"/>
      <c r="G1176" s="518"/>
      <c r="H1176" s="518"/>
      <c r="I1176" s="518"/>
      <c r="J1176" s="518"/>
      <c r="K1176" s="518"/>
      <c r="L1176" s="518"/>
      <c r="M1176" s="518"/>
      <c r="N1176" s="518"/>
      <c r="O1176" s="518"/>
      <c r="P1176" s="518"/>
      <c r="Q1176" s="518"/>
      <c r="R1176" s="518"/>
      <c r="S1176" s="518"/>
      <c r="T1176" s="518"/>
      <c r="U1176" s="518"/>
      <c r="V1176" s="518"/>
      <c r="W1176" s="518"/>
      <c r="X1176" s="1034">
        <f>D1176</f>
        <v>1425</v>
      </c>
      <c r="Y1176" s="809" t="s">
        <v>2300</v>
      </c>
      <c r="Z1176" s="609"/>
      <c r="AA1176" s="604"/>
      <c r="AB1176" s="604"/>
      <c r="AC1176" s="604"/>
      <c r="AD1176" s="604"/>
      <c r="AE1176" s="604"/>
      <c r="AF1176" s="604"/>
      <c r="AG1176" s="604"/>
      <c r="AH1176" s="604"/>
      <c r="AI1176" s="604"/>
      <c r="AJ1176" s="604"/>
      <c r="AK1176" s="604"/>
      <c r="AL1176" s="604"/>
      <c r="AM1176" s="604"/>
      <c r="AN1176" s="604"/>
    </row>
    <row r="1177" spans="1:40" ht="15.75" customHeight="1">
      <c r="A1177" s="683">
        <v>45502</v>
      </c>
      <c r="B1177" s="616"/>
      <c r="C1177" s="685" t="s">
        <v>576</v>
      </c>
      <c r="D1177" s="608"/>
      <c r="E1177" s="518"/>
      <c r="F1177" s="518"/>
      <c r="G1177" s="518"/>
      <c r="H1177" s="518"/>
      <c r="I1177" s="518"/>
      <c r="J1177" s="518"/>
      <c r="K1177" s="518"/>
      <c r="L1177" s="518">
        <v>40</v>
      </c>
      <c r="M1177" s="518"/>
      <c r="N1177" s="518"/>
      <c r="O1177" s="518"/>
      <c r="P1177" s="518"/>
      <c r="Q1177" s="518"/>
      <c r="R1177" s="518"/>
      <c r="S1177" s="518"/>
      <c r="T1177" s="518"/>
      <c r="U1177" s="518"/>
      <c r="V1177" s="518"/>
      <c r="W1177" s="518"/>
      <c r="X1177" s="1033">
        <f>L1177</f>
        <v>40</v>
      </c>
      <c r="Y1177" s="809" t="str">
        <f>$L$3</f>
        <v>6673-1</v>
      </c>
      <c r="Z1177" s="609"/>
      <c r="AA1177" s="604"/>
      <c r="AB1177" s="604"/>
      <c r="AC1177" s="604"/>
      <c r="AD1177" s="604"/>
      <c r="AE1177" s="604"/>
      <c r="AF1177" s="604"/>
      <c r="AG1177" s="604"/>
      <c r="AH1177" s="604"/>
      <c r="AI1177" s="604"/>
      <c r="AJ1177" s="604"/>
      <c r="AK1177" s="604"/>
      <c r="AL1177" s="604"/>
      <c r="AM1177" s="604"/>
      <c r="AN1177" s="604"/>
    </row>
    <row r="1178" spans="1:40" ht="15.75" customHeight="1">
      <c r="A1178" s="683">
        <v>45504</v>
      </c>
      <c r="B1178" s="616"/>
      <c r="C1178" s="685" t="s">
        <v>207</v>
      </c>
      <c r="D1178" s="608"/>
      <c r="E1178" s="518"/>
      <c r="F1178" s="518"/>
      <c r="G1178" s="518"/>
      <c r="H1178" s="518"/>
      <c r="I1178" s="518"/>
      <c r="J1178" s="518"/>
      <c r="K1178" s="518"/>
      <c r="L1178" s="518"/>
      <c r="M1178" s="518">
        <v>46.13</v>
      </c>
      <c r="N1178" s="518"/>
      <c r="O1178" s="518"/>
      <c r="P1178" s="518"/>
      <c r="Q1178" s="518"/>
      <c r="R1178" s="518"/>
      <c r="S1178" s="518"/>
      <c r="T1178" s="518"/>
      <c r="U1178" s="518"/>
      <c r="V1178" s="518"/>
      <c r="W1178" s="518"/>
      <c r="X1178" s="808">
        <f>M1178</f>
        <v>46.13</v>
      </c>
      <c r="Y1178" s="809" t="str">
        <f>$M$3</f>
        <v>6673-2</v>
      </c>
      <c r="Z1178" s="609"/>
      <c r="AA1178" s="604"/>
      <c r="AB1178" s="604"/>
      <c r="AC1178" s="604"/>
      <c r="AD1178" s="604"/>
      <c r="AE1178" s="604"/>
      <c r="AF1178" s="604"/>
      <c r="AG1178" s="604"/>
      <c r="AH1178" s="604"/>
      <c r="AI1178" s="604"/>
      <c r="AJ1178" s="604"/>
      <c r="AK1178" s="604"/>
      <c r="AL1178" s="604"/>
      <c r="AM1178" s="604"/>
      <c r="AN1178" s="604"/>
    </row>
    <row r="1179" spans="1:40" ht="15.75" customHeight="1">
      <c r="A1179" s="683">
        <v>45504</v>
      </c>
      <c r="B1179" s="616" t="s">
        <v>2223</v>
      </c>
      <c r="C1179" s="685" t="s">
        <v>577</v>
      </c>
      <c r="D1179" s="608">
        <v>3100</v>
      </c>
      <c r="E1179" s="518"/>
      <c r="F1179" s="518"/>
      <c r="G1179" s="518"/>
      <c r="H1179" s="518"/>
      <c r="I1179" s="518"/>
      <c r="J1179" s="518"/>
      <c r="K1179" s="518"/>
      <c r="L1179" s="518"/>
      <c r="M1179" s="518"/>
      <c r="N1179" s="518"/>
      <c r="O1179" s="518"/>
      <c r="P1179" s="518"/>
      <c r="Q1179" s="518"/>
      <c r="R1179" s="518"/>
      <c r="S1179" s="518"/>
      <c r="T1179" s="518"/>
      <c r="U1179" s="518"/>
      <c r="V1179" s="518"/>
      <c r="W1179" s="518"/>
      <c r="X1179" s="1034">
        <f>D1179</f>
        <v>3100</v>
      </c>
      <c r="Y1179" s="809" t="s">
        <v>2300</v>
      </c>
      <c r="Z1179" s="609"/>
      <c r="AA1179" s="604"/>
      <c r="AB1179" s="604"/>
      <c r="AC1179" s="604"/>
      <c r="AD1179" s="604"/>
      <c r="AE1179" s="604"/>
      <c r="AF1179" s="604"/>
      <c r="AG1179" s="604"/>
      <c r="AH1179" s="604"/>
      <c r="AI1179" s="604"/>
      <c r="AJ1179" s="604"/>
      <c r="AK1179" s="604"/>
      <c r="AL1179" s="604"/>
      <c r="AM1179" s="604"/>
      <c r="AN1179" s="604"/>
    </row>
    <row r="1180" spans="1:40" ht="15.75" customHeight="1">
      <c r="A1180" s="683"/>
      <c r="B1180" s="616"/>
      <c r="C1180" s="685"/>
      <c r="D1180" s="608"/>
      <c r="E1180" s="518"/>
      <c r="F1180" s="518"/>
      <c r="G1180" s="518"/>
      <c r="H1180" s="518"/>
      <c r="I1180" s="518"/>
      <c r="J1180" s="518"/>
      <c r="K1180" s="518"/>
      <c r="L1180" s="518"/>
      <c r="M1180" s="518"/>
      <c r="N1180" s="518"/>
      <c r="O1180" s="518"/>
      <c r="P1180" s="518"/>
      <c r="Q1180" s="518"/>
      <c r="R1180" s="518"/>
      <c r="S1180" s="518"/>
      <c r="T1180" s="518"/>
      <c r="U1180" s="518"/>
      <c r="V1180" s="518"/>
      <c r="W1180" s="518"/>
      <c r="X1180" s="808"/>
      <c r="Y1180" s="809"/>
      <c r="Z1180" s="609"/>
      <c r="AA1180" s="604"/>
      <c r="AB1180" s="604"/>
      <c r="AC1180" s="604"/>
      <c r="AD1180" s="604"/>
      <c r="AE1180" s="604"/>
      <c r="AF1180" s="604"/>
      <c r="AG1180" s="604"/>
      <c r="AH1180" s="604"/>
      <c r="AI1180" s="604"/>
      <c r="AJ1180" s="604"/>
      <c r="AK1180" s="604"/>
      <c r="AL1180" s="604"/>
      <c r="AM1180" s="604"/>
      <c r="AN1180" s="604"/>
    </row>
    <row r="1181" spans="1:40" ht="15.75" customHeight="1" thickBot="1">
      <c r="A1181" s="683"/>
      <c r="B1181" s="616"/>
      <c r="C1181" s="685"/>
      <c r="D1181" s="518"/>
      <c r="E1181" s="518"/>
      <c r="F1181" s="518"/>
      <c r="G1181" s="518"/>
      <c r="H1181" s="518"/>
      <c r="I1181" s="518"/>
      <c r="J1181" s="518"/>
      <c r="K1181" s="518"/>
      <c r="L1181" s="518"/>
      <c r="M1181" s="518"/>
      <c r="N1181" s="518"/>
      <c r="O1181" s="518"/>
      <c r="P1181" s="518"/>
      <c r="Q1181" s="518"/>
      <c r="R1181" s="518"/>
      <c r="S1181" s="518"/>
      <c r="T1181" s="518"/>
      <c r="U1181" s="518"/>
      <c r="V1181" s="518"/>
      <c r="W1181" s="518"/>
      <c r="X1181" s="808"/>
      <c r="Y1181" s="809"/>
      <c r="Z1181" s="609"/>
      <c r="AA1181" s="604"/>
      <c r="AB1181" s="604"/>
      <c r="AC1181" s="604"/>
      <c r="AD1181" s="604"/>
      <c r="AE1181" s="604"/>
      <c r="AF1181" s="604"/>
      <c r="AG1181" s="604"/>
      <c r="AH1181" s="604"/>
      <c r="AI1181" s="604"/>
      <c r="AJ1181" s="604"/>
      <c r="AK1181" s="604"/>
      <c r="AL1181" s="604"/>
      <c r="AM1181" s="604"/>
      <c r="AN1181" s="604"/>
    </row>
    <row r="1182" spans="1:40" ht="15.75" customHeight="1" thickTop="1">
      <c r="A1182" s="627"/>
      <c r="B1182" s="655">
        <v>45505</v>
      </c>
      <c r="C1182" s="627"/>
      <c r="D1182" s="602"/>
      <c r="E1182" s="602"/>
      <c r="F1182" s="602"/>
      <c r="G1182" s="602"/>
      <c r="H1182" s="602"/>
      <c r="I1182" s="602"/>
      <c r="J1182" s="602"/>
      <c r="K1182" s="602"/>
      <c r="L1182" s="602"/>
      <c r="M1182" s="602"/>
      <c r="N1182" s="602"/>
      <c r="O1182" s="602"/>
      <c r="P1182" s="602"/>
      <c r="Q1182" s="602"/>
      <c r="R1182" s="602"/>
      <c r="S1182" s="602"/>
      <c r="T1182" s="602"/>
      <c r="U1182" s="602"/>
      <c r="V1182" s="602"/>
      <c r="W1182" s="602"/>
      <c r="X1182" s="808"/>
      <c r="Y1182" s="809"/>
      <c r="Z1182" s="602"/>
      <c r="AA1182" s="604"/>
      <c r="AB1182" s="604"/>
      <c r="AC1182" s="604"/>
      <c r="AD1182" s="604"/>
      <c r="AE1182" s="604"/>
      <c r="AF1182" s="604"/>
      <c r="AG1182" s="604"/>
      <c r="AH1182" s="604"/>
      <c r="AI1182" s="604"/>
      <c r="AJ1182" s="604"/>
      <c r="AK1182" s="604"/>
      <c r="AL1182" s="604"/>
      <c r="AM1182" s="604"/>
      <c r="AN1182" s="604"/>
    </row>
    <row r="1183" spans="1:40" ht="15.75" customHeight="1">
      <c r="A1183" s="683"/>
      <c r="B1183" s="630"/>
      <c r="C1183" s="607"/>
      <c r="D1183" s="608"/>
      <c r="E1183" s="518"/>
      <c r="F1183" s="518"/>
      <c r="G1183" s="518"/>
      <c r="H1183" s="518"/>
      <c r="I1183" s="518"/>
      <c r="J1183" s="518"/>
      <c r="K1183" s="518"/>
      <c r="L1183" s="518"/>
      <c r="M1183" s="518"/>
      <c r="N1183" s="518"/>
      <c r="O1183" s="518"/>
      <c r="P1183" s="518"/>
      <c r="Q1183" s="518"/>
      <c r="R1183" s="518"/>
      <c r="S1183" s="518"/>
      <c r="T1183" s="518"/>
      <c r="U1183" s="518"/>
      <c r="V1183" s="518"/>
      <c r="W1183" s="518"/>
      <c r="X1183" s="808"/>
      <c r="Y1183" s="809"/>
      <c r="Z1183" s="609"/>
      <c r="AA1183" s="604"/>
      <c r="AB1183" s="604"/>
      <c r="AC1183" s="604"/>
      <c r="AD1183" s="604"/>
      <c r="AE1183" s="604"/>
      <c r="AF1183" s="604"/>
      <c r="AG1183" s="604"/>
      <c r="AH1183" s="604"/>
      <c r="AI1183" s="604"/>
      <c r="AJ1183" s="604"/>
      <c r="AK1183" s="604"/>
      <c r="AL1183" s="604"/>
      <c r="AM1183" s="604"/>
      <c r="AN1183" s="604"/>
    </row>
    <row r="1184" spans="1:40" ht="15.75" customHeight="1">
      <c r="A1184" s="683">
        <v>45505</v>
      </c>
      <c r="B1184" s="663"/>
      <c r="C1184" s="611" t="s">
        <v>62</v>
      </c>
      <c r="D1184" s="608"/>
      <c r="E1184" s="518"/>
      <c r="F1184" s="518"/>
      <c r="G1184" s="518"/>
      <c r="H1184" s="518"/>
      <c r="I1184" s="518"/>
      <c r="J1184" s="518"/>
      <c r="K1184" s="518"/>
      <c r="L1184" s="518"/>
      <c r="M1184" s="518"/>
      <c r="N1184" s="518"/>
      <c r="O1184" s="518"/>
      <c r="P1184" s="518"/>
      <c r="Q1184" s="518"/>
      <c r="R1184" s="518"/>
      <c r="S1184" s="518"/>
      <c r="T1184" s="518"/>
      <c r="U1184" s="518"/>
      <c r="V1184" s="518">
        <v>1036.55</v>
      </c>
      <c r="W1184" s="518"/>
      <c r="X1184" s="808"/>
      <c r="Y1184" s="809"/>
      <c r="Z1184" s="609"/>
      <c r="AA1184" s="604"/>
      <c r="AB1184" s="604"/>
      <c r="AC1184" s="604"/>
      <c r="AD1184" s="604"/>
      <c r="AE1184" s="604"/>
      <c r="AF1184" s="604"/>
      <c r="AG1184" s="604"/>
      <c r="AH1184" s="604"/>
      <c r="AI1184" s="604"/>
      <c r="AJ1184" s="604"/>
      <c r="AK1184" s="604"/>
      <c r="AL1184" s="604"/>
      <c r="AM1184" s="604"/>
      <c r="AN1184" s="604"/>
    </row>
    <row r="1185" spans="1:40" ht="15.75" customHeight="1">
      <c r="A1185" s="683">
        <v>45505</v>
      </c>
      <c r="B1185" s="612"/>
      <c r="C1185" s="611" t="s">
        <v>63</v>
      </c>
      <c r="D1185" s="608"/>
      <c r="E1185" s="518"/>
      <c r="F1185" s="518"/>
      <c r="G1185" s="518"/>
      <c r="H1185" s="518"/>
      <c r="I1185" s="518"/>
      <c r="J1185" s="518"/>
      <c r="K1185" s="518"/>
      <c r="L1185" s="518"/>
      <c r="M1185" s="518"/>
      <c r="N1185" s="518"/>
      <c r="O1185" s="518"/>
      <c r="P1185" s="518"/>
      <c r="Q1185" s="518"/>
      <c r="R1185" s="518"/>
      <c r="S1185" s="518"/>
      <c r="T1185" s="518">
        <v>277.60000000000002</v>
      </c>
      <c r="U1185" s="518"/>
      <c r="V1185" s="518"/>
      <c r="W1185" s="518"/>
      <c r="X1185" s="808">
        <f>T1185</f>
        <v>277.60000000000002</v>
      </c>
      <c r="Y1185" s="809">
        <f>$T$3</f>
        <v>2300</v>
      </c>
      <c r="Z1185" s="609"/>
      <c r="AA1185" s="604"/>
      <c r="AB1185" s="604"/>
      <c r="AC1185" s="604"/>
      <c r="AD1185" s="604"/>
      <c r="AE1185" s="604"/>
      <c r="AF1185" s="604"/>
      <c r="AG1185" s="604"/>
      <c r="AH1185" s="604"/>
      <c r="AI1185" s="604"/>
      <c r="AJ1185" s="604"/>
      <c r="AK1185" s="604"/>
      <c r="AL1185" s="604"/>
      <c r="AM1185" s="604"/>
      <c r="AN1185" s="604"/>
    </row>
    <row r="1186" spans="1:40" ht="15.75" customHeight="1">
      <c r="A1186" s="683">
        <v>45505</v>
      </c>
      <c r="B1186" s="615"/>
      <c r="C1186" s="614" t="s">
        <v>421</v>
      </c>
      <c r="D1186" s="608"/>
      <c r="E1186" s="518"/>
      <c r="F1186" s="518"/>
      <c r="G1186" s="518"/>
      <c r="H1186" s="518"/>
      <c r="I1186" s="518"/>
      <c r="J1186" s="518"/>
      <c r="K1186" s="518"/>
      <c r="L1186" s="518"/>
      <c r="M1186" s="518">
        <v>49</v>
      </c>
      <c r="N1186" s="518"/>
      <c r="O1186" s="518"/>
      <c r="P1186" s="518"/>
      <c r="Q1186" s="518"/>
      <c r="R1186" s="518"/>
      <c r="S1186" s="518"/>
      <c r="T1186" s="518"/>
      <c r="U1186" s="518"/>
      <c r="V1186" s="518"/>
      <c r="W1186" s="518"/>
      <c r="X1186" s="808">
        <f>M1186</f>
        <v>49</v>
      </c>
      <c r="Y1186" s="809" t="str">
        <f>$M$3</f>
        <v>6673-2</v>
      </c>
      <c r="Z1186" s="609"/>
      <c r="AA1186" s="604"/>
      <c r="AB1186" s="604"/>
      <c r="AC1186" s="604"/>
      <c r="AD1186" s="604"/>
      <c r="AE1186" s="604"/>
      <c r="AF1186" s="604"/>
      <c r="AG1186" s="604"/>
      <c r="AH1186" s="604"/>
      <c r="AI1186" s="604"/>
      <c r="AJ1186" s="604"/>
      <c r="AK1186" s="604"/>
      <c r="AL1186" s="604"/>
      <c r="AM1186" s="604"/>
      <c r="AN1186" s="604"/>
    </row>
    <row r="1187" spans="1:40" ht="15.75" customHeight="1">
      <c r="A1187" s="683">
        <v>45506</v>
      </c>
      <c r="B1187" s="672">
        <f>'Conversion rates'!B35</f>
        <v>1.1744559999999999</v>
      </c>
      <c r="C1187" s="611" t="s">
        <v>276</v>
      </c>
      <c r="D1187" s="608"/>
      <c r="E1187" s="518"/>
      <c r="F1187" s="518"/>
      <c r="G1187" s="518"/>
      <c r="H1187" s="518"/>
      <c r="I1187" s="518"/>
      <c r="J1187" s="518"/>
      <c r="K1187" s="518"/>
      <c r="L1187" s="518"/>
      <c r="M1187" s="518"/>
      <c r="N1187" s="518"/>
      <c r="O1187" s="518"/>
      <c r="P1187" s="518"/>
      <c r="Q1187" s="518"/>
      <c r="R1187" s="518"/>
      <c r="S1187" s="518"/>
      <c r="T1187" s="518">
        <v>80</v>
      </c>
      <c r="U1187" s="518"/>
      <c r="V1187" s="518"/>
      <c r="W1187" s="518"/>
      <c r="X1187" s="808">
        <f>T1187</f>
        <v>80</v>
      </c>
      <c r="Y1187" s="809">
        <f>$T$3</f>
        <v>2300</v>
      </c>
      <c r="Z1187" s="609"/>
      <c r="AA1187" s="604"/>
      <c r="AB1187" s="604"/>
      <c r="AC1187" s="604"/>
      <c r="AD1187" s="604"/>
      <c r="AE1187" s="604"/>
      <c r="AF1187" s="604"/>
      <c r="AG1187" s="604"/>
      <c r="AH1187" s="604"/>
      <c r="AI1187" s="604"/>
      <c r="AJ1187" s="604"/>
      <c r="AK1187" s="604"/>
      <c r="AL1187" s="604"/>
      <c r="AM1187" s="604"/>
      <c r="AN1187" s="604"/>
    </row>
    <row r="1188" spans="1:40" ht="15.75" customHeight="1">
      <c r="A1188" s="683">
        <v>45509</v>
      </c>
      <c r="B1188" s="612" t="s">
        <v>310</v>
      </c>
      <c r="C1188" s="614" t="s">
        <v>437</v>
      </c>
      <c r="D1188" s="608"/>
      <c r="E1188" s="518"/>
      <c r="F1188" s="518"/>
      <c r="G1188" s="518"/>
      <c r="H1188" s="518"/>
      <c r="I1188" s="518"/>
      <c r="J1188" s="518"/>
      <c r="K1188" s="518"/>
      <c r="L1188" s="518"/>
      <c r="M1188" s="616"/>
      <c r="N1188" s="518">
        <v>940</v>
      </c>
      <c r="O1188" s="518"/>
      <c r="P1188" s="518"/>
      <c r="Q1188" s="518"/>
      <c r="R1188" s="518"/>
      <c r="S1188" s="518"/>
      <c r="T1188" s="518"/>
      <c r="U1188" s="518"/>
      <c r="V1188" s="518"/>
      <c r="W1188" s="518"/>
      <c r="X1188" s="808">
        <f>N1188</f>
        <v>940</v>
      </c>
      <c r="Y1188" s="809">
        <f>$N$3</f>
        <v>6680</v>
      </c>
      <c r="Z1188" s="609"/>
      <c r="AA1188" s="604"/>
      <c r="AB1188" s="604"/>
      <c r="AC1188" s="604"/>
      <c r="AD1188" s="604"/>
      <c r="AE1188" s="604"/>
      <c r="AF1188" s="604"/>
      <c r="AG1188" s="604"/>
      <c r="AH1188" s="604"/>
      <c r="AI1188" s="604"/>
      <c r="AJ1188" s="604"/>
      <c r="AK1188" s="604"/>
      <c r="AL1188" s="604"/>
      <c r="AM1188" s="604"/>
      <c r="AN1188" s="604"/>
    </row>
    <row r="1189" spans="1:40" ht="15.75" customHeight="1">
      <c r="A1189" s="683">
        <v>45511</v>
      </c>
      <c r="B1189" s="612"/>
      <c r="C1189" s="611" t="s">
        <v>320</v>
      </c>
      <c r="D1189" s="608"/>
      <c r="E1189" s="518"/>
      <c r="F1189" s="518"/>
      <c r="G1189" s="518"/>
      <c r="H1189" s="518"/>
      <c r="I1189" s="518"/>
      <c r="J1189" s="518"/>
      <c r="K1189" s="518">
        <v>36.78</v>
      </c>
      <c r="L1189" s="518"/>
      <c r="M1189" s="518"/>
      <c r="N1189" s="518"/>
      <c r="O1189" s="518"/>
      <c r="P1189" s="518"/>
      <c r="Q1189" s="518"/>
      <c r="R1189" s="518"/>
      <c r="S1189" s="518"/>
      <c r="T1189" s="518"/>
      <c r="U1189" s="518"/>
      <c r="V1189" s="518"/>
      <c r="W1189" s="518"/>
      <c r="X1189" s="1033">
        <f>K1189</f>
        <v>36.78</v>
      </c>
      <c r="Y1189" s="809" t="str">
        <f>$K$3</f>
        <v>6495-1</v>
      </c>
      <c r="Z1189" s="609"/>
      <c r="AA1189" s="604"/>
      <c r="AB1189" s="604"/>
      <c r="AC1189" s="604"/>
      <c r="AD1189" s="604"/>
      <c r="AE1189" s="604"/>
      <c r="AF1189" s="604"/>
      <c r="AG1189" s="604"/>
      <c r="AH1189" s="604"/>
      <c r="AI1189" s="604"/>
      <c r="AJ1189" s="604"/>
      <c r="AK1189" s="604"/>
      <c r="AL1189" s="604"/>
      <c r="AM1189" s="604"/>
      <c r="AN1189" s="604"/>
    </row>
    <row r="1190" spans="1:40" ht="15.75" customHeight="1">
      <c r="A1190" s="683">
        <v>45518</v>
      </c>
      <c r="B1190" s="612"/>
      <c r="C1190" s="611" t="s">
        <v>194</v>
      </c>
      <c r="D1190" s="608"/>
      <c r="E1190" s="518"/>
      <c r="F1190" s="518"/>
      <c r="G1190" s="518"/>
      <c r="H1190" s="518"/>
      <c r="I1190" s="518"/>
      <c r="J1190" s="518"/>
      <c r="K1190" s="518"/>
      <c r="L1190" s="518"/>
      <c r="M1190" s="518"/>
      <c r="N1190" s="518"/>
      <c r="O1190" s="518"/>
      <c r="P1190" s="518"/>
      <c r="Q1190" s="518"/>
      <c r="R1190" s="518"/>
      <c r="S1190" s="518">
        <v>11.5</v>
      </c>
      <c r="T1190" s="518"/>
      <c r="U1190" s="518"/>
      <c r="V1190" s="518"/>
      <c r="W1190" s="518"/>
      <c r="X1190" s="808">
        <f>S1190</f>
        <v>11.5</v>
      </c>
      <c r="Y1190" s="809">
        <f>$S$3</f>
        <v>6855</v>
      </c>
      <c r="Z1190" s="609"/>
      <c r="AA1190" s="604"/>
      <c r="AB1190" s="604"/>
      <c r="AC1190" s="604"/>
      <c r="AD1190" s="604"/>
      <c r="AE1190" s="604"/>
      <c r="AF1190" s="604"/>
      <c r="AG1190" s="604"/>
      <c r="AH1190" s="604"/>
      <c r="AI1190" s="604"/>
      <c r="AJ1190" s="604"/>
      <c r="AK1190" s="604"/>
      <c r="AL1190" s="604"/>
      <c r="AM1190" s="604"/>
      <c r="AN1190" s="604"/>
    </row>
    <row r="1191" spans="1:40" ht="15.75" customHeight="1">
      <c r="A1191" s="683">
        <v>45519</v>
      </c>
      <c r="B1191" s="612"/>
      <c r="C1191" s="611" t="s">
        <v>568</v>
      </c>
      <c r="D1191" s="608"/>
      <c r="E1191" s="518"/>
      <c r="F1191" s="518"/>
      <c r="G1191" s="518"/>
      <c r="H1191" s="518"/>
      <c r="I1191" s="518"/>
      <c r="J1191" s="518"/>
      <c r="K1191" s="518"/>
      <c r="L1191" s="518"/>
      <c r="M1191" s="518"/>
      <c r="N1191" s="518"/>
      <c r="O1191" s="518"/>
      <c r="P1191" s="518"/>
      <c r="Q1191" s="518"/>
      <c r="R1191" s="518"/>
      <c r="S1191" s="518"/>
      <c r="T1191" s="518">
        <v>18.36</v>
      </c>
      <c r="U1191" s="518"/>
      <c r="V1191" s="518"/>
      <c r="W1191" s="518"/>
      <c r="X1191" s="808">
        <f>T1191</f>
        <v>18.36</v>
      </c>
      <c r="Y1191" s="809">
        <f>$T$3</f>
        <v>2300</v>
      </c>
      <c r="Z1191" s="609"/>
      <c r="AA1191" s="604"/>
      <c r="AB1191" s="604"/>
      <c r="AC1191" s="604"/>
      <c r="AD1191" s="604"/>
      <c r="AE1191" s="604"/>
      <c r="AF1191" s="604"/>
      <c r="AG1191" s="604"/>
      <c r="AH1191" s="604"/>
      <c r="AI1191" s="604"/>
      <c r="AJ1191" s="604"/>
      <c r="AK1191" s="604"/>
      <c r="AL1191" s="604"/>
      <c r="AM1191" s="604"/>
      <c r="AN1191" s="604"/>
    </row>
    <row r="1192" spans="1:40" ht="15.75" customHeight="1">
      <c r="A1192" s="683">
        <v>45519</v>
      </c>
      <c r="B1192" s="615"/>
      <c r="C1192" s="611" t="s">
        <v>341</v>
      </c>
      <c r="D1192" s="608"/>
      <c r="E1192" s="518"/>
      <c r="F1192" s="518"/>
      <c r="G1192" s="518"/>
      <c r="H1192" s="518">
        <v>850.25</v>
      </c>
      <c r="I1192" s="518"/>
      <c r="J1192" s="518"/>
      <c r="K1192" s="518"/>
      <c r="L1192" s="518"/>
      <c r="M1192" s="518"/>
      <c r="N1192" s="518"/>
      <c r="O1192" s="518"/>
      <c r="P1192" s="518"/>
      <c r="Q1192" s="518"/>
      <c r="R1192" s="518"/>
      <c r="S1192" s="518"/>
      <c r="T1192" s="518"/>
      <c r="U1192" s="518"/>
      <c r="V1192" s="518"/>
      <c r="W1192" s="518"/>
      <c r="X1192" s="1033">
        <f>H1192</f>
        <v>850.25</v>
      </c>
      <c r="Y1192" s="809">
        <f>$H$3</f>
        <v>2200</v>
      </c>
      <c r="Z1192" s="609"/>
      <c r="AA1192" s="604"/>
      <c r="AB1192" s="604"/>
      <c r="AC1192" s="604"/>
      <c r="AD1192" s="604"/>
      <c r="AE1192" s="604"/>
      <c r="AF1192" s="604"/>
      <c r="AG1192" s="604"/>
      <c r="AH1192" s="604"/>
      <c r="AI1192" s="604"/>
      <c r="AJ1192" s="604"/>
      <c r="AK1192" s="604"/>
      <c r="AL1192" s="604"/>
      <c r="AM1192" s="604"/>
      <c r="AN1192" s="604"/>
    </row>
    <row r="1193" spans="1:40" ht="18" customHeight="1">
      <c r="A1193" s="683">
        <v>45520</v>
      </c>
      <c r="B1193" s="615"/>
      <c r="C1193" s="614" t="s">
        <v>508</v>
      </c>
      <c r="D1193" s="608"/>
      <c r="E1193" s="518"/>
      <c r="F1193" s="518"/>
      <c r="G1193" s="518"/>
      <c r="H1193" s="518"/>
      <c r="I1193" s="518"/>
      <c r="J1193" s="518"/>
      <c r="K1193" s="518"/>
      <c r="L1193" s="518"/>
      <c r="M1193" s="518"/>
      <c r="N1193" s="518"/>
      <c r="O1193" s="518"/>
      <c r="P1193" s="518"/>
      <c r="Q1193" s="518">
        <v>5.39</v>
      </c>
      <c r="R1193" s="518"/>
      <c r="S1193" s="518"/>
      <c r="T1193" s="518"/>
      <c r="U1193" s="518"/>
      <c r="V1193" s="518"/>
      <c r="W1193" s="518"/>
      <c r="X1193" s="808">
        <f>Q1193</f>
        <v>5.39</v>
      </c>
      <c r="Y1193" s="809" t="str">
        <f>$Q$3</f>
        <v>6495-2</v>
      </c>
      <c r="Z1193" s="609"/>
      <c r="AA1193" s="604"/>
      <c r="AB1193" s="604"/>
      <c r="AC1193" s="604"/>
      <c r="AD1193" s="604"/>
      <c r="AE1193" s="604"/>
      <c r="AF1193" s="604"/>
      <c r="AG1193" s="604"/>
      <c r="AH1193" s="604"/>
      <c r="AI1193" s="604"/>
      <c r="AJ1193" s="604"/>
      <c r="AK1193" s="604"/>
      <c r="AL1193" s="604"/>
      <c r="AM1193" s="604"/>
      <c r="AN1193" s="604"/>
    </row>
    <row r="1194" spans="1:40" ht="18" customHeight="1">
      <c r="A1194" s="683">
        <v>45521</v>
      </c>
      <c r="B1194" s="612"/>
      <c r="C1194" s="611" t="s">
        <v>320</v>
      </c>
      <c r="D1194" s="608"/>
      <c r="E1194" s="518"/>
      <c r="F1194" s="518"/>
      <c r="G1194" s="518"/>
      <c r="H1194" s="518"/>
      <c r="I1194" s="518"/>
      <c r="J1194" s="518"/>
      <c r="K1194" s="518">
        <v>36.76</v>
      </c>
      <c r="L1194" s="518"/>
      <c r="M1194" s="518"/>
      <c r="N1194" s="518"/>
      <c r="O1194" s="518"/>
      <c r="P1194" s="518"/>
      <c r="Q1194" s="518"/>
      <c r="R1194" s="518"/>
      <c r="S1194" s="518"/>
      <c r="T1194" s="518"/>
      <c r="U1194" s="518"/>
      <c r="V1194" s="518"/>
      <c r="W1194" s="518"/>
      <c r="X1194" s="1033">
        <f>K1194</f>
        <v>36.76</v>
      </c>
      <c r="Y1194" s="809" t="str">
        <f>$K$3</f>
        <v>6495-1</v>
      </c>
      <c r="Z1194" s="609"/>
      <c r="AA1194" s="604"/>
      <c r="AB1194" s="604"/>
      <c r="AC1194" s="604"/>
      <c r="AD1194" s="604"/>
      <c r="AE1194" s="604"/>
      <c r="AF1194" s="604"/>
      <c r="AG1194" s="604"/>
      <c r="AH1194" s="604"/>
      <c r="AI1194" s="604"/>
      <c r="AJ1194" s="604"/>
      <c r="AK1194" s="604"/>
      <c r="AL1194" s="604"/>
      <c r="AM1194" s="604"/>
      <c r="AN1194" s="604"/>
    </row>
    <row r="1195" spans="1:40" ht="18" customHeight="1">
      <c r="A1195" s="683">
        <v>45523</v>
      </c>
      <c r="B1195" s="613"/>
      <c r="C1195" s="611" t="s">
        <v>518</v>
      </c>
      <c r="D1195" s="608"/>
      <c r="E1195" s="518"/>
      <c r="F1195" s="518"/>
      <c r="G1195" s="518"/>
      <c r="H1195" s="518"/>
      <c r="I1195" s="518"/>
      <c r="J1195" s="518"/>
      <c r="K1195" s="518">
        <v>34.99</v>
      </c>
      <c r="L1195" s="518"/>
      <c r="M1195" s="518"/>
      <c r="N1195" s="518"/>
      <c r="O1195" s="518"/>
      <c r="P1195" s="518"/>
      <c r="Q1195" s="518"/>
      <c r="R1195" s="518"/>
      <c r="S1195" s="518"/>
      <c r="T1195" s="518"/>
      <c r="U1195" s="518"/>
      <c r="V1195" s="518"/>
      <c r="W1195" s="518"/>
      <c r="X1195" s="1033">
        <f>K1195</f>
        <v>34.99</v>
      </c>
      <c r="Y1195" s="809" t="str">
        <f>$K$3</f>
        <v>6495-1</v>
      </c>
      <c r="Z1195" s="609"/>
      <c r="AA1195" s="604"/>
      <c r="AB1195" s="604"/>
      <c r="AC1195" s="604"/>
      <c r="AD1195" s="604"/>
      <c r="AE1195" s="604"/>
      <c r="AF1195" s="604"/>
      <c r="AG1195" s="604"/>
      <c r="AH1195" s="604"/>
      <c r="AI1195" s="604"/>
      <c r="AJ1195" s="604"/>
      <c r="AK1195" s="604"/>
      <c r="AL1195" s="604"/>
      <c r="AM1195" s="604"/>
      <c r="AN1195" s="604"/>
    </row>
    <row r="1196" spans="1:40" ht="15.75" customHeight="1">
      <c r="A1196" s="683">
        <v>45525</v>
      </c>
      <c r="B1196" s="613"/>
      <c r="C1196" s="611" t="s">
        <v>78</v>
      </c>
      <c r="D1196" s="608"/>
      <c r="E1196" s="518"/>
      <c r="F1196" s="518"/>
      <c r="G1196" s="518"/>
      <c r="H1196" s="518"/>
      <c r="I1196" s="518"/>
      <c r="J1196" s="518">
        <v>20.66</v>
      </c>
      <c r="K1196" s="518"/>
      <c r="L1196" s="518"/>
      <c r="M1196" s="518"/>
      <c r="N1196" s="518"/>
      <c r="O1196" s="518"/>
      <c r="P1196" s="518"/>
      <c r="Q1196" s="518"/>
      <c r="R1196" s="518"/>
      <c r="S1196" s="518"/>
      <c r="T1196" s="518"/>
      <c r="U1196" s="518"/>
      <c r="V1196" s="518"/>
      <c r="W1196" s="518"/>
      <c r="X1196" s="1033">
        <f>J1196</f>
        <v>20.66</v>
      </c>
      <c r="Y1196" s="809">
        <f>$J$3</f>
        <v>6805</v>
      </c>
      <c r="Z1196" s="609"/>
      <c r="AA1196" s="604"/>
      <c r="AB1196" s="604"/>
      <c r="AC1196" s="604"/>
      <c r="AD1196" s="604"/>
      <c r="AE1196" s="604"/>
      <c r="AF1196" s="604"/>
      <c r="AG1196" s="604"/>
      <c r="AH1196" s="604"/>
      <c r="AI1196" s="604"/>
      <c r="AJ1196" s="604"/>
      <c r="AK1196" s="604"/>
      <c r="AL1196" s="604"/>
      <c r="AM1196" s="604"/>
      <c r="AN1196" s="604"/>
    </row>
    <row r="1197" spans="1:40" ht="15.75" customHeight="1">
      <c r="A1197" s="683">
        <v>45527</v>
      </c>
      <c r="B1197" s="612"/>
      <c r="C1197" s="611" t="s">
        <v>320</v>
      </c>
      <c r="D1197" s="608"/>
      <c r="E1197" s="518"/>
      <c r="F1197" s="518"/>
      <c r="G1197" s="518"/>
      <c r="H1197" s="518"/>
      <c r="I1197" s="518"/>
      <c r="J1197" s="518"/>
      <c r="K1197" s="518">
        <v>36.64</v>
      </c>
      <c r="L1197" s="518"/>
      <c r="M1197" s="518"/>
      <c r="N1197" s="518"/>
      <c r="O1197" s="518"/>
      <c r="P1197" s="518"/>
      <c r="Q1197" s="518"/>
      <c r="R1197" s="518"/>
      <c r="S1197" s="518"/>
      <c r="T1197" s="518"/>
      <c r="U1197" s="518"/>
      <c r="V1197" s="518"/>
      <c r="W1197" s="518"/>
      <c r="X1197" s="1033">
        <f>K1197</f>
        <v>36.64</v>
      </c>
      <c r="Y1197" s="809" t="str">
        <f>$K$3</f>
        <v>6495-1</v>
      </c>
      <c r="Z1197" s="609"/>
      <c r="AA1197" s="604"/>
      <c r="AB1197" s="604"/>
      <c r="AC1197" s="604"/>
      <c r="AD1197" s="604"/>
      <c r="AE1197" s="604"/>
      <c r="AF1197" s="604"/>
      <c r="AG1197" s="604"/>
      <c r="AH1197" s="604"/>
      <c r="AI1197" s="604"/>
      <c r="AJ1197" s="604"/>
      <c r="AK1197" s="604"/>
      <c r="AL1197" s="604"/>
      <c r="AM1197" s="604"/>
      <c r="AN1197" s="604"/>
    </row>
    <row r="1198" spans="1:40" ht="15.75" customHeight="1">
      <c r="A1198" s="683">
        <v>45527</v>
      </c>
      <c r="B1198" s="615"/>
      <c r="C1198" s="611" t="s">
        <v>364</v>
      </c>
      <c r="D1198" s="608"/>
      <c r="E1198" s="518"/>
      <c r="F1198" s="518"/>
      <c r="G1198" s="518"/>
      <c r="H1198" s="518"/>
      <c r="I1198" s="518"/>
      <c r="J1198" s="518"/>
      <c r="K1198" s="518">
        <v>11.77</v>
      </c>
      <c r="L1198" s="518"/>
      <c r="M1198" s="518"/>
      <c r="N1198" s="518"/>
      <c r="O1198" s="518"/>
      <c r="P1198" s="518"/>
      <c r="Q1198" s="518"/>
      <c r="R1198" s="518"/>
      <c r="S1198" s="518">
        <v>11.83</v>
      </c>
      <c r="T1198" s="518"/>
      <c r="U1198" s="518"/>
      <c r="V1198" s="518"/>
      <c r="W1198" s="518"/>
      <c r="X1198" s="1033">
        <f>K1198</f>
        <v>11.77</v>
      </c>
      <c r="Y1198" s="809" t="str">
        <f>$K$3</f>
        <v>6495-1</v>
      </c>
      <c r="Z1198" s="609"/>
      <c r="AA1198" s="604"/>
      <c r="AB1198" s="604"/>
      <c r="AC1198" s="604"/>
      <c r="AD1198" s="604"/>
      <c r="AE1198" s="604"/>
      <c r="AF1198" s="604"/>
      <c r="AG1198" s="604"/>
      <c r="AH1198" s="604"/>
      <c r="AI1198" s="604"/>
      <c r="AJ1198" s="604"/>
      <c r="AK1198" s="604"/>
      <c r="AL1198" s="604"/>
      <c r="AM1198" s="604"/>
      <c r="AN1198" s="604"/>
    </row>
    <row r="1199" spans="1:40" ht="15.75" customHeight="1">
      <c r="A1199" s="683">
        <v>45534</v>
      </c>
      <c r="B1199" s="615"/>
      <c r="C1199" s="611" t="s">
        <v>344</v>
      </c>
      <c r="D1199" s="608"/>
      <c r="E1199" s="518"/>
      <c r="F1199" s="518"/>
      <c r="G1199" s="518"/>
      <c r="H1199" s="518"/>
      <c r="I1199" s="518"/>
      <c r="J1199" s="518"/>
      <c r="K1199" s="518"/>
      <c r="L1199" s="518"/>
      <c r="M1199" s="518"/>
      <c r="N1199" s="518"/>
      <c r="O1199" s="518"/>
      <c r="P1199" s="518"/>
      <c r="Q1199" s="518"/>
      <c r="R1199" s="518"/>
      <c r="S1199" s="518">
        <v>13.35</v>
      </c>
      <c r="T1199" s="518"/>
      <c r="U1199" s="518"/>
      <c r="V1199" s="518"/>
      <c r="W1199" s="518"/>
      <c r="X1199" s="808">
        <f>S1199</f>
        <v>13.35</v>
      </c>
      <c r="Y1199" s="809">
        <f>$S$3</f>
        <v>6855</v>
      </c>
      <c r="Z1199" s="609"/>
      <c r="AA1199" s="604"/>
      <c r="AB1199" s="604"/>
      <c r="AC1199" s="604"/>
      <c r="AD1199" s="604"/>
      <c r="AE1199" s="604"/>
      <c r="AF1199" s="604"/>
      <c r="AG1199" s="604"/>
      <c r="AH1199" s="604"/>
      <c r="AI1199" s="604"/>
      <c r="AJ1199" s="604"/>
      <c r="AK1199" s="604"/>
      <c r="AL1199" s="604"/>
      <c r="AM1199" s="604"/>
      <c r="AN1199" s="604"/>
    </row>
    <row r="1200" spans="1:40" ht="15.75" customHeight="1">
      <c r="A1200" s="683">
        <v>45534</v>
      </c>
      <c r="B1200" s="615"/>
      <c r="C1200" s="614" t="s">
        <v>260</v>
      </c>
      <c r="D1200" s="608"/>
      <c r="E1200" s="518">
        <v>633.20000000000005</v>
      </c>
      <c r="F1200" s="518"/>
      <c r="G1200" s="518"/>
      <c r="H1200" s="518"/>
      <c r="I1200" s="518"/>
      <c r="J1200" s="518"/>
      <c r="K1200" s="518"/>
      <c r="L1200" s="518"/>
      <c r="M1200" s="518"/>
      <c r="N1200" s="518"/>
      <c r="O1200" s="518"/>
      <c r="P1200" s="518"/>
      <c r="Q1200" s="518"/>
      <c r="R1200" s="518"/>
      <c r="S1200" s="518"/>
      <c r="T1200" s="518"/>
      <c r="U1200" s="518"/>
      <c r="V1200" s="518"/>
      <c r="W1200" s="518"/>
      <c r="X1200" s="808">
        <f>E1200</f>
        <v>633.20000000000005</v>
      </c>
      <c r="Y1200" s="809" t="s">
        <v>2304</v>
      </c>
      <c r="Z1200" s="609"/>
      <c r="AA1200" s="604"/>
      <c r="AB1200" s="604"/>
      <c r="AC1200" s="604"/>
      <c r="AD1200" s="604"/>
      <c r="AE1200" s="604"/>
      <c r="AF1200" s="604"/>
      <c r="AG1200" s="604"/>
      <c r="AH1200" s="604"/>
      <c r="AI1200" s="604"/>
      <c r="AJ1200" s="604"/>
      <c r="AK1200" s="604"/>
      <c r="AL1200" s="604"/>
      <c r="AM1200" s="604"/>
      <c r="AN1200" s="604"/>
    </row>
    <row r="1201" spans="1:40" ht="15.75" customHeight="1">
      <c r="A1201" s="683"/>
      <c r="B1201" s="612"/>
      <c r="C1201" s="611"/>
      <c r="D1201" s="608"/>
      <c r="E1201" s="518"/>
      <c r="F1201" s="518"/>
      <c r="G1201" s="518"/>
      <c r="H1201" s="518"/>
      <c r="I1201" s="518"/>
      <c r="J1201" s="518"/>
      <c r="K1201" s="518"/>
      <c r="L1201" s="518"/>
      <c r="M1201" s="518"/>
      <c r="N1201" s="518"/>
      <c r="O1201" s="518"/>
      <c r="P1201" s="518"/>
      <c r="Q1201" s="518"/>
      <c r="R1201" s="518"/>
      <c r="S1201" s="518"/>
      <c r="T1201" s="518"/>
      <c r="U1201" s="518"/>
      <c r="V1201" s="518"/>
      <c r="W1201" s="518"/>
      <c r="X1201" s="808"/>
      <c r="Y1201" s="809"/>
      <c r="Z1201" s="609"/>
      <c r="AA1201" s="604"/>
      <c r="AB1201" s="604"/>
      <c r="AC1201" s="604"/>
      <c r="AD1201" s="604"/>
      <c r="AE1201" s="604"/>
      <c r="AF1201" s="604"/>
      <c r="AG1201" s="604"/>
      <c r="AH1201" s="604"/>
      <c r="AI1201" s="604"/>
      <c r="AJ1201" s="604"/>
      <c r="AK1201" s="604"/>
      <c r="AL1201" s="604"/>
      <c r="AM1201" s="604"/>
      <c r="AN1201" s="604"/>
    </row>
    <row r="1202" spans="1:40" ht="15.75" customHeight="1">
      <c r="A1202" s="620"/>
      <c r="B1202" s="620"/>
      <c r="C1202" s="623"/>
      <c r="D1202" s="623"/>
      <c r="E1202" s="623"/>
      <c r="F1202" s="623"/>
      <c r="G1202" s="623"/>
      <c r="H1202" s="623"/>
      <c r="I1202" s="623"/>
      <c r="J1202" s="623"/>
      <c r="K1202" s="623"/>
      <c r="L1202" s="623"/>
      <c r="M1202" s="623"/>
      <c r="N1202" s="623"/>
      <c r="O1202" s="623"/>
      <c r="P1202" s="623"/>
      <c r="Q1202" s="623"/>
      <c r="R1202" s="623"/>
      <c r="S1202" s="623"/>
      <c r="T1202" s="623"/>
      <c r="U1202" s="623"/>
      <c r="V1202" s="623"/>
      <c r="W1202" s="623"/>
      <c r="X1202" s="808"/>
      <c r="Y1202" s="809"/>
      <c r="Z1202" s="623"/>
      <c r="AA1202" s="604"/>
      <c r="AB1202" s="604"/>
      <c r="AC1202" s="604"/>
      <c r="AD1202" s="604"/>
      <c r="AE1202" s="604"/>
      <c r="AF1202" s="604"/>
      <c r="AG1202" s="604"/>
      <c r="AH1202" s="604"/>
      <c r="AI1202" s="604"/>
      <c r="AJ1202" s="604"/>
      <c r="AK1202" s="604"/>
      <c r="AL1202" s="604"/>
      <c r="AM1202" s="604"/>
      <c r="AN1202" s="604"/>
    </row>
    <row r="1203" spans="1:40" ht="15.75" customHeight="1">
      <c r="A1203" s="683"/>
      <c r="B1203" s="616"/>
      <c r="C1203" s="685"/>
      <c r="D1203" s="608"/>
      <c r="E1203" s="518"/>
      <c r="F1203" s="518"/>
      <c r="G1203" s="518"/>
      <c r="H1203" s="518"/>
      <c r="I1203" s="518"/>
      <c r="J1203" s="518"/>
      <c r="K1203" s="518"/>
      <c r="L1203" s="518"/>
      <c r="M1203" s="518"/>
      <c r="N1203" s="518"/>
      <c r="O1203" s="518"/>
      <c r="P1203" s="518"/>
      <c r="Q1203" s="518"/>
      <c r="R1203" s="518"/>
      <c r="S1203" s="518"/>
      <c r="T1203" s="518"/>
      <c r="U1203" s="518"/>
      <c r="V1203" s="518"/>
      <c r="W1203" s="518"/>
      <c r="X1203" s="808"/>
      <c r="Y1203" s="809"/>
      <c r="Z1203" s="609"/>
      <c r="AA1203" s="604"/>
      <c r="AB1203" s="604"/>
      <c r="AC1203" s="604"/>
      <c r="AD1203" s="604"/>
      <c r="AE1203" s="604"/>
      <c r="AF1203" s="604"/>
      <c r="AG1203" s="604"/>
      <c r="AH1203" s="604"/>
      <c r="AI1203" s="604"/>
      <c r="AJ1203" s="604"/>
      <c r="AK1203" s="604"/>
      <c r="AL1203" s="604"/>
      <c r="AM1203" s="604"/>
      <c r="AN1203" s="604"/>
    </row>
    <row r="1204" spans="1:40" ht="15.75" customHeight="1">
      <c r="A1204" s="683">
        <v>45505</v>
      </c>
      <c r="B1204" s="616" t="s">
        <v>2224</v>
      </c>
      <c r="C1204" s="685" t="s">
        <v>578</v>
      </c>
      <c r="D1204" s="608"/>
      <c r="E1204" s="518">
        <v>2410</v>
      </c>
      <c r="F1204" s="518"/>
      <c r="G1204" s="518"/>
      <c r="H1204" s="518"/>
      <c r="I1204" s="518"/>
      <c r="J1204" s="518"/>
      <c r="K1204" s="518"/>
      <c r="L1204" s="518"/>
      <c r="M1204" s="518"/>
      <c r="N1204" s="518"/>
      <c r="O1204" s="518"/>
      <c r="P1204" s="518"/>
      <c r="Q1204" s="518"/>
      <c r="R1204" s="518"/>
      <c r="S1204" s="518"/>
      <c r="T1204" s="518"/>
      <c r="U1204" s="518"/>
      <c r="V1204" s="518"/>
      <c r="W1204" s="518"/>
      <c r="X1204" s="808">
        <f>E1204</f>
        <v>2410</v>
      </c>
      <c r="Y1204" s="809" t="s">
        <v>2304</v>
      </c>
      <c r="Z1204" s="609"/>
      <c r="AA1204" s="604"/>
      <c r="AB1204" s="604"/>
      <c r="AC1204" s="604"/>
      <c r="AD1204" s="604"/>
      <c r="AE1204" s="604"/>
      <c r="AF1204" s="604"/>
      <c r="AG1204" s="604"/>
      <c r="AH1204" s="604"/>
      <c r="AI1204" s="604"/>
      <c r="AJ1204" s="604"/>
      <c r="AK1204" s="604"/>
      <c r="AL1204" s="604"/>
      <c r="AM1204" s="604"/>
      <c r="AN1204" s="604"/>
    </row>
    <row r="1205" spans="1:40" ht="15.75" customHeight="1">
      <c r="A1205" s="683">
        <v>45505</v>
      </c>
      <c r="B1205" s="616"/>
      <c r="C1205" s="685" t="s">
        <v>579</v>
      </c>
      <c r="D1205" s="608"/>
      <c r="E1205" s="518"/>
      <c r="F1205" s="518"/>
      <c r="G1205" s="608"/>
      <c r="H1205" s="518"/>
      <c r="I1205" s="518"/>
      <c r="J1205" s="518"/>
      <c r="K1205" s="518"/>
      <c r="L1205" s="518"/>
      <c r="M1205" s="518"/>
      <c r="N1205" s="518"/>
      <c r="O1205" s="518"/>
      <c r="P1205" s="518">
        <v>10.9</v>
      </c>
      <c r="Q1205" s="518"/>
      <c r="R1205" s="518"/>
      <c r="S1205" s="518"/>
      <c r="T1205" s="518"/>
      <c r="U1205" s="518"/>
      <c r="V1205" s="518"/>
      <c r="W1205" s="518"/>
      <c r="X1205" s="1033">
        <f>P1205</f>
        <v>10.9</v>
      </c>
      <c r="Y1205" s="809">
        <f>$P$3</f>
        <v>6815</v>
      </c>
      <c r="Z1205" s="609"/>
      <c r="AA1205" s="604"/>
      <c r="AB1205" s="604"/>
      <c r="AC1205" s="604"/>
      <c r="AD1205" s="604"/>
      <c r="AE1205" s="604"/>
      <c r="AF1205" s="604"/>
      <c r="AG1205" s="604"/>
      <c r="AH1205" s="604"/>
      <c r="AI1205" s="604"/>
      <c r="AJ1205" s="604"/>
      <c r="AK1205" s="604"/>
      <c r="AL1205" s="604"/>
      <c r="AM1205" s="604"/>
      <c r="AN1205" s="604"/>
    </row>
    <row r="1206" spans="1:40" ht="15.75" customHeight="1">
      <c r="A1206" s="683">
        <v>45510</v>
      </c>
      <c r="B1206" s="596" t="s">
        <v>531</v>
      </c>
      <c r="C1206" s="685" t="s">
        <v>580</v>
      </c>
      <c r="D1206" s="608"/>
      <c r="E1206" s="518"/>
      <c r="F1206" s="518"/>
      <c r="G1206" s="518"/>
      <c r="H1206" s="518"/>
      <c r="I1206" s="518"/>
      <c r="J1206" s="518"/>
      <c r="K1206" s="518"/>
      <c r="L1206" s="518"/>
      <c r="M1206" s="518"/>
      <c r="N1206" s="518">
        <f>50.39*B1187</f>
        <v>59.180837839999995</v>
      </c>
      <c r="O1206" s="518"/>
      <c r="P1206" s="518"/>
      <c r="Q1206" s="518"/>
      <c r="R1206" s="518"/>
      <c r="S1206" s="518"/>
      <c r="T1206" s="518"/>
      <c r="U1206" s="518"/>
      <c r="V1206" s="518"/>
      <c r="W1206" s="518"/>
      <c r="X1206" s="808">
        <f>N1206</f>
        <v>59.180837839999995</v>
      </c>
      <c r="Y1206" s="809">
        <f>$N$3</f>
        <v>6680</v>
      </c>
      <c r="Z1206" s="609"/>
      <c r="AA1206" s="604"/>
      <c r="AB1206" s="604"/>
      <c r="AC1206" s="604"/>
      <c r="AD1206" s="604"/>
      <c r="AE1206" s="604"/>
      <c r="AF1206" s="604"/>
      <c r="AG1206" s="604"/>
      <c r="AH1206" s="604"/>
      <c r="AI1206" s="604"/>
      <c r="AJ1206" s="604"/>
      <c r="AK1206" s="604"/>
      <c r="AL1206" s="604"/>
      <c r="AM1206" s="604"/>
      <c r="AN1206" s="604"/>
    </row>
    <row r="1207" spans="1:40" ht="15.75" customHeight="1">
      <c r="A1207" s="683">
        <v>45512</v>
      </c>
      <c r="B1207" s="616"/>
      <c r="C1207" s="685" t="s">
        <v>581</v>
      </c>
      <c r="D1207" s="608"/>
      <c r="E1207" s="518"/>
      <c r="F1207" s="518"/>
      <c r="G1207" s="608">
        <v>6300</v>
      </c>
      <c r="H1207" s="518"/>
      <c r="I1207" s="518"/>
      <c r="J1207" s="518"/>
      <c r="K1207" s="518"/>
      <c r="L1207" s="518"/>
      <c r="M1207" s="518"/>
      <c r="N1207" s="518"/>
      <c r="O1207" s="518"/>
      <c r="P1207" s="518"/>
      <c r="Q1207" s="518"/>
      <c r="R1207" s="518"/>
      <c r="S1207" s="518"/>
      <c r="T1207" s="518"/>
      <c r="U1207" s="518"/>
      <c r="V1207" s="518"/>
      <c r="W1207" s="518"/>
      <c r="X1207" s="936">
        <f>G1207</f>
        <v>6300</v>
      </c>
      <c r="Y1207" s="809" t="str">
        <f>$G$3</f>
        <v>4338-2</v>
      </c>
      <c r="Z1207" s="609"/>
      <c r="AA1207" s="604"/>
      <c r="AB1207" s="604"/>
      <c r="AC1207" s="604"/>
      <c r="AD1207" s="604"/>
      <c r="AE1207" s="604"/>
      <c r="AF1207" s="604"/>
      <c r="AG1207" s="604"/>
      <c r="AH1207" s="604"/>
      <c r="AI1207" s="604"/>
      <c r="AJ1207" s="604"/>
      <c r="AK1207" s="604"/>
      <c r="AL1207" s="604"/>
      <c r="AM1207" s="604"/>
      <c r="AN1207" s="604"/>
    </row>
    <row r="1208" spans="1:40" ht="15.75" customHeight="1">
      <c r="A1208" s="683">
        <v>45512</v>
      </c>
      <c r="B1208" s="616"/>
      <c r="C1208" s="616" t="s">
        <v>582</v>
      </c>
      <c r="D1208" s="608"/>
      <c r="E1208" s="518"/>
      <c r="F1208" s="518"/>
      <c r="G1208" s="608">
        <f>6300*B1175</f>
        <v>0</v>
      </c>
      <c r="H1208" s="518"/>
      <c r="I1208" s="518"/>
      <c r="J1208" s="518"/>
      <c r="K1208" s="518"/>
      <c r="L1208" s="518"/>
      <c r="M1208" s="518"/>
      <c r="N1208" s="518"/>
      <c r="O1208" s="518"/>
      <c r="P1208" s="518"/>
      <c r="Q1208" s="518"/>
      <c r="R1208" s="518"/>
      <c r="S1208" s="518"/>
      <c r="T1208" s="518"/>
      <c r="U1208" s="518"/>
      <c r="V1208" s="518"/>
      <c r="W1208" s="518"/>
      <c r="X1208" s="936">
        <f>G1208</f>
        <v>0</v>
      </c>
      <c r="Y1208" s="809" t="str">
        <f>$G$3</f>
        <v>4338-2</v>
      </c>
      <c r="Z1208" s="609"/>
      <c r="AA1208" s="604"/>
      <c r="AB1208" s="604"/>
      <c r="AC1208" s="604"/>
      <c r="AD1208" s="604"/>
      <c r="AE1208" s="604"/>
      <c r="AF1208" s="604"/>
      <c r="AG1208" s="604"/>
      <c r="AH1208" s="604"/>
      <c r="AI1208" s="604"/>
      <c r="AJ1208" s="604"/>
      <c r="AK1208" s="604"/>
      <c r="AL1208" s="604"/>
      <c r="AM1208" s="604"/>
      <c r="AN1208" s="604"/>
    </row>
    <row r="1209" spans="1:40" ht="15.75" customHeight="1">
      <c r="A1209" s="683">
        <v>45516</v>
      </c>
      <c r="B1209" s="616"/>
      <c r="C1209" s="685" t="s">
        <v>207</v>
      </c>
      <c r="D1209" s="608"/>
      <c r="E1209" s="518"/>
      <c r="F1209" s="518"/>
      <c r="G1209" s="608"/>
      <c r="H1209" s="518"/>
      <c r="I1209" s="518"/>
      <c r="J1209" s="518"/>
      <c r="K1209" s="518"/>
      <c r="L1209" s="518"/>
      <c r="M1209" s="518">
        <v>29.72</v>
      </c>
      <c r="N1209" s="518"/>
      <c r="O1209" s="518"/>
      <c r="P1209" s="518"/>
      <c r="Q1209" s="518"/>
      <c r="R1209" s="518"/>
      <c r="S1209" s="518"/>
      <c r="T1209" s="518"/>
      <c r="U1209" s="518"/>
      <c r="V1209" s="518"/>
      <c r="W1209" s="518"/>
      <c r="X1209" s="808">
        <f>M1209</f>
        <v>29.72</v>
      </c>
      <c r="Y1209" s="809" t="str">
        <f>$M$3</f>
        <v>6673-2</v>
      </c>
      <c r="Z1209" s="609"/>
      <c r="AA1209" s="604"/>
      <c r="AB1209" s="604"/>
      <c r="AC1209" s="604"/>
      <c r="AD1209" s="604"/>
      <c r="AE1209" s="604"/>
      <c r="AF1209" s="604"/>
      <c r="AG1209" s="604"/>
      <c r="AH1209" s="604"/>
      <c r="AI1209" s="604"/>
      <c r="AJ1209" s="604"/>
      <c r="AK1209" s="604"/>
      <c r="AL1209" s="604"/>
      <c r="AM1209" s="604"/>
      <c r="AN1209" s="604"/>
    </row>
    <row r="1210" spans="1:40" ht="15.75" customHeight="1">
      <c r="A1210" s="683">
        <v>45516</v>
      </c>
      <c r="B1210" s="616"/>
      <c r="C1210" s="685" t="s">
        <v>583</v>
      </c>
      <c r="D1210" s="608"/>
      <c r="E1210" s="518"/>
      <c r="F1210" s="518"/>
      <c r="G1210" s="608"/>
      <c r="H1210" s="518"/>
      <c r="I1210" s="518"/>
      <c r="J1210" s="518"/>
      <c r="K1210" s="518"/>
      <c r="L1210" s="518">
        <v>25.1</v>
      </c>
      <c r="M1210" s="518"/>
      <c r="N1210" s="518"/>
      <c r="O1210" s="518"/>
      <c r="P1210" s="518"/>
      <c r="Q1210" s="518"/>
      <c r="R1210" s="518"/>
      <c r="S1210" s="518"/>
      <c r="T1210" s="518"/>
      <c r="U1210" s="518"/>
      <c r="V1210" s="518"/>
      <c r="W1210" s="518"/>
      <c r="X1210" s="1033">
        <f>L1210</f>
        <v>25.1</v>
      </c>
      <c r="Y1210" s="809" t="str">
        <f>$L$3</f>
        <v>6673-1</v>
      </c>
      <c r="Z1210" s="609"/>
      <c r="AA1210" s="604"/>
      <c r="AB1210" s="604"/>
      <c r="AC1210" s="604"/>
      <c r="AD1210" s="604"/>
      <c r="AE1210" s="604"/>
      <c r="AF1210" s="604"/>
      <c r="AG1210" s="604"/>
      <c r="AH1210" s="604"/>
      <c r="AI1210" s="604"/>
      <c r="AJ1210" s="604"/>
      <c r="AK1210" s="604"/>
      <c r="AL1210" s="604"/>
      <c r="AM1210" s="604"/>
      <c r="AN1210" s="604"/>
    </row>
    <row r="1211" spans="1:40" ht="15.75" customHeight="1">
      <c r="A1211" s="683">
        <v>45516</v>
      </c>
      <c r="B1211" s="616"/>
      <c r="C1211" s="685" t="s">
        <v>583</v>
      </c>
      <c r="D1211" s="608"/>
      <c r="E1211" s="518"/>
      <c r="F1211" s="518"/>
      <c r="G1211" s="608"/>
      <c r="H1211" s="518"/>
      <c r="I1211" s="518"/>
      <c r="J1211" s="518"/>
      <c r="K1211" s="518"/>
      <c r="L1211" s="518">
        <v>95.59</v>
      </c>
      <c r="M1211" s="518"/>
      <c r="N1211" s="518"/>
      <c r="O1211" s="518"/>
      <c r="P1211" s="518"/>
      <c r="Q1211" s="518"/>
      <c r="R1211" s="518"/>
      <c r="S1211" s="518"/>
      <c r="T1211" s="518"/>
      <c r="U1211" s="518"/>
      <c r="V1211" s="518"/>
      <c r="W1211" s="518"/>
      <c r="X1211" s="1033">
        <f>L1211</f>
        <v>95.59</v>
      </c>
      <c r="Y1211" s="809" t="str">
        <f>$L$3</f>
        <v>6673-1</v>
      </c>
      <c r="Z1211" s="609"/>
      <c r="AA1211" s="604"/>
      <c r="AB1211" s="604"/>
      <c r="AC1211" s="604"/>
      <c r="AD1211" s="604"/>
      <c r="AE1211" s="604"/>
      <c r="AF1211" s="604"/>
      <c r="AG1211" s="604"/>
      <c r="AH1211" s="604"/>
      <c r="AI1211" s="604"/>
      <c r="AJ1211" s="604"/>
      <c r="AK1211" s="604"/>
      <c r="AL1211" s="604"/>
      <c r="AM1211" s="604"/>
      <c r="AN1211" s="604"/>
    </row>
    <row r="1212" spans="1:40" ht="15.75" customHeight="1">
      <c r="A1212" s="683">
        <v>45517</v>
      </c>
      <c r="B1212" s="616"/>
      <c r="C1212" s="685" t="s">
        <v>447</v>
      </c>
      <c r="D1212" s="608"/>
      <c r="E1212" s="518"/>
      <c r="F1212" s="518"/>
      <c r="G1212" s="608"/>
      <c r="H1212" s="518"/>
      <c r="I1212" s="518"/>
      <c r="J1212" s="518"/>
      <c r="K1212" s="518"/>
      <c r="L1212" s="518"/>
      <c r="M1212" s="518"/>
      <c r="N1212" s="518"/>
      <c r="O1212" s="518">
        <v>175.03</v>
      </c>
      <c r="P1212" s="518"/>
      <c r="Q1212" s="518"/>
      <c r="R1212" s="518"/>
      <c r="S1212" s="518"/>
      <c r="T1212" s="518"/>
      <c r="U1212" s="518"/>
      <c r="V1212" s="518"/>
      <c r="W1212" s="518"/>
      <c r="X1212" s="1033">
        <f>O1212</f>
        <v>175.03</v>
      </c>
      <c r="Y1212" s="809">
        <f>$O$3</f>
        <v>6530</v>
      </c>
      <c r="Z1212" s="609"/>
      <c r="AA1212" s="604"/>
      <c r="AB1212" s="604"/>
      <c r="AC1212" s="604"/>
      <c r="AD1212" s="604"/>
      <c r="AE1212" s="604"/>
      <c r="AF1212" s="604"/>
      <c r="AG1212" s="604"/>
      <c r="AH1212" s="604"/>
      <c r="AI1212" s="604"/>
      <c r="AJ1212" s="604"/>
      <c r="AK1212" s="604"/>
      <c r="AL1212" s="604"/>
      <c r="AM1212" s="604"/>
      <c r="AN1212" s="604"/>
    </row>
    <row r="1213" spans="1:40" ht="15.75" customHeight="1">
      <c r="A1213" s="683">
        <v>45520</v>
      </c>
      <c r="B1213" s="616"/>
      <c r="C1213" s="685" t="s">
        <v>584</v>
      </c>
      <c r="D1213" s="608"/>
      <c r="E1213" s="518"/>
      <c r="F1213" s="518">
        <v>20.52</v>
      </c>
      <c r="G1213" s="608"/>
      <c r="H1213" s="518"/>
      <c r="I1213" s="518"/>
      <c r="J1213" s="518"/>
      <c r="K1213" s="518"/>
      <c r="L1213" s="518"/>
      <c r="M1213" s="518"/>
      <c r="N1213" s="518"/>
      <c r="O1213" s="518"/>
      <c r="P1213" s="518"/>
      <c r="Q1213" s="518"/>
      <c r="R1213" s="518"/>
      <c r="S1213" s="518"/>
      <c r="T1213" s="518"/>
      <c r="U1213" s="518"/>
      <c r="V1213" s="518"/>
      <c r="W1213" s="518"/>
      <c r="X1213" s="808"/>
      <c r="Y1213" s="809"/>
      <c r="Z1213" s="609"/>
      <c r="AA1213" s="604"/>
      <c r="AB1213" s="604"/>
      <c r="AC1213" s="604"/>
      <c r="AD1213" s="604"/>
      <c r="AE1213" s="604"/>
      <c r="AF1213" s="604"/>
      <c r="AG1213" s="604"/>
      <c r="AH1213" s="604"/>
      <c r="AI1213" s="604"/>
      <c r="AJ1213" s="604"/>
      <c r="AK1213" s="604"/>
      <c r="AL1213" s="604"/>
      <c r="AM1213" s="604"/>
      <c r="AN1213" s="604"/>
    </row>
    <row r="1214" spans="1:40" ht="15.75" customHeight="1">
      <c r="A1214" s="683">
        <v>45520</v>
      </c>
      <c r="B1214" s="616"/>
      <c r="C1214" s="689" t="s">
        <v>2225</v>
      </c>
      <c r="D1214" s="608"/>
      <c r="E1214" s="518"/>
      <c r="F1214" s="518"/>
      <c r="G1214" s="608"/>
      <c r="H1214" s="518"/>
      <c r="I1214" s="518"/>
      <c r="J1214" s="518"/>
      <c r="K1214" s="518"/>
      <c r="L1214" s="518"/>
      <c r="M1214" s="518"/>
      <c r="N1214" s="518"/>
      <c r="O1214" s="518"/>
      <c r="P1214" s="518"/>
      <c r="Q1214" s="518">
        <v>65.069999999999993</v>
      </c>
      <c r="R1214" s="518"/>
      <c r="S1214" s="518"/>
      <c r="T1214" s="518"/>
      <c r="U1214" s="518"/>
      <c r="V1214" s="518"/>
      <c r="W1214" s="518"/>
      <c r="X1214" s="808">
        <f t="shared" ref="X1214:X1215" si="7">Q1214</f>
        <v>65.069999999999993</v>
      </c>
      <c r="Y1214" s="809" t="str">
        <f t="shared" ref="Y1214:Y1215" si="8">$Q$3</f>
        <v>6495-2</v>
      </c>
      <c r="Z1214" s="609"/>
      <c r="AA1214" s="604"/>
      <c r="AB1214" s="604"/>
      <c r="AC1214" s="604"/>
      <c r="AD1214" s="604"/>
      <c r="AE1214" s="604"/>
      <c r="AF1214" s="604"/>
      <c r="AG1214" s="604"/>
      <c r="AH1214" s="604"/>
      <c r="AI1214" s="604"/>
      <c r="AJ1214" s="604"/>
      <c r="AK1214" s="604"/>
      <c r="AL1214" s="604"/>
      <c r="AM1214" s="604"/>
      <c r="AN1214" s="604"/>
    </row>
    <row r="1215" spans="1:40" ht="13.8">
      <c r="A1215" s="683">
        <v>45523</v>
      </c>
      <c r="B1215" s="616"/>
      <c r="C1215" s="689" t="s">
        <v>2226</v>
      </c>
      <c r="D1215" s="608"/>
      <c r="E1215" s="518"/>
      <c r="F1215" s="518"/>
      <c r="G1215" s="608"/>
      <c r="H1215" s="518"/>
      <c r="I1215" s="518"/>
      <c r="J1215" s="518"/>
      <c r="K1215" s="518"/>
      <c r="L1215" s="518"/>
      <c r="M1215" s="518"/>
      <c r="N1215" s="518"/>
      <c r="O1215" s="518"/>
      <c r="P1215" s="518"/>
      <c r="Q1215" s="518">
        <v>130.15</v>
      </c>
      <c r="R1215" s="518"/>
      <c r="S1215" s="518"/>
      <c r="T1215" s="518"/>
      <c r="U1215" s="518"/>
      <c r="V1215" s="518"/>
      <c r="W1215" s="518"/>
      <c r="X1215" s="808">
        <f t="shared" si="7"/>
        <v>130.15</v>
      </c>
      <c r="Y1215" s="809" t="str">
        <f t="shared" si="8"/>
        <v>6495-2</v>
      </c>
      <c r="Z1215" s="609"/>
      <c r="AA1215" s="604"/>
      <c r="AB1215" s="604"/>
      <c r="AC1215" s="604"/>
      <c r="AD1215" s="604"/>
      <c r="AE1215" s="604"/>
      <c r="AF1215" s="604"/>
      <c r="AG1215" s="604"/>
      <c r="AH1215" s="604"/>
      <c r="AI1215" s="604"/>
      <c r="AJ1215" s="604"/>
      <c r="AK1215" s="604"/>
      <c r="AL1215" s="604"/>
      <c r="AM1215" s="604"/>
      <c r="AN1215" s="604"/>
    </row>
    <row r="1216" spans="1:40" ht="15.75" customHeight="1">
      <c r="A1216" s="683">
        <v>45523</v>
      </c>
      <c r="B1216" s="596" t="s">
        <v>531</v>
      </c>
      <c r="C1216" s="685" t="s">
        <v>580</v>
      </c>
      <c r="D1216" s="608"/>
      <c r="E1216" s="518"/>
      <c r="F1216" s="518"/>
      <c r="G1216" s="608"/>
      <c r="H1216" s="518"/>
      <c r="I1216" s="518"/>
      <c r="J1216" s="518"/>
      <c r="K1216" s="518"/>
      <c r="L1216" s="518"/>
      <c r="M1216" s="518"/>
      <c r="N1216" s="518">
        <f>1051.63*B1187</f>
        <v>1235.09316328</v>
      </c>
      <c r="O1216" s="518"/>
      <c r="P1216" s="518"/>
      <c r="Q1216" s="518"/>
      <c r="R1216" s="518"/>
      <c r="S1216" s="518"/>
      <c r="T1216" s="518"/>
      <c r="U1216" s="518"/>
      <c r="V1216" s="518"/>
      <c r="W1216" s="518"/>
      <c r="X1216" s="808">
        <f>N1216</f>
        <v>1235.09316328</v>
      </c>
      <c r="Y1216" s="809">
        <f>$N$3</f>
        <v>6680</v>
      </c>
      <c r="Z1216" s="609"/>
      <c r="AA1216" s="604"/>
      <c r="AB1216" s="604"/>
      <c r="AC1216" s="604"/>
      <c r="AD1216" s="604"/>
      <c r="AE1216" s="604"/>
      <c r="AF1216" s="604"/>
      <c r="AG1216" s="604"/>
      <c r="AH1216" s="604"/>
      <c r="AI1216" s="604"/>
      <c r="AJ1216" s="604"/>
      <c r="AK1216" s="604"/>
      <c r="AL1216" s="604"/>
      <c r="AM1216" s="604"/>
      <c r="AN1216" s="604"/>
    </row>
    <row r="1217" spans="1:40" ht="15.75" customHeight="1">
      <c r="A1217" s="683">
        <v>45524</v>
      </c>
      <c r="B1217" s="616"/>
      <c r="C1217" s="685" t="s">
        <v>585</v>
      </c>
      <c r="D1217" s="608"/>
      <c r="E1217" s="518"/>
      <c r="F1217" s="518"/>
      <c r="G1217" s="608"/>
      <c r="H1217" s="518"/>
      <c r="I1217" s="518"/>
      <c r="J1217" s="518"/>
      <c r="K1217" s="518"/>
      <c r="L1217" s="518"/>
      <c r="M1217" s="518"/>
      <c r="N1217" s="518"/>
      <c r="O1217" s="518">
        <v>61.19</v>
      </c>
      <c r="P1217" s="518"/>
      <c r="Q1217" s="518"/>
      <c r="R1217" s="518"/>
      <c r="S1217" s="518"/>
      <c r="T1217" s="518"/>
      <c r="U1217" s="518"/>
      <c r="V1217" s="518"/>
      <c r="W1217" s="518"/>
      <c r="X1217" s="1033">
        <f>O1217</f>
        <v>61.19</v>
      </c>
      <c r="Y1217" s="809">
        <f>$O$3</f>
        <v>6530</v>
      </c>
      <c r="Z1217" s="609"/>
      <c r="AA1217" s="604"/>
      <c r="AB1217" s="604"/>
      <c r="AC1217" s="604"/>
      <c r="AD1217" s="604"/>
      <c r="AE1217" s="604"/>
      <c r="AF1217" s="604"/>
      <c r="AG1217" s="604"/>
      <c r="AH1217" s="604"/>
      <c r="AI1217" s="604"/>
      <c r="AJ1217" s="604"/>
      <c r="AK1217" s="604"/>
      <c r="AL1217" s="604"/>
      <c r="AM1217" s="604"/>
      <c r="AN1217" s="604"/>
    </row>
    <row r="1218" spans="1:40" ht="15.75" customHeight="1">
      <c r="A1218" s="683">
        <v>45524</v>
      </c>
      <c r="B1218" s="596" t="s">
        <v>531</v>
      </c>
      <c r="C1218" s="624" t="s">
        <v>586</v>
      </c>
      <c r="D1218" s="608"/>
      <c r="E1218" s="518"/>
      <c r="F1218" s="518"/>
      <c r="G1218" s="608"/>
      <c r="H1218" s="518"/>
      <c r="I1218" s="518"/>
      <c r="J1218" s="518"/>
      <c r="K1218" s="518"/>
      <c r="L1218" s="518">
        <v>4171.58</v>
      </c>
      <c r="M1218" s="518"/>
      <c r="N1218" s="518"/>
      <c r="O1218" s="518"/>
      <c r="P1218" s="518"/>
      <c r="Q1218" s="518"/>
      <c r="R1218" s="518"/>
      <c r="S1218" s="518"/>
      <c r="T1218" s="604"/>
      <c r="U1218" s="604"/>
      <c r="V1218" s="604"/>
      <c r="W1218" s="604"/>
      <c r="X1218" s="1033">
        <f>L1218</f>
        <v>4171.58</v>
      </c>
      <c r="Y1218" s="809" t="str">
        <f>$L$3</f>
        <v>6673-1</v>
      </c>
      <c r="Z1218" s="609"/>
      <c r="AA1218" s="604"/>
      <c r="AB1218" s="604"/>
      <c r="AC1218" s="604"/>
      <c r="AD1218" s="604"/>
      <c r="AE1218" s="604"/>
      <c r="AF1218" s="604"/>
      <c r="AG1218" s="604"/>
      <c r="AH1218" s="604"/>
      <c r="AI1218" s="604"/>
      <c r="AJ1218" s="604"/>
      <c r="AK1218" s="604"/>
      <c r="AL1218" s="604"/>
      <c r="AM1218" s="604"/>
      <c r="AN1218" s="604"/>
    </row>
    <row r="1219" spans="1:40" ht="15.75" customHeight="1">
      <c r="A1219" s="683">
        <v>45526</v>
      </c>
      <c r="B1219" s="673" t="s">
        <v>587</v>
      </c>
      <c r="C1219" s="616" t="s">
        <v>200</v>
      </c>
      <c r="D1219" s="608">
        <v>1140</v>
      </c>
      <c r="E1219" s="616"/>
      <c r="F1219" s="616"/>
      <c r="G1219" s="608"/>
      <c r="H1219" s="616"/>
      <c r="I1219" s="616"/>
      <c r="J1219" s="616"/>
      <c r="K1219" s="616"/>
      <c r="L1219" s="616"/>
      <c r="M1219" s="616"/>
      <c r="N1219" s="616"/>
      <c r="O1219" s="604"/>
      <c r="P1219" s="604"/>
      <c r="Q1219" s="604"/>
      <c r="R1219" s="604"/>
      <c r="S1219" s="604"/>
      <c r="T1219" s="604"/>
      <c r="U1219" s="604"/>
      <c r="V1219" s="604"/>
      <c r="W1219" s="604"/>
      <c r="X1219" s="1034">
        <f>D1219</f>
        <v>1140</v>
      </c>
      <c r="Y1219" s="809" t="s">
        <v>2300</v>
      </c>
      <c r="Z1219" s="609"/>
      <c r="AA1219" s="604"/>
      <c r="AB1219" s="604"/>
      <c r="AC1219" s="604"/>
      <c r="AD1219" s="604"/>
      <c r="AE1219" s="604"/>
      <c r="AF1219" s="604"/>
      <c r="AG1219" s="604"/>
      <c r="AH1219" s="604"/>
      <c r="AI1219" s="604"/>
      <c r="AJ1219" s="604"/>
      <c r="AK1219" s="604"/>
      <c r="AL1219" s="604"/>
      <c r="AM1219" s="604"/>
      <c r="AN1219" s="604"/>
    </row>
    <row r="1220" spans="1:40" ht="15.75" customHeight="1">
      <c r="A1220" s="683">
        <v>45531</v>
      </c>
      <c r="B1220" s="616"/>
      <c r="C1220" s="685" t="s">
        <v>207</v>
      </c>
      <c r="D1220" s="608"/>
      <c r="E1220" s="518"/>
      <c r="F1220" s="518"/>
      <c r="G1220" s="608"/>
      <c r="H1220" s="518"/>
      <c r="I1220" s="518"/>
      <c r="J1220" s="518"/>
      <c r="K1220" s="518"/>
      <c r="L1220" s="518"/>
      <c r="M1220" s="518">
        <v>6.27</v>
      </c>
      <c r="N1220" s="518"/>
      <c r="O1220" s="518"/>
      <c r="P1220" s="518"/>
      <c r="Q1220" s="518"/>
      <c r="R1220" s="518"/>
      <c r="S1220" s="518"/>
      <c r="T1220" s="518"/>
      <c r="U1220" s="518"/>
      <c r="V1220" s="518"/>
      <c r="W1220" s="518"/>
      <c r="X1220" s="808">
        <f>M1220</f>
        <v>6.27</v>
      </c>
      <c r="Y1220" s="809" t="str">
        <f>$M$3</f>
        <v>6673-2</v>
      </c>
      <c r="Z1220" s="609"/>
      <c r="AA1220" s="604"/>
      <c r="AB1220" s="604"/>
      <c r="AC1220" s="604"/>
      <c r="AD1220" s="604"/>
      <c r="AE1220" s="604"/>
      <c r="AF1220" s="604"/>
      <c r="AG1220" s="604"/>
      <c r="AH1220" s="604"/>
      <c r="AI1220" s="604"/>
      <c r="AJ1220" s="604"/>
      <c r="AK1220" s="604"/>
      <c r="AL1220" s="604"/>
      <c r="AM1220" s="604"/>
      <c r="AN1220" s="604"/>
    </row>
    <row r="1221" spans="1:40" ht="15.75" customHeight="1">
      <c r="A1221" s="683">
        <v>45533</v>
      </c>
      <c r="B1221" s="616"/>
      <c r="C1221" s="685" t="s">
        <v>207</v>
      </c>
      <c r="D1221" s="608"/>
      <c r="E1221" s="518"/>
      <c r="F1221" s="518"/>
      <c r="G1221" s="608"/>
      <c r="H1221" s="518"/>
      <c r="I1221" s="518"/>
      <c r="J1221" s="518"/>
      <c r="K1221" s="518"/>
      <c r="L1221" s="518"/>
      <c r="M1221" s="518">
        <v>47.44</v>
      </c>
      <c r="N1221" s="518"/>
      <c r="O1221" s="518"/>
      <c r="P1221" s="518"/>
      <c r="Q1221" s="518"/>
      <c r="R1221" s="518"/>
      <c r="S1221" s="518"/>
      <c r="T1221" s="518"/>
      <c r="U1221" s="518"/>
      <c r="V1221" s="518"/>
      <c r="W1221" s="518"/>
      <c r="X1221" s="808">
        <f>M1221</f>
        <v>47.44</v>
      </c>
      <c r="Y1221" s="809" t="str">
        <f>$M$3</f>
        <v>6673-2</v>
      </c>
      <c r="Z1221" s="609"/>
      <c r="AA1221" s="604"/>
      <c r="AB1221" s="604"/>
      <c r="AC1221" s="604"/>
      <c r="AD1221" s="604"/>
      <c r="AE1221" s="604"/>
      <c r="AF1221" s="604"/>
      <c r="AG1221" s="604"/>
      <c r="AH1221" s="604"/>
      <c r="AI1221" s="604"/>
      <c r="AJ1221" s="604"/>
      <c r="AK1221" s="604"/>
      <c r="AL1221" s="604"/>
      <c r="AM1221" s="604"/>
      <c r="AN1221" s="604"/>
    </row>
    <row r="1222" spans="1:40" ht="15.75" customHeight="1">
      <c r="A1222" s="683">
        <v>45534</v>
      </c>
      <c r="B1222" s="616"/>
      <c r="C1222" s="685" t="s">
        <v>588</v>
      </c>
      <c r="D1222" s="608"/>
      <c r="E1222" s="518"/>
      <c r="F1222" s="518"/>
      <c r="G1222" s="608"/>
      <c r="H1222" s="518"/>
      <c r="I1222" s="518"/>
      <c r="J1222" s="518"/>
      <c r="K1222" s="518"/>
      <c r="L1222" s="518"/>
      <c r="M1222" s="518">
        <v>10.42</v>
      </c>
      <c r="N1222" s="518"/>
      <c r="O1222" s="518"/>
      <c r="P1222" s="518"/>
      <c r="Q1222" s="518"/>
      <c r="R1222" s="518"/>
      <c r="S1222" s="518"/>
      <c r="T1222" s="518"/>
      <c r="U1222" s="518"/>
      <c r="V1222" s="518"/>
      <c r="W1222" s="518"/>
      <c r="X1222" s="808">
        <f>M1222</f>
        <v>10.42</v>
      </c>
      <c r="Y1222" s="809" t="str">
        <f>$M$3</f>
        <v>6673-2</v>
      </c>
      <c r="Z1222" s="609"/>
      <c r="AA1222" s="604"/>
      <c r="AB1222" s="604"/>
      <c r="AC1222" s="604"/>
      <c r="AD1222" s="604"/>
      <c r="AE1222" s="604"/>
      <c r="AF1222" s="604"/>
      <c r="AG1222" s="604"/>
      <c r="AH1222" s="604"/>
      <c r="AI1222" s="604"/>
      <c r="AJ1222" s="604"/>
      <c r="AK1222" s="604"/>
      <c r="AL1222" s="604"/>
      <c r="AM1222" s="604"/>
      <c r="AN1222" s="604"/>
    </row>
    <row r="1223" spans="1:40" ht="15.75" customHeight="1" thickBot="1">
      <c r="A1223" s="683"/>
      <c r="B1223" s="616"/>
      <c r="C1223" s="685"/>
      <c r="D1223" s="608"/>
      <c r="E1223" s="518"/>
      <c r="F1223" s="518"/>
      <c r="G1223" s="518"/>
      <c r="H1223" s="518"/>
      <c r="I1223" s="518"/>
      <c r="J1223" s="518"/>
      <c r="K1223" s="518"/>
      <c r="L1223" s="518"/>
      <c r="M1223" s="518"/>
      <c r="N1223" s="518"/>
      <c r="O1223" s="518"/>
      <c r="P1223" s="518"/>
      <c r="Q1223" s="518"/>
      <c r="R1223" s="518"/>
      <c r="S1223" s="518"/>
      <c r="T1223" s="518"/>
      <c r="U1223" s="518"/>
      <c r="V1223" s="518"/>
      <c r="W1223" s="518"/>
      <c r="X1223" s="808"/>
      <c r="Y1223" s="809"/>
      <c r="Z1223" s="609"/>
      <c r="AA1223" s="604"/>
      <c r="AB1223" s="604"/>
      <c r="AC1223" s="604"/>
      <c r="AD1223" s="604"/>
      <c r="AE1223" s="604"/>
      <c r="AF1223" s="604"/>
      <c r="AG1223" s="604"/>
      <c r="AH1223" s="604"/>
      <c r="AI1223" s="604"/>
      <c r="AJ1223" s="604"/>
      <c r="AK1223" s="604"/>
      <c r="AL1223" s="604"/>
      <c r="AM1223" s="604"/>
      <c r="AN1223" s="604"/>
    </row>
    <row r="1224" spans="1:40" ht="15.75" customHeight="1" thickTop="1">
      <c r="A1224" s="627"/>
      <c r="B1224" s="655">
        <v>45536</v>
      </c>
      <c r="C1224" s="627"/>
      <c r="D1224" s="602"/>
      <c r="E1224" s="602"/>
      <c r="F1224" s="602"/>
      <c r="G1224" s="602"/>
      <c r="H1224" s="602"/>
      <c r="I1224" s="602"/>
      <c r="J1224" s="602"/>
      <c r="K1224" s="602"/>
      <c r="L1224" s="602"/>
      <c r="M1224" s="602"/>
      <c r="N1224" s="602"/>
      <c r="O1224" s="602"/>
      <c r="P1224" s="602"/>
      <c r="Q1224" s="602"/>
      <c r="R1224" s="602"/>
      <c r="S1224" s="602"/>
      <c r="T1224" s="602"/>
      <c r="U1224" s="602"/>
      <c r="V1224" s="602"/>
      <c r="W1224" s="602"/>
      <c r="X1224" s="808"/>
      <c r="Y1224" s="809"/>
      <c r="Z1224" s="602"/>
      <c r="AA1224" s="604"/>
      <c r="AB1224" s="604"/>
      <c r="AC1224" s="604"/>
      <c r="AD1224" s="604"/>
      <c r="AE1224" s="604"/>
      <c r="AF1224" s="604"/>
      <c r="AG1224" s="604"/>
      <c r="AH1224" s="604"/>
      <c r="AI1224" s="604"/>
      <c r="AJ1224" s="604"/>
      <c r="AK1224" s="604"/>
      <c r="AL1224" s="604"/>
      <c r="AM1224" s="604"/>
      <c r="AN1224" s="604"/>
    </row>
    <row r="1225" spans="1:40" ht="15.75" customHeight="1">
      <c r="A1225" s="683"/>
      <c r="B1225" s="630"/>
      <c r="C1225" s="607"/>
      <c r="D1225" s="608"/>
      <c r="E1225" s="518"/>
      <c r="F1225" s="518"/>
      <c r="G1225" s="518"/>
      <c r="H1225" s="518"/>
      <c r="I1225" s="518"/>
      <c r="J1225" s="518"/>
      <c r="K1225" s="518"/>
      <c r="L1225" s="518"/>
      <c r="M1225" s="518"/>
      <c r="N1225" s="518"/>
      <c r="O1225" s="518"/>
      <c r="P1225" s="518"/>
      <c r="Q1225" s="518"/>
      <c r="R1225" s="518"/>
      <c r="S1225" s="518"/>
      <c r="T1225" s="518"/>
      <c r="U1225" s="518"/>
      <c r="V1225" s="518"/>
      <c r="W1225" s="518"/>
      <c r="X1225" s="808"/>
      <c r="Y1225" s="809"/>
      <c r="Z1225" s="609"/>
      <c r="AA1225" s="604"/>
      <c r="AB1225" s="604"/>
      <c r="AC1225" s="604"/>
      <c r="AD1225" s="604"/>
      <c r="AE1225" s="604"/>
      <c r="AF1225" s="604"/>
      <c r="AG1225" s="604"/>
      <c r="AH1225" s="604"/>
      <c r="AI1225" s="604"/>
      <c r="AJ1225" s="604"/>
      <c r="AK1225" s="604"/>
      <c r="AL1225" s="604"/>
      <c r="AM1225" s="604"/>
      <c r="AN1225" s="604"/>
    </row>
    <row r="1226" spans="1:40" ht="15.75" customHeight="1">
      <c r="A1226" s="683">
        <v>45537</v>
      </c>
      <c r="B1226" s="663"/>
      <c r="C1226" s="611" t="s">
        <v>62</v>
      </c>
      <c r="D1226" s="608"/>
      <c r="E1226" s="518"/>
      <c r="F1226" s="518"/>
      <c r="G1226" s="608"/>
      <c r="H1226" s="518"/>
      <c r="I1226" s="518"/>
      <c r="J1226" s="518"/>
      <c r="K1226" s="518"/>
      <c r="L1226" s="518"/>
      <c r="M1226" s="518"/>
      <c r="N1226" s="518"/>
      <c r="O1226" s="518"/>
      <c r="P1226" s="518"/>
      <c r="Q1226" s="518"/>
      <c r="R1226" s="518"/>
      <c r="S1226" s="518"/>
      <c r="T1226" s="518"/>
      <c r="U1226" s="518"/>
      <c r="V1226" s="518">
        <v>1036.55</v>
      </c>
      <c r="W1226" s="518"/>
      <c r="X1226" s="808"/>
      <c r="Y1226" s="809"/>
      <c r="Z1226" s="609"/>
      <c r="AA1226" s="604"/>
      <c r="AB1226" s="604"/>
      <c r="AC1226" s="604"/>
      <c r="AD1226" s="604"/>
      <c r="AE1226" s="604"/>
      <c r="AF1226" s="604"/>
      <c r="AG1226" s="604"/>
      <c r="AH1226" s="604"/>
      <c r="AI1226" s="604"/>
      <c r="AJ1226" s="604"/>
      <c r="AK1226" s="604"/>
      <c r="AL1226" s="604"/>
      <c r="AM1226" s="604"/>
      <c r="AN1226" s="604"/>
    </row>
    <row r="1227" spans="1:40" ht="15.75" customHeight="1">
      <c r="A1227" s="683">
        <v>45537</v>
      </c>
      <c r="B1227" s="672">
        <f>'Conversion rates'!B36</f>
        <v>1.189929</v>
      </c>
      <c r="C1227" s="611" t="s">
        <v>276</v>
      </c>
      <c r="D1227" s="608"/>
      <c r="E1227" s="518"/>
      <c r="F1227" s="518"/>
      <c r="G1227" s="608"/>
      <c r="H1227" s="518"/>
      <c r="I1227" s="518"/>
      <c r="J1227" s="518"/>
      <c r="K1227" s="518"/>
      <c r="L1227" s="518"/>
      <c r="M1227" s="518"/>
      <c r="N1227" s="518"/>
      <c r="O1227" s="518"/>
      <c r="P1227" s="518"/>
      <c r="Q1227" s="518"/>
      <c r="R1227" s="518"/>
      <c r="S1227" s="518"/>
      <c r="T1227" s="518">
        <v>80</v>
      </c>
      <c r="U1227" s="518"/>
      <c r="V1227" s="518"/>
      <c r="W1227" s="518"/>
      <c r="X1227" s="808">
        <f>T1227</f>
        <v>80</v>
      </c>
      <c r="Y1227" s="809">
        <f>$T$3</f>
        <v>2300</v>
      </c>
      <c r="Z1227" s="609"/>
      <c r="AA1227" s="604"/>
      <c r="AB1227" s="604"/>
      <c r="AC1227" s="604"/>
      <c r="AD1227" s="604"/>
      <c r="AE1227" s="604"/>
      <c r="AF1227" s="604"/>
      <c r="AG1227" s="604"/>
      <c r="AH1227" s="604"/>
      <c r="AI1227" s="604"/>
      <c r="AJ1227" s="604"/>
      <c r="AK1227" s="604"/>
      <c r="AL1227" s="604"/>
      <c r="AM1227" s="604"/>
      <c r="AN1227" s="604"/>
    </row>
    <row r="1228" spans="1:40" ht="15.75" customHeight="1">
      <c r="A1228" s="683">
        <v>45537</v>
      </c>
      <c r="B1228" s="615"/>
      <c r="C1228" s="614" t="s">
        <v>421</v>
      </c>
      <c r="D1228" s="608"/>
      <c r="E1228" s="518"/>
      <c r="F1228" s="518"/>
      <c r="G1228" s="608"/>
      <c r="H1228" s="518"/>
      <c r="I1228" s="518"/>
      <c r="J1228" s="518"/>
      <c r="K1228" s="518"/>
      <c r="L1228" s="518"/>
      <c r="M1228" s="518">
        <v>49</v>
      </c>
      <c r="N1228" s="518"/>
      <c r="O1228" s="518"/>
      <c r="P1228" s="518"/>
      <c r="Q1228" s="518"/>
      <c r="R1228" s="518"/>
      <c r="S1228" s="518"/>
      <c r="T1228" s="518"/>
      <c r="U1228" s="518"/>
      <c r="V1228" s="518"/>
      <c r="W1228" s="518"/>
      <c r="X1228" s="808">
        <f>M1228</f>
        <v>49</v>
      </c>
      <c r="Y1228" s="809" t="str">
        <f>$M$3</f>
        <v>6673-2</v>
      </c>
      <c r="Z1228" s="609"/>
      <c r="AA1228" s="604"/>
      <c r="AB1228" s="604"/>
      <c r="AC1228" s="604"/>
      <c r="AD1228" s="604"/>
      <c r="AE1228" s="604"/>
      <c r="AF1228" s="604"/>
      <c r="AG1228" s="604"/>
      <c r="AH1228" s="604"/>
      <c r="AI1228" s="604"/>
      <c r="AJ1228" s="604"/>
      <c r="AK1228" s="604"/>
      <c r="AL1228" s="604"/>
      <c r="AM1228" s="604"/>
      <c r="AN1228" s="604"/>
    </row>
    <row r="1229" spans="1:40" ht="15.75" customHeight="1">
      <c r="A1229" s="683">
        <v>45537</v>
      </c>
      <c r="B1229" s="612" t="s">
        <v>310</v>
      </c>
      <c r="C1229" s="614" t="s">
        <v>437</v>
      </c>
      <c r="D1229" s="608"/>
      <c r="E1229" s="518"/>
      <c r="F1229" s="518"/>
      <c r="G1229" s="608"/>
      <c r="H1229" s="518"/>
      <c r="I1229" s="518"/>
      <c r="J1229" s="518"/>
      <c r="K1229" s="518"/>
      <c r="L1229" s="518"/>
      <c r="M1229" s="616"/>
      <c r="N1229" s="518">
        <f>800*B1227</f>
        <v>951.94320000000005</v>
      </c>
      <c r="O1229" s="518"/>
      <c r="P1229" s="518"/>
      <c r="Q1229" s="518"/>
      <c r="R1229" s="518"/>
      <c r="S1229" s="518"/>
      <c r="T1229" s="518"/>
      <c r="U1229" s="518"/>
      <c r="V1229" s="518"/>
      <c r="W1229" s="518"/>
      <c r="X1229" s="808">
        <f>N1229</f>
        <v>951.94320000000005</v>
      </c>
      <c r="Y1229" s="809">
        <f>$N$3</f>
        <v>6680</v>
      </c>
      <c r="Z1229" s="609"/>
      <c r="AA1229" s="604"/>
      <c r="AB1229" s="604"/>
      <c r="AC1229" s="604"/>
      <c r="AD1229" s="604"/>
      <c r="AE1229" s="604"/>
      <c r="AF1229" s="604"/>
      <c r="AG1229" s="604"/>
      <c r="AH1229" s="604"/>
      <c r="AI1229" s="604"/>
      <c r="AJ1229" s="604"/>
      <c r="AK1229" s="604"/>
      <c r="AL1229" s="604"/>
      <c r="AM1229" s="604"/>
      <c r="AN1229" s="604"/>
    </row>
    <row r="1230" spans="1:40" ht="15.75" customHeight="1">
      <c r="A1230" s="683">
        <v>45537</v>
      </c>
      <c r="B1230" s="612"/>
      <c r="C1230" s="611" t="s">
        <v>451</v>
      </c>
      <c r="D1230" s="608"/>
      <c r="E1230" s="518"/>
      <c r="F1230" s="518">
        <v>294</v>
      </c>
      <c r="G1230" s="608"/>
      <c r="H1230" s="518"/>
      <c r="I1230" s="518"/>
      <c r="J1230" s="518"/>
      <c r="K1230" s="518"/>
      <c r="L1230" s="518"/>
      <c r="M1230" s="518"/>
      <c r="N1230" s="518"/>
      <c r="O1230" s="518"/>
      <c r="P1230" s="518"/>
      <c r="Q1230" s="518"/>
      <c r="R1230" s="518"/>
      <c r="S1230" s="518"/>
      <c r="T1230" s="518"/>
      <c r="U1230" s="518"/>
      <c r="V1230" s="518"/>
      <c r="W1230" s="518"/>
      <c r="X1230" s="808"/>
      <c r="Y1230" s="809"/>
      <c r="Z1230" s="609"/>
      <c r="AA1230" s="604"/>
      <c r="AB1230" s="604"/>
      <c r="AC1230" s="604"/>
      <c r="AD1230" s="604"/>
      <c r="AE1230" s="604"/>
      <c r="AF1230" s="604"/>
      <c r="AG1230" s="604"/>
      <c r="AH1230" s="604"/>
      <c r="AI1230" s="604"/>
      <c r="AJ1230" s="604"/>
      <c r="AK1230" s="604"/>
      <c r="AL1230" s="604"/>
      <c r="AM1230" s="604"/>
      <c r="AN1230" s="604"/>
    </row>
    <row r="1231" spans="1:40" ht="15.75" customHeight="1">
      <c r="A1231" s="683">
        <v>45538</v>
      </c>
      <c r="B1231" s="612"/>
      <c r="C1231" s="611" t="s">
        <v>63</v>
      </c>
      <c r="D1231" s="608"/>
      <c r="E1231" s="518"/>
      <c r="F1231" s="518"/>
      <c r="G1231" s="608"/>
      <c r="H1231" s="518"/>
      <c r="I1231" s="518"/>
      <c r="J1231" s="518"/>
      <c r="K1231" s="518"/>
      <c r="L1231" s="518"/>
      <c r="M1231" s="518"/>
      <c r="N1231" s="518"/>
      <c r="O1231" s="518"/>
      <c r="P1231" s="518"/>
      <c r="Q1231" s="518"/>
      <c r="R1231" s="518"/>
      <c r="S1231" s="518"/>
      <c r="T1231" s="518">
        <v>277.60000000000002</v>
      </c>
      <c r="U1231" s="518"/>
      <c r="V1231" s="518"/>
      <c r="W1231" s="518"/>
      <c r="X1231" s="808">
        <f>T1231</f>
        <v>277.60000000000002</v>
      </c>
      <c r="Y1231" s="809">
        <f>$T$3</f>
        <v>2300</v>
      </c>
      <c r="Z1231" s="609"/>
      <c r="AA1231" s="604"/>
      <c r="AB1231" s="604"/>
      <c r="AC1231" s="604"/>
      <c r="AD1231" s="604"/>
      <c r="AE1231" s="604"/>
      <c r="AF1231" s="604"/>
      <c r="AG1231" s="604"/>
      <c r="AH1231" s="604"/>
      <c r="AI1231" s="604"/>
      <c r="AJ1231" s="604"/>
      <c r="AK1231" s="604"/>
      <c r="AL1231" s="604"/>
      <c r="AM1231" s="604"/>
      <c r="AN1231" s="604"/>
    </row>
    <row r="1232" spans="1:40" ht="15.75" customHeight="1">
      <c r="A1232" s="683">
        <v>45538</v>
      </c>
      <c r="B1232" s="612"/>
      <c r="C1232" s="611" t="s">
        <v>451</v>
      </c>
      <c r="D1232" s="608"/>
      <c r="E1232" s="518"/>
      <c r="F1232" s="518">
        <v>2000</v>
      </c>
      <c r="G1232" s="608"/>
      <c r="H1232" s="518"/>
      <c r="I1232" s="518"/>
      <c r="J1232" s="518"/>
      <c r="K1232" s="518"/>
      <c r="L1232" s="518"/>
      <c r="M1232" s="518"/>
      <c r="N1232" s="518"/>
      <c r="O1232" s="518"/>
      <c r="P1232" s="518"/>
      <c r="Q1232" s="518"/>
      <c r="R1232" s="518"/>
      <c r="S1232" s="518"/>
      <c r="T1232" s="518"/>
      <c r="U1232" s="518"/>
      <c r="V1232" s="518"/>
      <c r="W1232" s="518"/>
      <c r="X1232" s="808"/>
      <c r="Y1232" s="809"/>
      <c r="Z1232" s="609"/>
      <c r="AA1232" s="604"/>
      <c r="AB1232" s="604"/>
      <c r="AC1232" s="604"/>
      <c r="AD1232" s="604"/>
      <c r="AE1232" s="604"/>
      <c r="AF1232" s="604"/>
      <c r="AG1232" s="604"/>
      <c r="AH1232" s="604"/>
      <c r="AI1232" s="604"/>
      <c r="AJ1232" s="604"/>
      <c r="AK1232" s="604"/>
      <c r="AL1232" s="604"/>
      <c r="AM1232" s="604"/>
      <c r="AN1232" s="604"/>
    </row>
    <row r="1233" spans="1:40" ht="15.75" customHeight="1">
      <c r="A1233" s="683">
        <v>45539</v>
      </c>
      <c r="B1233" s="612"/>
      <c r="C1233" s="611" t="s">
        <v>451</v>
      </c>
      <c r="D1233" s="608"/>
      <c r="E1233" s="518"/>
      <c r="F1233" s="518">
        <v>2000</v>
      </c>
      <c r="G1233" s="608"/>
      <c r="H1233" s="518"/>
      <c r="I1233" s="518"/>
      <c r="J1233" s="518"/>
      <c r="K1233" s="518"/>
      <c r="L1233" s="518"/>
      <c r="M1233" s="518"/>
      <c r="N1233" s="518"/>
      <c r="O1233" s="518"/>
      <c r="P1233" s="518"/>
      <c r="Q1233" s="518"/>
      <c r="R1233" s="518"/>
      <c r="S1233" s="518"/>
      <c r="T1233" s="518"/>
      <c r="U1233" s="518"/>
      <c r="V1233" s="518"/>
      <c r="W1233" s="518"/>
      <c r="X1233" s="808"/>
      <c r="Y1233" s="809"/>
      <c r="Z1233" s="609"/>
      <c r="AA1233" s="604"/>
      <c r="AB1233" s="604"/>
      <c r="AC1233" s="604"/>
      <c r="AD1233" s="604"/>
      <c r="AE1233" s="604"/>
      <c r="AF1233" s="604"/>
      <c r="AG1233" s="604"/>
      <c r="AH1233" s="604"/>
      <c r="AI1233" s="604"/>
      <c r="AJ1233" s="604"/>
      <c r="AK1233" s="604"/>
      <c r="AL1233" s="604"/>
      <c r="AM1233" s="604"/>
      <c r="AN1233" s="604"/>
    </row>
    <row r="1234" spans="1:40" ht="15.75" customHeight="1">
      <c r="A1234" s="683">
        <v>45548</v>
      </c>
      <c r="B1234" s="612"/>
      <c r="C1234" s="611" t="s">
        <v>194</v>
      </c>
      <c r="D1234" s="608"/>
      <c r="E1234" s="518"/>
      <c r="F1234" s="518"/>
      <c r="G1234" s="608"/>
      <c r="H1234" s="518"/>
      <c r="I1234" s="518"/>
      <c r="J1234" s="518"/>
      <c r="K1234" s="518"/>
      <c r="L1234" s="518"/>
      <c r="M1234" s="518"/>
      <c r="N1234" s="518"/>
      <c r="O1234" s="518"/>
      <c r="P1234" s="518"/>
      <c r="Q1234" s="518"/>
      <c r="R1234" s="518"/>
      <c r="S1234" s="518">
        <v>11.5</v>
      </c>
      <c r="T1234" s="518"/>
      <c r="U1234" s="518"/>
      <c r="V1234" s="518"/>
      <c r="W1234" s="518"/>
      <c r="X1234" s="808">
        <f>S1234</f>
        <v>11.5</v>
      </c>
      <c r="Y1234" s="809">
        <f>$S$3</f>
        <v>6855</v>
      </c>
      <c r="Z1234" s="609"/>
      <c r="AA1234" s="604"/>
      <c r="AB1234" s="604"/>
      <c r="AC1234" s="604"/>
      <c r="AD1234" s="604"/>
      <c r="AE1234" s="604"/>
      <c r="AF1234" s="604"/>
      <c r="AG1234" s="604"/>
      <c r="AH1234" s="604"/>
      <c r="AI1234" s="604"/>
      <c r="AJ1234" s="604"/>
      <c r="AK1234" s="604"/>
      <c r="AL1234" s="604"/>
      <c r="AM1234" s="604"/>
      <c r="AN1234" s="604"/>
    </row>
    <row r="1235" spans="1:40" ht="15.75" customHeight="1">
      <c r="A1235" s="683">
        <v>45551</v>
      </c>
      <c r="B1235" s="612"/>
      <c r="C1235" s="611" t="s">
        <v>568</v>
      </c>
      <c r="D1235" s="608"/>
      <c r="E1235" s="518"/>
      <c r="F1235" s="518"/>
      <c r="G1235" s="608"/>
      <c r="H1235" s="518"/>
      <c r="I1235" s="518"/>
      <c r="J1235" s="518"/>
      <c r="K1235" s="518"/>
      <c r="L1235" s="518"/>
      <c r="M1235" s="518"/>
      <c r="N1235" s="518"/>
      <c r="O1235" s="518"/>
      <c r="P1235" s="518"/>
      <c r="Q1235" s="518"/>
      <c r="R1235" s="518"/>
      <c r="S1235" s="518"/>
      <c r="T1235" s="518">
        <v>18.36</v>
      </c>
      <c r="U1235" s="518"/>
      <c r="V1235" s="518"/>
      <c r="W1235" s="518"/>
      <c r="X1235" s="808">
        <f>T1235</f>
        <v>18.36</v>
      </c>
      <c r="Y1235" s="809">
        <f>$T$3</f>
        <v>2300</v>
      </c>
      <c r="Z1235" s="609"/>
      <c r="AA1235" s="604"/>
      <c r="AB1235" s="604"/>
      <c r="AC1235" s="604"/>
      <c r="AD1235" s="604"/>
      <c r="AE1235" s="604"/>
      <c r="AF1235" s="604"/>
      <c r="AG1235" s="604"/>
      <c r="AH1235" s="604"/>
      <c r="AI1235" s="604"/>
      <c r="AJ1235" s="604"/>
      <c r="AK1235" s="604"/>
      <c r="AL1235" s="604"/>
      <c r="AM1235" s="604"/>
      <c r="AN1235" s="604"/>
    </row>
    <row r="1236" spans="1:40" ht="18" customHeight="1">
      <c r="A1236" s="683">
        <v>45551</v>
      </c>
      <c r="B1236" s="615"/>
      <c r="C1236" s="611" t="s">
        <v>341</v>
      </c>
      <c r="D1236" s="608"/>
      <c r="E1236" s="518"/>
      <c r="F1236" s="518"/>
      <c r="G1236" s="608"/>
      <c r="H1236" s="518">
        <v>869.75</v>
      </c>
      <c r="I1236" s="518"/>
      <c r="J1236" s="518"/>
      <c r="K1236" s="518"/>
      <c r="L1236" s="518"/>
      <c r="M1236" s="518"/>
      <c r="N1236" s="518"/>
      <c r="O1236" s="518"/>
      <c r="P1236" s="518"/>
      <c r="Q1236" s="518"/>
      <c r="R1236" s="518"/>
      <c r="S1236" s="518"/>
      <c r="T1236" s="518"/>
      <c r="U1236" s="518"/>
      <c r="V1236" s="518"/>
      <c r="W1236" s="518"/>
      <c r="X1236" s="1033">
        <f>H1236</f>
        <v>869.75</v>
      </c>
      <c r="Y1236" s="809">
        <f>$H$3</f>
        <v>2200</v>
      </c>
      <c r="Z1236" s="609"/>
      <c r="AA1236" s="604"/>
      <c r="AB1236" s="604"/>
      <c r="AC1236" s="604"/>
      <c r="AD1236" s="604"/>
      <c r="AE1236" s="604"/>
      <c r="AF1236" s="604"/>
      <c r="AG1236" s="604"/>
      <c r="AH1236" s="604"/>
      <c r="AI1236" s="604"/>
      <c r="AJ1236" s="604"/>
      <c r="AK1236" s="604"/>
      <c r="AL1236" s="604"/>
      <c r="AM1236" s="604"/>
      <c r="AN1236" s="604"/>
    </row>
    <row r="1237" spans="1:40" ht="15.75" customHeight="1">
      <c r="A1237" s="683">
        <v>45551</v>
      </c>
      <c r="B1237" s="615"/>
      <c r="C1237" s="614" t="s">
        <v>508</v>
      </c>
      <c r="D1237" s="608"/>
      <c r="E1237" s="518"/>
      <c r="F1237" s="518"/>
      <c r="G1237" s="608"/>
      <c r="H1237" s="518"/>
      <c r="I1237" s="518"/>
      <c r="J1237" s="518"/>
      <c r="K1237" s="518"/>
      <c r="L1237" s="518"/>
      <c r="M1237" s="518"/>
      <c r="N1237" s="518"/>
      <c r="O1237" s="518"/>
      <c r="P1237" s="518"/>
      <c r="Q1237" s="518">
        <v>5.39</v>
      </c>
      <c r="R1237" s="518"/>
      <c r="S1237" s="518"/>
      <c r="T1237" s="518"/>
      <c r="U1237" s="518"/>
      <c r="V1237" s="518"/>
      <c r="W1237" s="518"/>
      <c r="X1237" s="808">
        <f t="shared" ref="X1237" si="9">Q1237</f>
        <v>5.39</v>
      </c>
      <c r="Y1237" s="809" t="str">
        <f t="shared" ref="Y1237" si="10">$Q$3</f>
        <v>6495-2</v>
      </c>
      <c r="Z1237" s="609"/>
      <c r="AA1237" s="604"/>
      <c r="AB1237" s="604"/>
      <c r="AC1237" s="604"/>
      <c r="AD1237" s="604"/>
      <c r="AE1237" s="604"/>
      <c r="AF1237" s="604"/>
      <c r="AG1237" s="604"/>
      <c r="AH1237" s="604"/>
      <c r="AI1237" s="604"/>
      <c r="AJ1237" s="604"/>
      <c r="AK1237" s="604"/>
      <c r="AL1237" s="604"/>
      <c r="AM1237" s="604"/>
      <c r="AN1237" s="604"/>
    </row>
    <row r="1238" spans="1:40" ht="15.75" customHeight="1">
      <c r="A1238" s="683">
        <v>45552</v>
      </c>
      <c r="B1238" s="613"/>
      <c r="C1238" s="611" t="s">
        <v>518</v>
      </c>
      <c r="D1238" s="608"/>
      <c r="E1238" s="518"/>
      <c r="F1238" s="518"/>
      <c r="G1238" s="608"/>
      <c r="H1238" s="518"/>
      <c r="I1238" s="518"/>
      <c r="J1238" s="518"/>
      <c r="K1238" s="518">
        <v>34.99</v>
      </c>
      <c r="L1238" s="518"/>
      <c r="M1238" s="518"/>
      <c r="N1238" s="518"/>
      <c r="O1238" s="518"/>
      <c r="P1238" s="518"/>
      <c r="Q1238" s="518"/>
      <c r="R1238" s="518"/>
      <c r="S1238" s="518"/>
      <c r="T1238" s="518"/>
      <c r="U1238" s="518"/>
      <c r="V1238" s="518"/>
      <c r="W1238" s="518"/>
      <c r="X1238" s="1033">
        <f>K1238</f>
        <v>34.99</v>
      </c>
      <c r="Y1238" s="809" t="str">
        <f>$K$3</f>
        <v>6495-1</v>
      </c>
      <c r="Z1238" s="609"/>
      <c r="AA1238" s="604"/>
      <c r="AB1238" s="604"/>
      <c r="AC1238" s="604"/>
      <c r="AD1238" s="604"/>
      <c r="AE1238" s="604"/>
      <c r="AF1238" s="604"/>
      <c r="AG1238" s="604"/>
      <c r="AH1238" s="604"/>
      <c r="AI1238" s="604"/>
      <c r="AJ1238" s="604"/>
      <c r="AK1238" s="604"/>
      <c r="AL1238" s="604"/>
      <c r="AM1238" s="604"/>
      <c r="AN1238" s="604"/>
    </row>
    <row r="1239" spans="1:40" ht="15.75" customHeight="1">
      <c r="A1239" s="683">
        <v>45554</v>
      </c>
      <c r="B1239" s="613"/>
      <c r="C1239" s="611" t="s">
        <v>78</v>
      </c>
      <c r="D1239" s="608"/>
      <c r="E1239" s="518"/>
      <c r="F1239" s="518"/>
      <c r="G1239" s="608"/>
      <c r="H1239" s="518"/>
      <c r="I1239" s="518"/>
      <c r="J1239" s="518">
        <v>19.98</v>
      </c>
      <c r="K1239" s="518"/>
      <c r="L1239" s="518"/>
      <c r="M1239" s="518"/>
      <c r="N1239" s="518"/>
      <c r="O1239" s="518"/>
      <c r="P1239" s="518"/>
      <c r="Q1239" s="518"/>
      <c r="R1239" s="518"/>
      <c r="S1239" s="518"/>
      <c r="T1239" s="518"/>
      <c r="U1239" s="518"/>
      <c r="V1239" s="518"/>
      <c r="W1239" s="518"/>
      <c r="X1239" s="1033">
        <f>J1239</f>
        <v>19.98</v>
      </c>
      <c r="Y1239" s="809">
        <f>$J$3</f>
        <v>6805</v>
      </c>
      <c r="Z1239" s="609"/>
      <c r="AA1239" s="604"/>
      <c r="AB1239" s="604"/>
      <c r="AC1239" s="604"/>
      <c r="AD1239" s="604"/>
      <c r="AE1239" s="604"/>
      <c r="AF1239" s="604"/>
      <c r="AG1239" s="604"/>
      <c r="AH1239" s="604"/>
      <c r="AI1239" s="604"/>
      <c r="AJ1239" s="604"/>
      <c r="AK1239" s="604"/>
      <c r="AL1239" s="604"/>
      <c r="AM1239" s="604"/>
      <c r="AN1239" s="604"/>
    </row>
    <row r="1240" spans="1:40" ht="15.75" customHeight="1">
      <c r="A1240" s="683">
        <v>45558</v>
      </c>
      <c r="B1240" s="615"/>
      <c r="C1240" s="611" t="s">
        <v>364</v>
      </c>
      <c r="D1240" s="608"/>
      <c r="E1240" s="518"/>
      <c r="F1240" s="518"/>
      <c r="G1240" s="608"/>
      <c r="H1240" s="518"/>
      <c r="I1240" s="518"/>
      <c r="J1240" s="518"/>
      <c r="K1240" s="518">
        <v>12</v>
      </c>
      <c r="L1240" s="518"/>
      <c r="M1240" s="518"/>
      <c r="N1240" s="518"/>
      <c r="O1240" s="518"/>
      <c r="P1240" s="518"/>
      <c r="Q1240" s="518"/>
      <c r="R1240" s="518"/>
      <c r="S1240" s="518">
        <v>11.83</v>
      </c>
      <c r="T1240" s="518"/>
      <c r="U1240" s="518"/>
      <c r="V1240" s="518"/>
      <c r="W1240" s="518"/>
      <c r="X1240" s="1033">
        <f>K1240</f>
        <v>12</v>
      </c>
      <c r="Y1240" s="809" t="str">
        <f>$K$3</f>
        <v>6495-1</v>
      </c>
      <c r="Z1240" s="609"/>
      <c r="AA1240" s="604"/>
      <c r="AB1240" s="604"/>
      <c r="AC1240" s="604"/>
      <c r="AD1240" s="604"/>
      <c r="AE1240" s="604"/>
      <c r="AF1240" s="604"/>
      <c r="AG1240" s="604"/>
      <c r="AH1240" s="604"/>
      <c r="AI1240" s="604"/>
      <c r="AJ1240" s="604"/>
      <c r="AK1240" s="604"/>
      <c r="AL1240" s="604"/>
      <c r="AM1240" s="604"/>
      <c r="AN1240" s="604"/>
    </row>
    <row r="1241" spans="1:40" ht="15.75" customHeight="1">
      <c r="A1241" s="683">
        <v>45558</v>
      </c>
      <c r="B1241" s="612" t="s">
        <v>531</v>
      </c>
      <c r="C1241" s="611" t="s">
        <v>451</v>
      </c>
      <c r="D1241" s="608"/>
      <c r="E1241" s="518"/>
      <c r="F1241" s="518">
        <v>2000</v>
      </c>
      <c r="G1241" s="518"/>
      <c r="H1241" s="518"/>
      <c r="I1241" s="518"/>
      <c r="J1241" s="518"/>
      <c r="K1241" s="518"/>
      <c r="L1241" s="518"/>
      <c r="M1241" s="518"/>
      <c r="N1241" s="518"/>
      <c r="O1241" s="518"/>
      <c r="P1241" s="518"/>
      <c r="Q1241" s="518"/>
      <c r="R1241" s="518"/>
      <c r="S1241" s="518"/>
      <c r="T1241" s="518"/>
      <c r="U1241" s="518"/>
      <c r="V1241" s="518"/>
      <c r="W1241" s="518"/>
      <c r="X1241" s="808"/>
      <c r="Y1241" s="809"/>
      <c r="Z1241" s="609"/>
      <c r="AA1241" s="604"/>
      <c r="AB1241" s="604"/>
      <c r="AC1241" s="604"/>
      <c r="AD1241" s="604"/>
      <c r="AE1241" s="604"/>
      <c r="AF1241" s="604"/>
      <c r="AG1241" s="604"/>
      <c r="AH1241" s="604"/>
      <c r="AI1241" s="604"/>
      <c r="AJ1241" s="604"/>
      <c r="AK1241" s="604"/>
      <c r="AL1241" s="604"/>
      <c r="AM1241" s="604"/>
      <c r="AN1241" s="604"/>
    </row>
    <row r="1242" spans="1:40" ht="15.75" customHeight="1">
      <c r="A1242" s="683">
        <v>45562</v>
      </c>
      <c r="B1242" s="612"/>
      <c r="C1242" s="611" t="s">
        <v>320</v>
      </c>
      <c r="D1242" s="608"/>
      <c r="E1242" s="518"/>
      <c r="F1242" s="518"/>
      <c r="G1242" s="608"/>
      <c r="H1242" s="518"/>
      <c r="I1242" s="518"/>
      <c r="J1242" s="518"/>
      <c r="K1242" s="518">
        <v>36.08</v>
      </c>
      <c r="L1242" s="518"/>
      <c r="M1242" s="518"/>
      <c r="N1242" s="518"/>
      <c r="O1242" s="518"/>
      <c r="P1242" s="518"/>
      <c r="Q1242" s="518"/>
      <c r="R1242" s="518"/>
      <c r="S1242" s="518"/>
      <c r="T1242" s="518"/>
      <c r="U1242" s="518"/>
      <c r="V1242" s="518"/>
      <c r="W1242" s="518"/>
      <c r="X1242" s="1033">
        <f>K1242</f>
        <v>36.08</v>
      </c>
      <c r="Y1242" s="809" t="str">
        <f>$K$3</f>
        <v>6495-1</v>
      </c>
      <c r="Z1242" s="609"/>
      <c r="AA1242" s="604"/>
      <c r="AB1242" s="604"/>
      <c r="AC1242" s="604"/>
      <c r="AD1242" s="604"/>
      <c r="AE1242" s="604"/>
      <c r="AF1242" s="604"/>
      <c r="AG1242" s="604"/>
      <c r="AH1242" s="604"/>
      <c r="AI1242" s="604"/>
      <c r="AJ1242" s="604"/>
      <c r="AK1242" s="604"/>
      <c r="AL1242" s="604"/>
      <c r="AM1242" s="604"/>
      <c r="AN1242" s="604"/>
    </row>
    <row r="1243" spans="1:40" ht="15.75" customHeight="1">
      <c r="A1243" s="683">
        <v>45562</v>
      </c>
      <c r="B1243" s="612"/>
      <c r="C1243" s="611" t="s">
        <v>545</v>
      </c>
      <c r="D1243" s="608"/>
      <c r="E1243" s="518"/>
      <c r="F1243" s="518"/>
      <c r="G1243" s="608"/>
      <c r="H1243" s="518"/>
      <c r="I1243" s="518"/>
      <c r="J1243" s="518"/>
      <c r="K1243" s="518"/>
      <c r="L1243" s="518"/>
      <c r="M1243" s="518"/>
      <c r="N1243" s="518"/>
      <c r="O1243" s="518"/>
      <c r="P1243" s="518"/>
      <c r="Q1243" s="518"/>
      <c r="R1243" s="518"/>
      <c r="S1243" s="518">
        <f>9.5+9.5+9.5+7.1</f>
        <v>35.6</v>
      </c>
      <c r="T1243" s="518"/>
      <c r="U1243" s="518"/>
      <c r="V1243" s="518"/>
      <c r="W1243" s="518"/>
      <c r="X1243" s="808">
        <f>S1243</f>
        <v>35.6</v>
      </c>
      <c r="Y1243" s="809">
        <f>$S$3</f>
        <v>6855</v>
      </c>
      <c r="Z1243" s="609"/>
      <c r="AA1243" s="604"/>
      <c r="AB1243" s="604"/>
      <c r="AC1243" s="604"/>
      <c r="AD1243" s="604"/>
      <c r="AE1243" s="604"/>
      <c r="AF1243" s="604"/>
      <c r="AG1243" s="604"/>
      <c r="AH1243" s="604"/>
      <c r="AI1243" s="604"/>
      <c r="AJ1243" s="604"/>
      <c r="AK1243" s="604"/>
      <c r="AL1243" s="604"/>
      <c r="AM1243" s="604"/>
      <c r="AN1243" s="604"/>
    </row>
    <row r="1244" spans="1:40" ht="15.75" customHeight="1">
      <c r="A1244" s="683">
        <v>45565</v>
      </c>
      <c r="B1244" s="615"/>
      <c r="C1244" s="614" t="s">
        <v>260</v>
      </c>
      <c r="D1244" s="608"/>
      <c r="E1244" s="518">
        <v>633.20000000000005</v>
      </c>
      <c r="F1244" s="518"/>
      <c r="G1244" s="608"/>
      <c r="H1244" s="518"/>
      <c r="I1244" s="518"/>
      <c r="J1244" s="518"/>
      <c r="K1244" s="518"/>
      <c r="L1244" s="518"/>
      <c r="M1244" s="518"/>
      <c r="N1244" s="518"/>
      <c r="O1244" s="518"/>
      <c r="P1244" s="518"/>
      <c r="Q1244" s="518"/>
      <c r="R1244" s="518"/>
      <c r="S1244" s="518"/>
      <c r="T1244" s="518"/>
      <c r="U1244" s="518"/>
      <c r="V1244" s="518"/>
      <c r="W1244" s="518"/>
      <c r="X1244" s="808">
        <f>E1244</f>
        <v>633.20000000000005</v>
      </c>
      <c r="Y1244" s="809" t="s">
        <v>2304</v>
      </c>
      <c r="Z1244" s="609"/>
      <c r="AA1244" s="604"/>
      <c r="AB1244" s="604"/>
      <c r="AC1244" s="604"/>
      <c r="AD1244" s="604"/>
      <c r="AE1244" s="604"/>
      <c r="AF1244" s="604"/>
      <c r="AG1244" s="604"/>
      <c r="AH1244" s="604"/>
      <c r="AI1244" s="604"/>
      <c r="AJ1244" s="604"/>
      <c r="AK1244" s="604"/>
      <c r="AL1244" s="604"/>
      <c r="AM1244" s="604"/>
      <c r="AN1244" s="604"/>
    </row>
    <row r="1245" spans="1:40" ht="15.75" customHeight="1">
      <c r="A1245" s="688" t="s">
        <v>589</v>
      </c>
      <c r="B1245" s="612"/>
      <c r="C1245" s="611" t="s">
        <v>344</v>
      </c>
      <c r="D1245" s="608"/>
      <c r="E1245" s="518"/>
      <c r="F1245" s="518"/>
      <c r="G1245" s="518"/>
      <c r="H1245" s="518"/>
      <c r="I1245" s="518"/>
      <c r="J1245" s="518"/>
      <c r="K1245" s="518"/>
      <c r="L1245" s="518"/>
      <c r="M1245" s="518"/>
      <c r="N1245" s="518"/>
      <c r="O1245" s="518"/>
      <c r="P1245" s="518"/>
      <c r="Q1245" s="518"/>
      <c r="R1245" s="518"/>
      <c r="S1245" s="518">
        <v>18.57</v>
      </c>
      <c r="T1245" s="518"/>
      <c r="U1245" s="518"/>
      <c r="V1245" s="518"/>
      <c r="W1245" s="518"/>
      <c r="X1245" s="808">
        <f>S1245</f>
        <v>18.57</v>
      </c>
      <c r="Y1245" s="809">
        <f>$S$3</f>
        <v>6855</v>
      </c>
      <c r="Z1245" s="609"/>
      <c r="AA1245" s="604"/>
      <c r="AB1245" s="604"/>
      <c r="AC1245" s="604"/>
      <c r="AD1245" s="604"/>
      <c r="AE1245" s="604"/>
      <c r="AF1245" s="604"/>
      <c r="AG1245" s="604"/>
      <c r="AH1245" s="604"/>
      <c r="AI1245" s="604"/>
      <c r="AJ1245" s="604"/>
      <c r="AK1245" s="604"/>
      <c r="AL1245" s="604"/>
      <c r="AM1245" s="604"/>
      <c r="AN1245" s="604"/>
    </row>
    <row r="1246" spans="1:40" ht="15.75" customHeight="1">
      <c r="A1246" s="683"/>
      <c r="B1246" s="612"/>
      <c r="C1246" s="611"/>
      <c r="D1246" s="608"/>
      <c r="E1246" s="518"/>
      <c r="F1246" s="518"/>
      <c r="G1246" s="518"/>
      <c r="H1246" s="518"/>
      <c r="I1246" s="518"/>
      <c r="J1246" s="518"/>
      <c r="K1246" s="518"/>
      <c r="L1246" s="518"/>
      <c r="M1246" s="518"/>
      <c r="N1246" s="518"/>
      <c r="O1246" s="518"/>
      <c r="P1246" s="518"/>
      <c r="Q1246" s="518"/>
      <c r="R1246" s="518"/>
      <c r="S1246" s="518"/>
      <c r="T1246" s="518"/>
      <c r="U1246" s="518"/>
      <c r="V1246" s="518"/>
      <c r="W1246" s="518"/>
      <c r="X1246" s="808"/>
      <c r="Y1246" s="809"/>
      <c r="Z1246" s="609"/>
      <c r="AA1246" s="604"/>
      <c r="AB1246" s="604"/>
      <c r="AC1246" s="604"/>
      <c r="AD1246" s="604"/>
      <c r="AE1246" s="604"/>
      <c r="AF1246" s="604"/>
      <c r="AG1246" s="604"/>
      <c r="AH1246" s="604"/>
      <c r="AI1246" s="604"/>
      <c r="AJ1246" s="604"/>
      <c r="AK1246" s="604"/>
      <c r="AL1246" s="604"/>
      <c r="AM1246" s="604"/>
      <c r="AN1246" s="604"/>
    </row>
    <row r="1247" spans="1:40" ht="15.75" customHeight="1">
      <c r="A1247" s="620"/>
      <c r="B1247" s="620"/>
      <c r="C1247" s="623"/>
      <c r="D1247" s="623"/>
      <c r="E1247" s="623"/>
      <c r="F1247" s="623"/>
      <c r="G1247" s="623"/>
      <c r="H1247" s="623"/>
      <c r="I1247" s="623"/>
      <c r="J1247" s="623"/>
      <c r="K1247" s="623"/>
      <c r="L1247" s="623"/>
      <c r="M1247" s="623"/>
      <c r="N1247" s="623"/>
      <c r="O1247" s="623"/>
      <c r="P1247" s="623"/>
      <c r="Q1247" s="623"/>
      <c r="R1247" s="623"/>
      <c r="S1247" s="623"/>
      <c r="T1247" s="623"/>
      <c r="U1247" s="623"/>
      <c r="V1247" s="623"/>
      <c r="W1247" s="623"/>
      <c r="X1247" s="808"/>
      <c r="Y1247" s="809"/>
      <c r="Z1247" s="623"/>
      <c r="AA1247" s="604"/>
      <c r="AB1247" s="604"/>
      <c r="AC1247" s="604"/>
      <c r="AD1247" s="604"/>
      <c r="AE1247" s="604"/>
      <c r="AF1247" s="604"/>
      <c r="AG1247" s="604"/>
      <c r="AH1247" s="604"/>
      <c r="AI1247" s="604"/>
      <c r="AJ1247" s="604"/>
      <c r="AK1247" s="604"/>
      <c r="AL1247" s="604"/>
      <c r="AM1247" s="604"/>
      <c r="AN1247" s="604"/>
    </row>
    <row r="1248" spans="1:40" ht="15.75" customHeight="1">
      <c r="A1248" s="683"/>
      <c r="B1248" s="616"/>
      <c r="C1248" s="685"/>
      <c r="D1248" s="608"/>
      <c r="E1248" s="518"/>
      <c r="F1248" s="518"/>
      <c r="G1248" s="518"/>
      <c r="H1248" s="518"/>
      <c r="I1248" s="518"/>
      <c r="J1248" s="518"/>
      <c r="K1248" s="518"/>
      <c r="L1248" s="518"/>
      <c r="M1248" s="518"/>
      <c r="N1248" s="518"/>
      <c r="O1248" s="518"/>
      <c r="P1248" s="518"/>
      <c r="Q1248" s="518"/>
      <c r="R1248" s="518"/>
      <c r="S1248" s="518"/>
      <c r="T1248" s="518"/>
      <c r="U1248" s="518"/>
      <c r="V1248" s="518"/>
      <c r="W1248" s="518"/>
      <c r="X1248" s="808"/>
      <c r="Y1248" s="809"/>
      <c r="Z1248" s="609"/>
      <c r="AA1248" s="604"/>
      <c r="AB1248" s="604"/>
      <c r="AC1248" s="604"/>
      <c r="AD1248" s="604"/>
      <c r="AE1248" s="604"/>
      <c r="AF1248" s="604"/>
      <c r="AG1248" s="604"/>
      <c r="AH1248" s="604"/>
      <c r="AI1248" s="604"/>
      <c r="AJ1248" s="604"/>
      <c r="AK1248" s="604"/>
      <c r="AL1248" s="604"/>
      <c r="AM1248" s="604"/>
      <c r="AN1248" s="604"/>
    </row>
    <row r="1249" spans="1:40" ht="15.75" customHeight="1">
      <c r="A1249" s="683">
        <v>45538</v>
      </c>
      <c r="B1249" s="616"/>
      <c r="C1249" s="685" t="s">
        <v>395</v>
      </c>
      <c r="D1249" s="608"/>
      <c r="E1249" s="518"/>
      <c r="F1249" s="518"/>
      <c r="G1249" s="518"/>
      <c r="H1249" s="518"/>
      <c r="I1249" s="518"/>
      <c r="J1249" s="518"/>
      <c r="K1249" s="518"/>
      <c r="L1249" s="518"/>
      <c r="M1249" s="518"/>
      <c r="N1249" s="518"/>
      <c r="O1249" s="518"/>
      <c r="P1249" s="518">
        <f>6+6</f>
        <v>12</v>
      </c>
      <c r="Q1249" s="518"/>
      <c r="R1249" s="518"/>
      <c r="S1249" s="518"/>
      <c r="T1249" s="518"/>
      <c r="U1249" s="518"/>
      <c r="V1249" s="518"/>
      <c r="W1249" s="518"/>
      <c r="X1249" s="1033">
        <f>P1249</f>
        <v>12</v>
      </c>
      <c r="Y1249" s="809">
        <f>$P$3</f>
        <v>6815</v>
      </c>
      <c r="Z1249" s="609"/>
      <c r="AA1249" s="616"/>
      <c r="AB1249" s="616"/>
      <c r="AC1249" s="616"/>
      <c r="AD1249" s="616"/>
      <c r="AE1249" s="616"/>
      <c r="AF1249" s="616"/>
      <c r="AG1249" s="616"/>
      <c r="AH1249" s="616"/>
      <c r="AI1249" s="616"/>
      <c r="AJ1249" s="616"/>
      <c r="AK1249" s="616"/>
      <c r="AL1249" s="616"/>
      <c r="AM1249" s="616"/>
      <c r="AN1249" s="616"/>
    </row>
    <row r="1250" spans="1:40" ht="15.75" customHeight="1">
      <c r="A1250" s="683">
        <v>45539</v>
      </c>
      <c r="B1250" s="616" t="s">
        <v>590</v>
      </c>
      <c r="C1250" s="685" t="s">
        <v>591</v>
      </c>
      <c r="D1250" s="608"/>
      <c r="E1250" s="518">
        <v>2410</v>
      </c>
      <c r="F1250" s="518"/>
      <c r="G1250" s="518"/>
      <c r="H1250" s="518"/>
      <c r="I1250" s="518"/>
      <c r="J1250" s="518"/>
      <c r="K1250" s="518"/>
      <c r="L1250" s="518"/>
      <c r="M1250" s="518"/>
      <c r="N1250" s="518"/>
      <c r="O1250" s="518"/>
      <c r="P1250" s="518"/>
      <c r="Q1250" s="518"/>
      <c r="R1250" s="518"/>
      <c r="S1250" s="518"/>
      <c r="T1250" s="518"/>
      <c r="U1250" s="518"/>
      <c r="V1250" s="518"/>
      <c r="W1250" s="518"/>
      <c r="X1250" s="808">
        <f>E1250</f>
        <v>2410</v>
      </c>
      <c r="Y1250" s="809" t="s">
        <v>2304</v>
      </c>
      <c r="Z1250" s="609"/>
      <c r="AA1250" s="616"/>
      <c r="AB1250" s="616"/>
      <c r="AC1250" s="616"/>
      <c r="AD1250" s="616"/>
      <c r="AE1250" s="616"/>
      <c r="AF1250" s="616"/>
      <c r="AG1250" s="616"/>
      <c r="AH1250" s="616"/>
      <c r="AI1250" s="616"/>
      <c r="AJ1250" s="616"/>
      <c r="AK1250" s="616"/>
      <c r="AL1250" s="616"/>
      <c r="AM1250" s="616"/>
      <c r="AN1250" s="616"/>
    </row>
    <row r="1251" spans="1:40" ht="15.75" customHeight="1">
      <c r="A1251" s="683">
        <v>45539</v>
      </c>
      <c r="B1251" s="616" t="s">
        <v>592</v>
      </c>
      <c r="C1251" s="685" t="s">
        <v>443</v>
      </c>
      <c r="D1251" s="608">
        <v>3100</v>
      </c>
      <c r="E1251" s="518"/>
      <c r="F1251" s="518"/>
      <c r="G1251" s="518"/>
      <c r="H1251" s="518"/>
      <c r="I1251" s="518"/>
      <c r="J1251" s="518"/>
      <c r="K1251" s="518"/>
      <c r="L1251" s="518"/>
      <c r="M1251" s="518"/>
      <c r="N1251" s="518"/>
      <c r="O1251" s="518"/>
      <c r="P1251" s="518"/>
      <c r="Q1251" s="518"/>
      <c r="R1251" s="518"/>
      <c r="S1251" s="518"/>
      <c r="T1251" s="518"/>
      <c r="U1251" s="518"/>
      <c r="V1251" s="518"/>
      <c r="W1251" s="518"/>
      <c r="X1251" s="1034">
        <f>D1251</f>
        <v>3100</v>
      </c>
      <c r="Y1251" s="809" t="s">
        <v>2300</v>
      </c>
      <c r="Z1251" s="609"/>
      <c r="AA1251" s="528"/>
      <c r="AB1251" s="528"/>
      <c r="AC1251" s="528"/>
      <c r="AD1251" s="528"/>
      <c r="AE1251" s="528"/>
      <c r="AF1251" s="528"/>
      <c r="AG1251" s="528"/>
      <c r="AH1251" s="528"/>
      <c r="AI1251" s="528"/>
      <c r="AJ1251" s="528"/>
      <c r="AK1251" s="528"/>
      <c r="AL1251" s="528"/>
      <c r="AM1251" s="528"/>
      <c r="AN1251" s="528"/>
    </row>
    <row r="1252" spans="1:40" ht="15.75" customHeight="1">
      <c r="A1252" s="683">
        <v>45541</v>
      </c>
      <c r="B1252" s="616"/>
      <c r="C1252" s="685" t="s">
        <v>593</v>
      </c>
      <c r="D1252" s="608"/>
      <c r="E1252" s="518"/>
      <c r="F1252" s="518"/>
      <c r="G1252" s="518"/>
      <c r="H1252" s="518"/>
      <c r="I1252" s="518"/>
      <c r="J1252" s="518"/>
      <c r="K1252" s="518"/>
      <c r="L1252" s="518"/>
      <c r="M1252" s="518">
        <v>53.47</v>
      </c>
      <c r="N1252" s="518"/>
      <c r="O1252" s="518"/>
      <c r="P1252" s="518"/>
      <c r="Q1252" s="518"/>
      <c r="R1252" s="518"/>
      <c r="S1252" s="518"/>
      <c r="T1252" s="518"/>
      <c r="U1252" s="518"/>
      <c r="V1252" s="518"/>
      <c r="W1252" s="518"/>
      <c r="X1252" s="808">
        <f>M1252</f>
        <v>53.47</v>
      </c>
      <c r="Y1252" s="809" t="str">
        <f>$M$3</f>
        <v>6673-2</v>
      </c>
      <c r="Z1252" s="609"/>
      <c r="AA1252" s="528"/>
      <c r="AB1252" s="528"/>
      <c r="AC1252" s="528"/>
      <c r="AD1252" s="528"/>
      <c r="AE1252" s="528"/>
      <c r="AF1252" s="528"/>
      <c r="AG1252" s="528"/>
      <c r="AH1252" s="528"/>
      <c r="AI1252" s="528"/>
      <c r="AJ1252" s="528"/>
      <c r="AK1252" s="528"/>
      <c r="AL1252" s="528"/>
      <c r="AM1252" s="528"/>
      <c r="AN1252" s="528"/>
    </row>
    <row r="1253" spans="1:40" ht="15.75" customHeight="1">
      <c r="A1253" s="683">
        <v>45541</v>
      </c>
      <c r="B1253" s="616"/>
      <c r="C1253" s="685" t="s">
        <v>594</v>
      </c>
      <c r="D1253" s="608"/>
      <c r="E1253" s="518"/>
      <c r="F1253" s="518"/>
      <c r="G1253" s="518"/>
      <c r="H1253" s="518"/>
      <c r="I1253" s="518"/>
      <c r="J1253" s="518"/>
      <c r="K1253" s="518"/>
      <c r="L1253" s="518"/>
      <c r="M1253" s="518">
        <v>42.54</v>
      </c>
      <c r="N1253" s="518"/>
      <c r="O1253" s="518"/>
      <c r="P1253" s="518"/>
      <c r="Q1253" s="518"/>
      <c r="R1253" s="518"/>
      <c r="S1253" s="518"/>
      <c r="T1253" s="518"/>
      <c r="U1253" s="518"/>
      <c r="V1253" s="518"/>
      <c r="W1253" s="518"/>
      <c r="X1253" s="808">
        <f>M1253</f>
        <v>42.54</v>
      </c>
      <c r="Y1253" s="809" t="str">
        <f>$M$3</f>
        <v>6673-2</v>
      </c>
      <c r="Z1253" s="609"/>
      <c r="AA1253" s="528"/>
      <c r="AB1253" s="528"/>
      <c r="AC1253" s="528"/>
      <c r="AD1253" s="528"/>
      <c r="AE1253" s="528"/>
      <c r="AF1253" s="528"/>
      <c r="AG1253" s="528"/>
      <c r="AH1253" s="528"/>
      <c r="AI1253" s="528"/>
      <c r="AJ1253" s="528"/>
      <c r="AK1253" s="528"/>
      <c r="AL1253" s="528"/>
      <c r="AM1253" s="528"/>
      <c r="AN1253" s="528"/>
    </row>
    <row r="1254" spans="1:40" ht="15.75" customHeight="1">
      <c r="A1254" s="683">
        <v>45541</v>
      </c>
      <c r="B1254" s="616"/>
      <c r="C1254" s="685" t="s">
        <v>595</v>
      </c>
      <c r="D1254" s="608"/>
      <c r="E1254" s="518"/>
      <c r="F1254" s="518"/>
      <c r="G1254" s="518"/>
      <c r="H1254" s="518"/>
      <c r="I1254" s="518"/>
      <c r="J1254" s="518"/>
      <c r="K1254" s="518">
        <v>30.39</v>
      </c>
      <c r="L1254" s="518"/>
      <c r="M1254" s="518"/>
      <c r="N1254" s="518"/>
      <c r="O1254" s="518"/>
      <c r="P1254" s="518"/>
      <c r="Q1254" s="518"/>
      <c r="R1254" s="518"/>
      <c r="S1254" s="518"/>
      <c r="T1254" s="518"/>
      <c r="U1254" s="518"/>
      <c r="V1254" s="518"/>
      <c r="W1254" s="518"/>
      <c r="X1254" s="1033">
        <f>K1254</f>
        <v>30.39</v>
      </c>
      <c r="Y1254" s="809" t="str">
        <f>$K$3</f>
        <v>6495-1</v>
      </c>
      <c r="Z1254" s="609"/>
      <c r="AA1254" s="528"/>
      <c r="AB1254" s="528"/>
      <c r="AC1254" s="528"/>
      <c r="AD1254" s="528"/>
      <c r="AE1254" s="528"/>
      <c r="AF1254" s="528"/>
      <c r="AG1254" s="528"/>
      <c r="AH1254" s="528"/>
      <c r="AI1254" s="528"/>
      <c r="AJ1254" s="528"/>
      <c r="AK1254" s="528"/>
      <c r="AL1254" s="528"/>
      <c r="AM1254" s="528"/>
      <c r="AN1254" s="528"/>
    </row>
    <row r="1255" spans="1:40" ht="15.75" customHeight="1">
      <c r="A1255" s="683">
        <v>45544</v>
      </c>
      <c r="B1255" s="616"/>
      <c r="C1255" s="685" t="s">
        <v>596</v>
      </c>
      <c r="D1255" s="608"/>
      <c r="E1255" s="518"/>
      <c r="F1255" s="518"/>
      <c r="G1255" s="518"/>
      <c r="H1255" s="518"/>
      <c r="I1255" s="518"/>
      <c r="J1255" s="518"/>
      <c r="K1255" s="518"/>
      <c r="L1255" s="518"/>
      <c r="M1255" s="518"/>
      <c r="N1255" s="518"/>
      <c r="O1255" s="518"/>
      <c r="P1255" s="518"/>
      <c r="Q1255" s="518">
        <v>184.42</v>
      </c>
      <c r="R1255" s="518"/>
      <c r="S1255" s="518"/>
      <c r="T1255" s="518"/>
      <c r="U1255" s="518"/>
      <c r="V1255" s="518"/>
      <c r="W1255" s="518"/>
      <c r="X1255" s="808">
        <f t="shared" ref="X1255" si="11">Q1255</f>
        <v>184.42</v>
      </c>
      <c r="Y1255" s="809" t="str">
        <f t="shared" ref="Y1255" si="12">$Q$3</f>
        <v>6495-2</v>
      </c>
      <c r="Z1255" s="609"/>
      <c r="AA1255" s="528"/>
      <c r="AB1255" s="528"/>
      <c r="AC1255" s="528"/>
      <c r="AD1255" s="528"/>
      <c r="AE1255" s="528"/>
      <c r="AF1255" s="528"/>
      <c r="AG1255" s="528"/>
      <c r="AH1255" s="528"/>
      <c r="AI1255" s="528"/>
      <c r="AJ1255" s="528"/>
      <c r="AK1255" s="528"/>
      <c r="AL1255" s="528"/>
      <c r="AM1255" s="528"/>
      <c r="AN1255" s="528"/>
    </row>
    <row r="1256" spans="1:40" ht="15.75" customHeight="1">
      <c r="A1256" s="683">
        <v>45548</v>
      </c>
      <c r="B1256" s="616"/>
      <c r="C1256" s="685" t="s">
        <v>597</v>
      </c>
      <c r="D1256" s="608"/>
      <c r="E1256" s="518"/>
      <c r="F1256" s="518"/>
      <c r="G1256" s="518"/>
      <c r="H1256" s="518"/>
      <c r="I1256" s="518"/>
      <c r="J1256" s="518"/>
      <c r="K1256" s="518"/>
      <c r="L1256" s="518"/>
      <c r="M1256" s="518">
        <v>10.130000000000001</v>
      </c>
      <c r="N1256" s="518"/>
      <c r="O1256" s="518"/>
      <c r="P1256" s="518"/>
      <c r="Q1256" s="518"/>
      <c r="R1256" s="518"/>
      <c r="S1256" s="518"/>
      <c r="T1256" s="518"/>
      <c r="U1256" s="518"/>
      <c r="V1256" s="518"/>
      <c r="W1256" s="518"/>
      <c r="X1256" s="808">
        <f>M1256</f>
        <v>10.130000000000001</v>
      </c>
      <c r="Y1256" s="809" t="str">
        <f>$M$3</f>
        <v>6673-2</v>
      </c>
      <c r="Z1256" s="609"/>
      <c r="AA1256" s="616"/>
      <c r="AB1256" s="616"/>
      <c r="AC1256" s="616"/>
      <c r="AD1256" s="616"/>
      <c r="AE1256" s="616"/>
      <c r="AF1256" s="616"/>
      <c r="AG1256" s="616"/>
      <c r="AH1256" s="616"/>
      <c r="AI1256" s="616"/>
      <c r="AJ1256" s="616"/>
      <c r="AK1256" s="616"/>
      <c r="AL1256" s="616"/>
      <c r="AM1256" s="616"/>
      <c r="AN1256" s="616"/>
    </row>
    <row r="1257" spans="1:40" ht="15.75" customHeight="1">
      <c r="A1257" s="683">
        <v>45553</v>
      </c>
      <c r="B1257" s="616"/>
      <c r="C1257" s="685" t="s">
        <v>598</v>
      </c>
      <c r="D1257" s="608"/>
      <c r="E1257" s="518"/>
      <c r="F1257" s="518"/>
      <c r="G1257" s="518"/>
      <c r="H1257" s="518"/>
      <c r="I1257" s="518"/>
      <c r="J1257" s="518"/>
      <c r="K1257" s="518"/>
      <c r="L1257" s="518">
        <v>369.17</v>
      </c>
      <c r="M1257" s="518"/>
      <c r="N1257" s="518"/>
      <c r="O1257" s="518"/>
      <c r="P1257" s="518"/>
      <c r="Q1257" s="518"/>
      <c r="R1257" s="518"/>
      <c r="S1257" s="518"/>
      <c r="T1257" s="518"/>
      <c r="U1257" s="518"/>
      <c r="V1257" s="518"/>
      <c r="W1257" s="518"/>
      <c r="X1257" s="1033">
        <f>L1257</f>
        <v>369.17</v>
      </c>
      <c r="Y1257" s="809" t="str">
        <f>$L$3</f>
        <v>6673-1</v>
      </c>
      <c r="Z1257" s="609"/>
      <c r="AA1257" s="616"/>
      <c r="AB1257" s="616"/>
      <c r="AC1257" s="616"/>
      <c r="AD1257" s="616"/>
      <c r="AE1257" s="616"/>
      <c r="AF1257" s="616"/>
      <c r="AG1257" s="616"/>
      <c r="AH1257" s="616"/>
      <c r="AI1257" s="616"/>
      <c r="AJ1257" s="616"/>
      <c r="AK1257" s="616"/>
      <c r="AL1257" s="616"/>
      <c r="AM1257" s="616"/>
      <c r="AN1257" s="616"/>
    </row>
    <row r="1258" spans="1:40" ht="15.75" customHeight="1">
      <c r="A1258" s="683">
        <v>45554</v>
      </c>
      <c r="B1258" s="616"/>
      <c r="C1258" s="685" t="s">
        <v>597</v>
      </c>
      <c r="D1258" s="608"/>
      <c r="E1258" s="518"/>
      <c r="F1258" s="518"/>
      <c r="G1258" s="518"/>
      <c r="H1258" s="518"/>
      <c r="I1258" s="518"/>
      <c r="J1258" s="518"/>
      <c r="K1258" s="518"/>
      <c r="L1258" s="518"/>
      <c r="M1258" s="518">
        <v>28.98</v>
      </c>
      <c r="N1258" s="518"/>
      <c r="O1258" s="518"/>
      <c r="P1258" s="518"/>
      <c r="Q1258" s="518"/>
      <c r="R1258" s="518"/>
      <c r="S1258" s="518"/>
      <c r="T1258" s="518"/>
      <c r="U1258" s="518"/>
      <c r="V1258" s="518"/>
      <c r="W1258" s="518"/>
      <c r="X1258" s="808">
        <f>M1258</f>
        <v>28.98</v>
      </c>
      <c r="Y1258" s="809" t="str">
        <f>$M$3</f>
        <v>6673-2</v>
      </c>
      <c r="Z1258" s="609"/>
      <c r="AA1258" s="616"/>
      <c r="AB1258" s="616"/>
      <c r="AC1258" s="616"/>
      <c r="AD1258" s="616"/>
      <c r="AE1258" s="616"/>
      <c r="AF1258" s="616"/>
      <c r="AG1258" s="616"/>
      <c r="AH1258" s="616"/>
      <c r="AI1258" s="616"/>
      <c r="AJ1258" s="616"/>
      <c r="AK1258" s="616"/>
      <c r="AL1258" s="616"/>
      <c r="AM1258" s="616"/>
      <c r="AN1258" s="616"/>
    </row>
    <row r="1259" spans="1:40" ht="15.75" customHeight="1">
      <c r="A1259" s="683">
        <v>45555</v>
      </c>
      <c r="B1259" s="616"/>
      <c r="C1259" s="685" t="s">
        <v>597</v>
      </c>
      <c r="D1259" s="608"/>
      <c r="E1259" s="518"/>
      <c r="F1259" s="518"/>
      <c r="G1259" s="608"/>
      <c r="H1259" s="518"/>
      <c r="I1259" s="518"/>
      <c r="J1259" s="518"/>
      <c r="K1259" s="518"/>
      <c r="L1259" s="518"/>
      <c r="M1259" s="518">
        <v>29.82</v>
      </c>
      <c r="N1259" s="518"/>
      <c r="O1259" s="518"/>
      <c r="P1259" s="518"/>
      <c r="Q1259" s="518"/>
      <c r="R1259" s="518"/>
      <c r="S1259" s="518"/>
      <c r="T1259" s="518"/>
      <c r="U1259" s="518"/>
      <c r="V1259" s="518"/>
      <c r="W1259" s="518"/>
      <c r="X1259" s="808">
        <f>M1259</f>
        <v>29.82</v>
      </c>
      <c r="Y1259" s="809" t="str">
        <f>$M$3</f>
        <v>6673-2</v>
      </c>
      <c r="Z1259" s="609"/>
      <c r="AA1259" s="616"/>
      <c r="AB1259" s="616"/>
      <c r="AC1259" s="616"/>
      <c r="AD1259" s="616"/>
      <c r="AE1259" s="616"/>
      <c r="AF1259" s="616"/>
      <c r="AG1259" s="616"/>
      <c r="AH1259" s="616"/>
      <c r="AI1259" s="616"/>
      <c r="AJ1259" s="616"/>
      <c r="AK1259" s="616"/>
      <c r="AL1259" s="616"/>
      <c r="AM1259" s="616"/>
      <c r="AN1259" s="616"/>
    </row>
    <row r="1260" spans="1:40" ht="15.75" customHeight="1">
      <c r="A1260" s="683">
        <v>45556</v>
      </c>
      <c r="B1260" s="616"/>
      <c r="C1260" s="685" t="s">
        <v>599</v>
      </c>
      <c r="D1260" s="608"/>
      <c r="E1260" s="518"/>
      <c r="F1260" s="518"/>
      <c r="G1260" s="608"/>
      <c r="H1260" s="518"/>
      <c r="I1260" s="518"/>
      <c r="J1260" s="518"/>
      <c r="K1260" s="518"/>
      <c r="L1260" s="518"/>
      <c r="M1260" s="518">
        <v>5</v>
      </c>
      <c r="N1260" s="518"/>
      <c r="O1260" s="518"/>
      <c r="P1260" s="518"/>
      <c r="Q1260" s="518"/>
      <c r="R1260" s="518"/>
      <c r="S1260" s="518"/>
      <c r="T1260" s="518"/>
      <c r="U1260" s="518"/>
      <c r="V1260" s="518"/>
      <c r="W1260" s="518"/>
      <c r="X1260" s="808">
        <f>M1260</f>
        <v>5</v>
      </c>
      <c r="Y1260" s="809" t="str">
        <f>$M$3</f>
        <v>6673-2</v>
      </c>
      <c r="Z1260" s="609"/>
      <c r="AA1260" s="616"/>
      <c r="AB1260" s="616"/>
      <c r="AC1260" s="616"/>
      <c r="AD1260" s="616"/>
      <c r="AE1260" s="616"/>
      <c r="AF1260" s="616"/>
      <c r="AG1260" s="616"/>
      <c r="AH1260" s="616"/>
      <c r="AI1260" s="616"/>
      <c r="AJ1260" s="616"/>
      <c r="AK1260" s="616"/>
      <c r="AL1260" s="616"/>
      <c r="AM1260" s="616"/>
      <c r="AN1260" s="616"/>
    </row>
    <row r="1261" spans="1:40" ht="15.75" customHeight="1">
      <c r="A1261" s="683">
        <v>45556</v>
      </c>
      <c r="B1261" s="616"/>
      <c r="C1261" s="685" t="s">
        <v>600</v>
      </c>
      <c r="D1261" s="608"/>
      <c r="E1261" s="518"/>
      <c r="F1261" s="518"/>
      <c r="G1261" s="608"/>
      <c r="H1261" s="518"/>
      <c r="I1261" s="518"/>
      <c r="J1261" s="518"/>
      <c r="K1261" s="518"/>
      <c r="L1261" s="518"/>
      <c r="M1261" s="518">
        <v>79.94</v>
      </c>
      <c r="N1261" s="518"/>
      <c r="O1261" s="518"/>
      <c r="P1261" s="518"/>
      <c r="Q1261" s="518"/>
      <c r="R1261" s="518"/>
      <c r="S1261" s="518"/>
      <c r="T1261" s="518"/>
      <c r="U1261" s="518"/>
      <c r="V1261" s="518"/>
      <c r="W1261" s="518"/>
      <c r="X1261" s="808">
        <f>M1261</f>
        <v>79.94</v>
      </c>
      <c r="Y1261" s="809" t="str">
        <f>$M$3</f>
        <v>6673-2</v>
      </c>
      <c r="Z1261" s="609"/>
      <c r="AA1261" s="616"/>
      <c r="AB1261" s="616"/>
      <c r="AC1261" s="616"/>
      <c r="AD1261" s="616"/>
      <c r="AE1261" s="616"/>
      <c r="AF1261" s="616"/>
      <c r="AG1261" s="616"/>
      <c r="AH1261" s="616"/>
      <c r="AI1261" s="616"/>
      <c r="AJ1261" s="616"/>
      <c r="AK1261" s="616"/>
      <c r="AL1261" s="616"/>
      <c r="AM1261" s="616"/>
      <c r="AN1261" s="616"/>
    </row>
    <row r="1262" spans="1:40" ht="15.75" customHeight="1">
      <c r="A1262" s="683">
        <v>45558</v>
      </c>
      <c r="B1262" s="616"/>
      <c r="C1262" s="685" t="s">
        <v>601</v>
      </c>
      <c r="D1262" s="608"/>
      <c r="E1262" s="518"/>
      <c r="F1262" s="518">
        <v>950</v>
      </c>
      <c r="G1262" s="608"/>
      <c r="H1262" s="518"/>
      <c r="I1262" s="518"/>
      <c r="J1262" s="518"/>
      <c r="K1262" s="518"/>
      <c r="L1262" s="518"/>
      <c r="M1262" s="518"/>
      <c r="N1262" s="518"/>
      <c r="O1262" s="518"/>
      <c r="P1262" s="518"/>
      <c r="Q1262" s="518"/>
      <c r="R1262" s="518"/>
      <c r="S1262" s="518"/>
      <c r="T1262" s="518"/>
      <c r="U1262" s="518"/>
      <c r="V1262" s="518"/>
      <c r="W1262" s="518"/>
      <c r="X1262" s="808"/>
      <c r="Y1262" s="809"/>
      <c r="Z1262" s="609"/>
      <c r="AA1262" s="616"/>
      <c r="AB1262" s="616"/>
      <c r="AC1262" s="616"/>
      <c r="AD1262" s="616"/>
      <c r="AE1262" s="616"/>
      <c r="AF1262" s="616"/>
      <c r="AG1262" s="616"/>
      <c r="AH1262" s="616"/>
      <c r="AI1262" s="616"/>
      <c r="AJ1262" s="616"/>
      <c r="AK1262" s="616"/>
      <c r="AL1262" s="616"/>
      <c r="AM1262" s="616"/>
      <c r="AN1262" s="616"/>
    </row>
    <row r="1263" spans="1:40" ht="15.75" customHeight="1">
      <c r="A1263" s="683">
        <v>45560</v>
      </c>
      <c r="B1263" s="616"/>
      <c r="C1263" s="685" t="s">
        <v>602</v>
      </c>
      <c r="D1263" s="608"/>
      <c r="E1263" s="518"/>
      <c r="F1263" s="518"/>
      <c r="G1263" s="608"/>
      <c r="H1263" s="518"/>
      <c r="I1263" s="518"/>
      <c r="J1263" s="518"/>
      <c r="K1263" s="518"/>
      <c r="L1263" s="518"/>
      <c r="M1263" s="518"/>
      <c r="N1263" s="518"/>
      <c r="O1263" s="518">
        <v>241.41</v>
      </c>
      <c r="P1263" s="518"/>
      <c r="Q1263" s="518"/>
      <c r="R1263" s="518"/>
      <c r="S1263" s="518"/>
      <c r="T1263" s="518"/>
      <c r="U1263" s="518"/>
      <c r="V1263" s="518"/>
      <c r="W1263" s="518"/>
      <c r="X1263" s="1033">
        <f>O1263</f>
        <v>241.41</v>
      </c>
      <c r="Y1263" s="809">
        <f>$O$3</f>
        <v>6530</v>
      </c>
      <c r="Z1263" s="609"/>
      <c r="AA1263" s="616"/>
      <c r="AB1263" s="616"/>
      <c r="AC1263" s="616"/>
      <c r="AD1263" s="616"/>
      <c r="AE1263" s="616"/>
      <c r="AF1263" s="616"/>
      <c r="AG1263" s="616"/>
      <c r="AH1263" s="616"/>
      <c r="AI1263" s="616"/>
      <c r="AJ1263" s="616"/>
      <c r="AK1263" s="616"/>
      <c r="AL1263" s="616"/>
      <c r="AM1263" s="616"/>
      <c r="AN1263" s="616"/>
    </row>
    <row r="1264" spans="1:40" ht="15.75" customHeight="1">
      <c r="A1264" s="683">
        <v>45562</v>
      </c>
      <c r="B1264" s="616" t="s">
        <v>603</v>
      </c>
      <c r="C1264" s="685" t="s">
        <v>604</v>
      </c>
      <c r="D1264" s="608">
        <v>1734</v>
      </c>
      <c r="E1264" s="518"/>
      <c r="F1264" s="518"/>
      <c r="G1264" s="518"/>
      <c r="H1264" s="518"/>
      <c r="I1264" s="518"/>
      <c r="J1264" s="518"/>
      <c r="K1264" s="518"/>
      <c r="L1264" s="518"/>
      <c r="M1264" s="518"/>
      <c r="N1264" s="518"/>
      <c r="O1264" s="518"/>
      <c r="P1264" s="518"/>
      <c r="Q1264" s="518"/>
      <c r="R1264" s="518"/>
      <c r="S1264" s="518"/>
      <c r="T1264" s="518"/>
      <c r="U1264" s="518"/>
      <c r="V1264" s="518"/>
      <c r="W1264" s="518"/>
      <c r="X1264" s="1034">
        <f>D1264</f>
        <v>1734</v>
      </c>
      <c r="Y1264" s="809" t="s">
        <v>2300</v>
      </c>
      <c r="Z1264" s="609"/>
      <c r="AA1264" s="528"/>
      <c r="AB1264" s="528"/>
      <c r="AC1264" s="528"/>
      <c r="AD1264" s="528"/>
      <c r="AE1264" s="528"/>
      <c r="AF1264" s="528"/>
      <c r="AG1264" s="528"/>
      <c r="AH1264" s="528"/>
      <c r="AI1264" s="528"/>
      <c r="AJ1264" s="528"/>
      <c r="AK1264" s="528"/>
      <c r="AL1264" s="528"/>
      <c r="AM1264" s="528"/>
      <c r="AN1264" s="528"/>
    </row>
    <row r="1265" spans="1:40" ht="15.75" customHeight="1" thickBot="1">
      <c r="A1265" s="683">
        <v>45565</v>
      </c>
      <c r="B1265" s="616"/>
      <c r="C1265" s="685" t="s">
        <v>591</v>
      </c>
      <c r="D1265" s="608"/>
      <c r="E1265" s="518"/>
      <c r="F1265" s="518"/>
      <c r="G1265" s="518"/>
      <c r="H1265" s="518"/>
      <c r="I1265" s="518"/>
      <c r="J1265" s="518"/>
      <c r="K1265" s="518"/>
      <c r="L1265" s="518"/>
      <c r="M1265" s="518"/>
      <c r="N1265" s="518"/>
      <c r="O1265" s="518"/>
      <c r="P1265" s="518"/>
      <c r="Q1265" s="518"/>
      <c r="R1265" s="518"/>
      <c r="S1265" s="518"/>
      <c r="T1265" s="518"/>
      <c r="U1265" s="518"/>
      <c r="V1265" s="518"/>
      <c r="W1265" s="518"/>
      <c r="X1265" s="808"/>
      <c r="Y1265" s="809"/>
      <c r="Z1265" s="609"/>
    </row>
    <row r="1266" spans="1:40" ht="15.75" customHeight="1" thickTop="1">
      <c r="A1266" s="627"/>
      <c r="B1266" s="655">
        <v>45566</v>
      </c>
      <c r="C1266" s="627"/>
      <c r="D1266" s="602"/>
      <c r="E1266" s="602"/>
      <c r="F1266" s="602"/>
      <c r="G1266" s="602"/>
      <c r="H1266" s="602"/>
      <c r="I1266" s="602"/>
      <c r="J1266" s="602"/>
      <c r="K1266" s="602"/>
      <c r="L1266" s="602"/>
      <c r="M1266" s="602"/>
      <c r="N1266" s="602"/>
      <c r="O1266" s="602"/>
      <c r="P1266" s="602"/>
      <c r="Q1266" s="602"/>
      <c r="R1266" s="602"/>
      <c r="S1266" s="602"/>
      <c r="T1266" s="602"/>
      <c r="U1266" s="602"/>
      <c r="V1266" s="602"/>
      <c r="W1266" s="602"/>
      <c r="X1266" s="808"/>
      <c r="Y1266" s="809"/>
      <c r="Z1266" s="602"/>
      <c r="AA1266" s="604"/>
      <c r="AB1266" s="604"/>
      <c r="AC1266" s="604"/>
      <c r="AD1266" s="604"/>
      <c r="AE1266" s="604"/>
      <c r="AF1266" s="604"/>
      <c r="AG1266" s="604"/>
      <c r="AH1266" s="604"/>
      <c r="AI1266" s="604"/>
      <c r="AJ1266" s="604"/>
      <c r="AK1266" s="604"/>
      <c r="AL1266" s="604"/>
      <c r="AM1266" s="604"/>
      <c r="AN1266" s="604"/>
    </row>
    <row r="1267" spans="1:40" ht="15.75" customHeight="1">
      <c r="A1267" s="683"/>
      <c r="B1267" s="690"/>
      <c r="C1267" s="629"/>
      <c r="D1267" s="608"/>
      <c r="E1267" s="518"/>
      <c r="F1267" s="518"/>
      <c r="G1267" s="518"/>
      <c r="H1267" s="518"/>
      <c r="I1267" s="518"/>
      <c r="J1267" s="518"/>
      <c r="K1267" s="518"/>
      <c r="L1267" s="518"/>
      <c r="M1267" s="518"/>
      <c r="N1267" s="518"/>
      <c r="O1267" s="518"/>
      <c r="P1267" s="518"/>
      <c r="Q1267" s="518"/>
      <c r="R1267" s="518"/>
      <c r="S1267" s="518"/>
      <c r="T1267" s="518"/>
      <c r="U1267" s="518"/>
      <c r="V1267" s="518"/>
      <c r="W1267" s="518"/>
      <c r="X1267" s="808"/>
      <c r="Y1267" s="809"/>
      <c r="Z1267" s="609"/>
      <c r="AA1267" s="604"/>
      <c r="AB1267" s="604"/>
      <c r="AC1267" s="604"/>
      <c r="AD1267" s="604"/>
      <c r="AE1267" s="604"/>
      <c r="AF1267" s="604"/>
      <c r="AG1267" s="604"/>
      <c r="AH1267" s="604"/>
      <c r="AI1267" s="604"/>
      <c r="AJ1267" s="604"/>
      <c r="AK1267" s="604"/>
      <c r="AL1267" s="604"/>
      <c r="AM1267" s="604"/>
      <c r="AN1267" s="604"/>
    </row>
    <row r="1268" spans="1:40" ht="15.75" customHeight="1">
      <c r="A1268" s="683">
        <v>45566</v>
      </c>
      <c r="B1268" s="663"/>
      <c r="C1268" s="611" t="s">
        <v>62</v>
      </c>
      <c r="D1268" s="608"/>
      <c r="E1268" s="518"/>
      <c r="F1268" s="518"/>
      <c r="G1268" s="518"/>
      <c r="H1268" s="518"/>
      <c r="I1268" s="518"/>
      <c r="J1268" s="518"/>
      <c r="K1268" s="518"/>
      <c r="L1268" s="518"/>
      <c r="M1268" s="518"/>
      <c r="N1268" s="518"/>
      <c r="O1268" s="518"/>
      <c r="P1268" s="518"/>
      <c r="Q1268" s="518"/>
      <c r="R1268" s="518"/>
      <c r="S1268" s="518"/>
      <c r="T1268" s="518"/>
      <c r="U1268" s="518"/>
      <c r="V1268" s="518">
        <v>1036.55</v>
      </c>
      <c r="W1268" s="518"/>
      <c r="X1268" s="808"/>
      <c r="Y1268" s="809"/>
      <c r="Z1268" s="609"/>
      <c r="AA1268" s="604"/>
      <c r="AB1268" s="604"/>
      <c r="AC1268" s="604"/>
      <c r="AD1268" s="604"/>
      <c r="AE1268" s="604"/>
      <c r="AF1268" s="604"/>
      <c r="AG1268" s="604"/>
      <c r="AH1268" s="604"/>
      <c r="AI1268" s="604"/>
      <c r="AJ1268" s="604"/>
      <c r="AK1268" s="604"/>
      <c r="AL1268" s="604"/>
      <c r="AM1268" s="604"/>
      <c r="AN1268" s="604"/>
    </row>
    <row r="1269" spans="1:40" ht="15.75" customHeight="1">
      <c r="A1269" s="683">
        <v>45566</v>
      </c>
      <c r="B1269" s="612"/>
      <c r="C1269" s="611" t="s">
        <v>63</v>
      </c>
      <c r="D1269" s="608"/>
      <c r="E1269" s="518"/>
      <c r="F1269" s="518"/>
      <c r="G1269" s="518"/>
      <c r="H1269" s="518"/>
      <c r="I1269" s="518"/>
      <c r="J1269" s="518"/>
      <c r="K1269" s="518"/>
      <c r="L1269" s="518"/>
      <c r="M1269" s="518"/>
      <c r="N1269" s="518"/>
      <c r="O1269" s="518"/>
      <c r="P1269" s="518"/>
      <c r="Q1269" s="518"/>
      <c r="R1269" s="518"/>
      <c r="S1269" s="518"/>
      <c r="T1269" s="518">
        <v>277.60000000000002</v>
      </c>
      <c r="U1269" s="518"/>
      <c r="V1269" s="518"/>
      <c r="W1269" s="518"/>
      <c r="X1269" s="808">
        <f>T1269</f>
        <v>277.60000000000002</v>
      </c>
      <c r="Y1269" s="809">
        <f>$T$3</f>
        <v>2300</v>
      </c>
      <c r="Z1269" s="609"/>
      <c r="AA1269" s="604"/>
      <c r="AB1269" s="604"/>
      <c r="AC1269" s="604"/>
      <c r="AD1269" s="604"/>
      <c r="AE1269" s="604"/>
      <c r="AF1269" s="604"/>
      <c r="AG1269" s="604"/>
      <c r="AH1269" s="604"/>
      <c r="AI1269" s="604"/>
      <c r="AJ1269" s="604"/>
      <c r="AK1269" s="604"/>
      <c r="AL1269" s="604"/>
      <c r="AM1269" s="604"/>
      <c r="AN1269" s="604"/>
    </row>
    <row r="1270" spans="1:40" ht="15.75" customHeight="1">
      <c r="A1270" s="683">
        <v>45566</v>
      </c>
      <c r="B1270" s="615"/>
      <c r="C1270" s="614" t="s">
        <v>421</v>
      </c>
      <c r="D1270" s="608"/>
      <c r="E1270" s="518"/>
      <c r="F1270" s="518"/>
      <c r="G1270" s="518"/>
      <c r="H1270" s="518"/>
      <c r="I1270" s="518"/>
      <c r="J1270" s="518"/>
      <c r="K1270" s="518"/>
      <c r="L1270" s="518"/>
      <c r="M1270" s="518">
        <v>49</v>
      </c>
      <c r="N1270" s="518"/>
      <c r="O1270" s="518"/>
      <c r="P1270" s="518"/>
      <c r="Q1270" s="518"/>
      <c r="R1270" s="518"/>
      <c r="S1270" s="518"/>
      <c r="T1270" s="518"/>
      <c r="U1270" s="518"/>
      <c r="V1270" s="518"/>
      <c r="W1270" s="518"/>
      <c r="X1270" s="808">
        <f>M1270</f>
        <v>49</v>
      </c>
      <c r="Y1270" s="809" t="str">
        <f>$M$3</f>
        <v>6673-2</v>
      </c>
      <c r="Z1270" s="609"/>
      <c r="AA1270" s="604"/>
      <c r="AB1270" s="604"/>
      <c r="AC1270" s="604"/>
      <c r="AD1270" s="604"/>
      <c r="AE1270" s="604"/>
      <c r="AF1270" s="604"/>
      <c r="AG1270" s="604"/>
      <c r="AH1270" s="604"/>
      <c r="AI1270" s="604"/>
      <c r="AJ1270" s="604"/>
      <c r="AK1270" s="604"/>
      <c r="AL1270" s="604"/>
      <c r="AM1270" s="604"/>
      <c r="AN1270" s="604"/>
    </row>
    <row r="1271" spans="1:40" ht="15.75" customHeight="1">
      <c r="A1271" s="683">
        <v>45567</v>
      </c>
      <c r="B1271" s="672">
        <f>'Conversion rates'!B37</f>
        <v>1.197182</v>
      </c>
      <c r="C1271" s="611" t="s">
        <v>276</v>
      </c>
      <c r="D1271" s="608"/>
      <c r="E1271" s="518"/>
      <c r="F1271" s="518"/>
      <c r="G1271" s="518"/>
      <c r="H1271" s="518"/>
      <c r="I1271" s="518"/>
      <c r="J1271" s="518"/>
      <c r="K1271" s="518"/>
      <c r="L1271" s="518"/>
      <c r="M1271" s="518"/>
      <c r="N1271" s="518"/>
      <c r="O1271" s="518"/>
      <c r="P1271" s="518"/>
      <c r="Q1271" s="518"/>
      <c r="R1271" s="518"/>
      <c r="S1271" s="518"/>
      <c r="T1271" s="518">
        <v>80</v>
      </c>
      <c r="U1271" s="518"/>
      <c r="V1271" s="518"/>
      <c r="W1271" s="518"/>
      <c r="X1271" s="808">
        <f>T1271</f>
        <v>80</v>
      </c>
      <c r="Y1271" s="809">
        <f>$T$3</f>
        <v>2300</v>
      </c>
      <c r="Z1271" s="609"/>
      <c r="AA1271" s="604"/>
      <c r="AB1271" s="604"/>
      <c r="AC1271" s="604"/>
      <c r="AD1271" s="604"/>
      <c r="AE1271" s="604"/>
      <c r="AF1271" s="604"/>
      <c r="AG1271" s="604"/>
      <c r="AH1271" s="604"/>
      <c r="AI1271" s="604"/>
      <c r="AJ1271" s="604"/>
      <c r="AK1271" s="604"/>
      <c r="AL1271" s="604"/>
      <c r="AM1271" s="604"/>
      <c r="AN1271" s="604"/>
    </row>
    <row r="1272" spans="1:40" ht="15.75" customHeight="1">
      <c r="A1272" s="683">
        <v>45567</v>
      </c>
      <c r="B1272" s="612" t="s">
        <v>310</v>
      </c>
      <c r="C1272" s="614" t="s">
        <v>605</v>
      </c>
      <c r="D1272" s="608"/>
      <c r="E1272" s="518"/>
      <c r="F1272" s="518"/>
      <c r="G1272" s="518"/>
      <c r="H1272" s="518"/>
      <c r="I1272" s="518"/>
      <c r="J1272" s="518"/>
      <c r="K1272" s="518"/>
      <c r="L1272" s="518"/>
      <c r="M1272" s="616"/>
      <c r="N1272" s="518">
        <f>800*B1271</f>
        <v>957.74559999999997</v>
      </c>
      <c r="O1272" s="518"/>
      <c r="P1272" s="518"/>
      <c r="Q1272" s="518"/>
      <c r="R1272" s="518"/>
      <c r="S1272" s="518"/>
      <c r="T1272" s="518"/>
      <c r="U1272" s="518"/>
      <c r="V1272" s="518"/>
      <c r="W1272" s="518"/>
      <c r="X1272" s="808">
        <f>N1272</f>
        <v>957.74559999999997</v>
      </c>
      <c r="Y1272" s="809">
        <f>$N$3</f>
        <v>6680</v>
      </c>
      <c r="Z1272" s="609"/>
      <c r="AA1272" s="604"/>
      <c r="AB1272" s="604"/>
      <c r="AC1272" s="604"/>
      <c r="AD1272" s="604"/>
      <c r="AE1272" s="604"/>
      <c r="AF1272" s="604"/>
      <c r="AG1272" s="604"/>
      <c r="AH1272" s="604"/>
      <c r="AI1272" s="604"/>
      <c r="AJ1272" s="604"/>
      <c r="AK1272" s="604"/>
      <c r="AL1272" s="604"/>
      <c r="AM1272" s="604"/>
      <c r="AN1272" s="604"/>
    </row>
    <row r="1273" spans="1:40" ht="15.75" customHeight="1">
      <c r="A1273" s="683">
        <v>45572</v>
      </c>
      <c r="B1273" s="612"/>
      <c r="C1273" s="611" t="s">
        <v>320</v>
      </c>
      <c r="D1273" s="608"/>
      <c r="E1273" s="518"/>
      <c r="F1273" s="518"/>
      <c r="G1273" s="608"/>
      <c r="H1273" s="518"/>
      <c r="I1273" s="518"/>
      <c r="J1273" s="518"/>
      <c r="K1273" s="518">
        <v>36.619999999999997</v>
      </c>
      <c r="L1273" s="518"/>
      <c r="M1273" s="518"/>
      <c r="N1273" s="518"/>
      <c r="O1273" s="518"/>
      <c r="P1273" s="518"/>
      <c r="Q1273" s="518"/>
      <c r="R1273" s="518"/>
      <c r="S1273" s="518"/>
      <c r="T1273" s="518"/>
      <c r="U1273" s="518"/>
      <c r="V1273" s="518"/>
      <c r="W1273" s="518"/>
      <c r="X1273" s="1033">
        <f>K1273</f>
        <v>36.619999999999997</v>
      </c>
      <c r="Y1273" s="809" t="str">
        <f>$K$3</f>
        <v>6495-1</v>
      </c>
      <c r="Z1273" s="609"/>
      <c r="AA1273" s="604"/>
      <c r="AB1273" s="604"/>
      <c r="AC1273" s="604"/>
      <c r="AD1273" s="604"/>
      <c r="AE1273" s="604"/>
      <c r="AF1273" s="604"/>
      <c r="AG1273" s="604"/>
      <c r="AH1273" s="604"/>
      <c r="AI1273" s="604"/>
      <c r="AJ1273" s="604"/>
      <c r="AK1273" s="604"/>
      <c r="AL1273" s="604"/>
      <c r="AM1273" s="604"/>
      <c r="AN1273" s="604"/>
    </row>
    <row r="1274" spans="1:40" ht="15.75" customHeight="1">
      <c r="A1274" s="683">
        <v>45579</v>
      </c>
      <c r="B1274" s="612"/>
      <c r="C1274" s="611" t="s">
        <v>194</v>
      </c>
      <c r="D1274" s="608"/>
      <c r="E1274" s="518"/>
      <c r="F1274" s="518"/>
      <c r="G1274" s="608"/>
      <c r="H1274" s="518"/>
      <c r="I1274" s="518"/>
      <c r="J1274" s="518"/>
      <c r="K1274" s="518"/>
      <c r="L1274" s="518"/>
      <c r="M1274" s="518"/>
      <c r="N1274" s="518"/>
      <c r="O1274" s="518"/>
      <c r="P1274" s="518"/>
      <c r="Q1274" s="518"/>
      <c r="R1274" s="518"/>
      <c r="S1274" s="518">
        <v>11.5</v>
      </c>
      <c r="T1274" s="518"/>
      <c r="U1274" s="518"/>
      <c r="V1274" s="518"/>
      <c r="W1274" s="518"/>
      <c r="X1274" s="808">
        <f>S1274</f>
        <v>11.5</v>
      </c>
      <c r="Y1274" s="809">
        <f>$S$3</f>
        <v>6855</v>
      </c>
      <c r="Z1274" s="609"/>
      <c r="AA1274" s="604"/>
      <c r="AB1274" s="604"/>
      <c r="AC1274" s="604"/>
      <c r="AD1274" s="604"/>
      <c r="AE1274" s="604"/>
      <c r="AF1274" s="604"/>
      <c r="AG1274" s="604"/>
      <c r="AH1274" s="604"/>
      <c r="AI1274" s="604"/>
      <c r="AJ1274" s="604"/>
      <c r="AK1274" s="604"/>
      <c r="AL1274" s="604"/>
      <c r="AM1274" s="604"/>
      <c r="AN1274" s="604"/>
    </row>
    <row r="1275" spans="1:40" ht="15.75" customHeight="1">
      <c r="A1275" s="683">
        <v>45580</v>
      </c>
      <c r="B1275" s="612"/>
      <c r="C1275" s="611" t="s">
        <v>568</v>
      </c>
      <c r="D1275" s="608"/>
      <c r="E1275" s="518"/>
      <c r="F1275" s="518"/>
      <c r="G1275" s="608"/>
      <c r="H1275" s="518"/>
      <c r="I1275" s="518"/>
      <c r="J1275" s="518"/>
      <c r="K1275" s="518"/>
      <c r="L1275" s="518"/>
      <c r="M1275" s="518"/>
      <c r="N1275" s="518"/>
      <c r="O1275" s="518"/>
      <c r="P1275" s="518"/>
      <c r="Q1275" s="518"/>
      <c r="R1275" s="518"/>
      <c r="S1275" s="518"/>
      <c r="T1275" s="518">
        <v>18.36</v>
      </c>
      <c r="U1275" s="518"/>
      <c r="V1275" s="518"/>
      <c r="W1275" s="518"/>
      <c r="X1275" s="808">
        <f>T1275</f>
        <v>18.36</v>
      </c>
      <c r="Y1275" s="809">
        <f>$T$3</f>
        <v>2300</v>
      </c>
      <c r="Z1275" s="609"/>
      <c r="AA1275" s="604"/>
      <c r="AB1275" s="604"/>
      <c r="AC1275" s="604"/>
      <c r="AD1275" s="604"/>
      <c r="AE1275" s="604"/>
      <c r="AF1275" s="604"/>
      <c r="AG1275" s="604"/>
      <c r="AH1275" s="604"/>
      <c r="AI1275" s="604"/>
      <c r="AJ1275" s="604"/>
      <c r="AK1275" s="604"/>
      <c r="AL1275" s="604"/>
      <c r="AM1275" s="604"/>
      <c r="AN1275" s="604"/>
    </row>
    <row r="1276" spans="1:40" ht="15.75" customHeight="1">
      <c r="A1276" s="683">
        <v>45580</v>
      </c>
      <c r="B1276" s="615"/>
      <c r="C1276" s="611" t="s">
        <v>341</v>
      </c>
      <c r="D1276" s="608"/>
      <c r="E1276" s="518"/>
      <c r="F1276" s="518"/>
      <c r="G1276" s="608"/>
      <c r="H1276" s="518">
        <v>869.75</v>
      </c>
      <c r="I1276" s="518"/>
      <c r="J1276" s="518"/>
      <c r="K1276" s="518"/>
      <c r="L1276" s="518"/>
      <c r="M1276" s="518"/>
      <c r="N1276" s="518"/>
      <c r="O1276" s="518"/>
      <c r="P1276" s="518"/>
      <c r="Q1276" s="518"/>
      <c r="R1276" s="518"/>
      <c r="S1276" s="518"/>
      <c r="T1276" s="518"/>
      <c r="U1276" s="518"/>
      <c r="V1276" s="518"/>
      <c r="W1276" s="518"/>
      <c r="X1276" s="1033">
        <f>H1276</f>
        <v>869.75</v>
      </c>
      <c r="Y1276" s="809">
        <f>$H$3</f>
        <v>2200</v>
      </c>
      <c r="Z1276" s="609"/>
      <c r="AA1276" s="604"/>
      <c r="AB1276" s="604"/>
      <c r="AC1276" s="604"/>
      <c r="AD1276" s="604"/>
      <c r="AE1276" s="604"/>
      <c r="AF1276" s="604"/>
      <c r="AG1276" s="604"/>
      <c r="AH1276" s="604"/>
      <c r="AI1276" s="604"/>
      <c r="AJ1276" s="604"/>
      <c r="AK1276" s="604"/>
      <c r="AL1276" s="604"/>
      <c r="AM1276" s="604"/>
      <c r="AN1276" s="604"/>
    </row>
    <row r="1277" spans="1:40" ht="15.75" customHeight="1">
      <c r="A1277" s="683">
        <v>45581</v>
      </c>
      <c r="B1277" s="615"/>
      <c r="C1277" s="614" t="s">
        <v>508</v>
      </c>
      <c r="D1277" s="608"/>
      <c r="E1277" s="518"/>
      <c r="F1277" s="518"/>
      <c r="G1277" s="608"/>
      <c r="H1277" s="518"/>
      <c r="I1277" s="518"/>
      <c r="J1277" s="518"/>
      <c r="K1277" s="518">
        <v>5.39</v>
      </c>
      <c r="L1277" s="518"/>
      <c r="M1277" s="518"/>
      <c r="N1277" s="518"/>
      <c r="O1277" s="518"/>
      <c r="P1277" s="518"/>
      <c r="Q1277" s="518">
        <v>5.39</v>
      </c>
      <c r="R1277" s="518"/>
      <c r="S1277" s="518"/>
      <c r="T1277" s="518"/>
      <c r="U1277" s="518"/>
      <c r="V1277" s="518"/>
      <c r="W1277" s="518"/>
      <c r="X1277" s="808">
        <f t="shared" ref="X1277" si="13">Q1277</f>
        <v>5.39</v>
      </c>
      <c r="Y1277" s="809" t="str">
        <f t="shared" ref="Y1277" si="14">$Q$3</f>
        <v>6495-2</v>
      </c>
      <c r="Z1277" s="609"/>
      <c r="AA1277" s="604"/>
      <c r="AB1277" s="604"/>
      <c r="AC1277" s="604"/>
      <c r="AD1277" s="604"/>
      <c r="AE1277" s="604"/>
      <c r="AF1277" s="604"/>
      <c r="AG1277" s="604"/>
      <c r="AH1277" s="604"/>
      <c r="AI1277" s="604"/>
      <c r="AJ1277" s="604"/>
      <c r="AK1277" s="604"/>
      <c r="AL1277" s="604"/>
      <c r="AM1277" s="604"/>
      <c r="AN1277" s="604"/>
    </row>
    <row r="1278" spans="1:40" ht="18" customHeight="1">
      <c r="A1278" s="691">
        <v>45582</v>
      </c>
      <c r="B1278" s="613"/>
      <c r="C1278" s="611" t="s">
        <v>518</v>
      </c>
      <c r="D1278" s="608"/>
      <c r="E1278" s="518"/>
      <c r="F1278" s="518"/>
      <c r="G1278" s="608"/>
      <c r="H1278" s="518"/>
      <c r="I1278" s="518"/>
      <c r="J1278" s="518"/>
      <c r="K1278" s="518">
        <v>34.99</v>
      </c>
      <c r="L1278" s="518"/>
      <c r="M1278" s="518"/>
      <c r="N1278" s="518"/>
      <c r="O1278" s="518"/>
      <c r="P1278" s="518"/>
      <c r="Q1278" s="518"/>
      <c r="R1278" s="518"/>
      <c r="S1278" s="518"/>
      <c r="T1278" s="518"/>
      <c r="U1278" s="518"/>
      <c r="V1278" s="518"/>
      <c r="W1278" s="518"/>
      <c r="X1278" s="1033">
        <f>K1278</f>
        <v>34.99</v>
      </c>
      <c r="Y1278" s="809" t="str">
        <f>$K$3</f>
        <v>6495-1</v>
      </c>
      <c r="Z1278" s="609"/>
      <c r="AA1278" s="604"/>
      <c r="AB1278" s="604"/>
      <c r="AC1278" s="604"/>
      <c r="AD1278" s="604"/>
      <c r="AE1278" s="604"/>
      <c r="AF1278" s="604"/>
      <c r="AG1278" s="604"/>
      <c r="AH1278" s="604"/>
      <c r="AI1278" s="604"/>
      <c r="AJ1278" s="604"/>
      <c r="AK1278" s="604"/>
      <c r="AL1278" s="604"/>
      <c r="AM1278" s="604"/>
      <c r="AN1278" s="604"/>
    </row>
    <row r="1279" spans="1:40" ht="18" customHeight="1">
      <c r="A1279" s="691">
        <v>45582</v>
      </c>
      <c r="B1279" s="613"/>
      <c r="C1279" s="611" t="s">
        <v>78</v>
      </c>
      <c r="D1279" s="608"/>
      <c r="E1279" s="518"/>
      <c r="F1279" s="518"/>
      <c r="G1279" s="608"/>
      <c r="H1279" s="518"/>
      <c r="I1279" s="518"/>
      <c r="J1279" s="518">
        <v>19.98</v>
      </c>
      <c r="K1279" s="518"/>
      <c r="L1279" s="518"/>
      <c r="M1279" s="518"/>
      <c r="N1279" s="518"/>
      <c r="O1279" s="518"/>
      <c r="P1279" s="518"/>
      <c r="Q1279" s="518"/>
      <c r="R1279" s="518"/>
      <c r="S1279" s="518"/>
      <c r="T1279" s="518"/>
      <c r="U1279" s="518"/>
      <c r="V1279" s="518"/>
      <c r="W1279" s="518"/>
      <c r="X1279" s="1033">
        <f>J1279</f>
        <v>19.98</v>
      </c>
      <c r="Y1279" s="809">
        <f>$J$3</f>
        <v>6805</v>
      </c>
      <c r="Z1279" s="609"/>
      <c r="AA1279" s="604"/>
      <c r="AB1279" s="604"/>
      <c r="AC1279" s="604"/>
      <c r="AD1279" s="604"/>
      <c r="AE1279" s="604"/>
      <c r="AF1279" s="604"/>
      <c r="AG1279" s="604"/>
      <c r="AH1279" s="604"/>
      <c r="AI1279" s="604"/>
      <c r="AJ1279" s="604"/>
      <c r="AK1279" s="604"/>
      <c r="AL1279" s="604"/>
      <c r="AM1279" s="604"/>
      <c r="AN1279" s="604"/>
    </row>
    <row r="1280" spans="1:40" ht="15.75" customHeight="1">
      <c r="A1280" s="683">
        <v>45588</v>
      </c>
      <c r="B1280" s="615"/>
      <c r="C1280" s="611" t="s">
        <v>364</v>
      </c>
      <c r="D1280" s="608"/>
      <c r="E1280" s="518"/>
      <c r="F1280" s="518"/>
      <c r="G1280" s="608"/>
      <c r="H1280" s="518"/>
      <c r="I1280" s="518"/>
      <c r="J1280" s="518"/>
      <c r="K1280" s="518">
        <v>12.05</v>
      </c>
      <c r="L1280" s="518"/>
      <c r="M1280" s="518"/>
      <c r="N1280" s="518"/>
      <c r="O1280" s="518"/>
      <c r="P1280" s="518"/>
      <c r="Q1280" s="518"/>
      <c r="R1280" s="518"/>
      <c r="S1280" s="518">
        <v>11.83</v>
      </c>
      <c r="T1280" s="518"/>
      <c r="U1280" s="518"/>
      <c r="V1280" s="518"/>
      <c r="W1280" s="518"/>
      <c r="X1280" s="1033">
        <f>K1280</f>
        <v>12.05</v>
      </c>
      <c r="Y1280" s="809" t="str">
        <f>$K$3</f>
        <v>6495-1</v>
      </c>
      <c r="Z1280" s="609"/>
      <c r="AA1280" s="604"/>
      <c r="AB1280" s="604"/>
      <c r="AC1280" s="604"/>
      <c r="AD1280" s="604"/>
      <c r="AE1280" s="604"/>
      <c r="AF1280" s="604"/>
      <c r="AG1280" s="604"/>
      <c r="AH1280" s="604"/>
      <c r="AI1280" s="604"/>
      <c r="AJ1280" s="604"/>
      <c r="AK1280" s="604"/>
      <c r="AL1280" s="604"/>
      <c r="AM1280" s="604"/>
      <c r="AN1280" s="604"/>
    </row>
    <row r="1281" spans="1:40" ht="15.75" customHeight="1">
      <c r="A1281" s="683">
        <v>45590</v>
      </c>
      <c r="B1281" s="612"/>
      <c r="C1281" s="611" t="s">
        <v>320</v>
      </c>
      <c r="D1281" s="608"/>
      <c r="E1281" s="518"/>
      <c r="F1281" s="518"/>
      <c r="G1281" s="608"/>
      <c r="H1281" s="518"/>
      <c r="I1281" s="518"/>
      <c r="J1281" s="518"/>
      <c r="K1281" s="518">
        <v>37.369999999999997</v>
      </c>
      <c r="L1281" s="518"/>
      <c r="M1281" s="518"/>
      <c r="N1281" s="518"/>
      <c r="O1281" s="518"/>
      <c r="P1281" s="518"/>
      <c r="Q1281" s="518"/>
      <c r="R1281" s="518"/>
      <c r="S1281" s="518"/>
      <c r="T1281" s="518"/>
      <c r="U1281" s="518"/>
      <c r="V1281" s="518"/>
      <c r="W1281" s="518"/>
      <c r="X1281" s="1033">
        <f>K1281</f>
        <v>37.369999999999997</v>
      </c>
      <c r="Y1281" s="809" t="str">
        <f>$K$3</f>
        <v>6495-1</v>
      </c>
      <c r="Z1281" s="609"/>
      <c r="AA1281" s="604"/>
      <c r="AB1281" s="604"/>
      <c r="AC1281" s="604"/>
      <c r="AD1281" s="604"/>
      <c r="AE1281" s="604"/>
      <c r="AF1281" s="604"/>
      <c r="AG1281" s="604"/>
      <c r="AH1281" s="604"/>
      <c r="AI1281" s="604"/>
      <c r="AJ1281" s="604"/>
      <c r="AK1281" s="604"/>
      <c r="AL1281" s="604"/>
      <c r="AM1281" s="604"/>
      <c r="AN1281" s="604"/>
    </row>
    <row r="1282" spans="1:40" ht="15.75" customHeight="1">
      <c r="A1282" s="683">
        <v>45596</v>
      </c>
      <c r="B1282" s="612"/>
      <c r="C1282" s="611" t="s">
        <v>545</v>
      </c>
      <c r="D1282" s="608"/>
      <c r="E1282" s="518"/>
      <c r="F1282" s="518"/>
      <c r="G1282" s="608"/>
      <c r="H1282" s="518"/>
      <c r="I1282" s="518"/>
      <c r="J1282" s="518"/>
      <c r="K1282" s="518"/>
      <c r="L1282" s="518"/>
      <c r="M1282" s="518"/>
      <c r="N1282" s="518"/>
      <c r="O1282" s="518"/>
      <c r="P1282" s="518"/>
      <c r="Q1282" s="518"/>
      <c r="R1282" s="518"/>
      <c r="S1282" s="518">
        <f>9.5+9.5+9.5+7.1</f>
        <v>35.6</v>
      </c>
      <c r="T1282" s="518"/>
      <c r="U1282" s="518"/>
      <c r="V1282" s="518"/>
      <c r="W1282" s="518"/>
      <c r="X1282" s="808">
        <f>S1282</f>
        <v>35.6</v>
      </c>
      <c r="Y1282" s="809">
        <f>$S$3</f>
        <v>6855</v>
      </c>
      <c r="Z1282" s="609"/>
      <c r="AA1282" s="604"/>
      <c r="AB1282" s="604"/>
      <c r="AC1282" s="604"/>
      <c r="AD1282" s="604"/>
      <c r="AE1282" s="604"/>
      <c r="AF1282" s="604"/>
      <c r="AG1282" s="604"/>
      <c r="AH1282" s="604"/>
      <c r="AI1282" s="604"/>
      <c r="AJ1282" s="604"/>
      <c r="AK1282" s="604"/>
      <c r="AL1282" s="604"/>
      <c r="AM1282" s="604"/>
      <c r="AN1282" s="604"/>
    </row>
    <row r="1283" spans="1:40" ht="15.75" customHeight="1">
      <c r="A1283" s="691">
        <v>45596</v>
      </c>
      <c r="B1283" s="615"/>
      <c r="C1283" s="614" t="s">
        <v>260</v>
      </c>
      <c r="D1283" s="608"/>
      <c r="E1283" s="518">
        <v>633.20000000000005</v>
      </c>
      <c r="F1283" s="518"/>
      <c r="G1283" s="608"/>
      <c r="H1283" s="518"/>
      <c r="I1283" s="518"/>
      <c r="J1283" s="518"/>
      <c r="K1283" s="518"/>
      <c r="L1283" s="518"/>
      <c r="M1283" s="518"/>
      <c r="N1283" s="518"/>
      <c r="O1283" s="518"/>
      <c r="P1283" s="518"/>
      <c r="Q1283" s="518"/>
      <c r="R1283" s="518"/>
      <c r="S1283" s="518"/>
      <c r="T1283" s="518"/>
      <c r="U1283" s="518"/>
      <c r="V1283" s="518"/>
      <c r="W1283" s="518"/>
      <c r="X1283" s="808">
        <f>E1283</f>
        <v>633.20000000000005</v>
      </c>
      <c r="Y1283" s="809" t="s">
        <v>2304</v>
      </c>
      <c r="Z1283" s="609"/>
      <c r="AA1283" s="604"/>
      <c r="AB1283" s="604"/>
      <c r="AC1283" s="604"/>
      <c r="AD1283" s="604"/>
      <c r="AE1283" s="604"/>
      <c r="AF1283" s="604"/>
      <c r="AG1283" s="604"/>
      <c r="AH1283" s="604"/>
      <c r="AI1283" s="604"/>
      <c r="AJ1283" s="604"/>
      <c r="AK1283" s="604"/>
      <c r="AL1283" s="604"/>
      <c r="AM1283" s="604"/>
      <c r="AN1283" s="604"/>
    </row>
    <row r="1284" spans="1:40" ht="15.75" customHeight="1">
      <c r="A1284" s="683">
        <v>45596</v>
      </c>
      <c r="B1284" s="612" t="s">
        <v>531</v>
      </c>
      <c r="C1284" s="611" t="s">
        <v>451</v>
      </c>
      <c r="D1284" s="608"/>
      <c r="E1284" s="518"/>
      <c r="F1284" s="518">
        <v>5489</v>
      </c>
      <c r="G1284" s="608"/>
      <c r="H1284" s="518"/>
      <c r="I1284" s="518"/>
      <c r="J1284" s="518"/>
      <c r="K1284" s="518"/>
      <c r="L1284" s="518"/>
      <c r="M1284" s="518"/>
      <c r="N1284" s="518"/>
      <c r="O1284" s="518"/>
      <c r="P1284" s="518"/>
      <c r="Q1284" s="518"/>
      <c r="R1284" s="518"/>
      <c r="S1284" s="518"/>
      <c r="T1284" s="518"/>
      <c r="U1284" s="518"/>
      <c r="V1284" s="518"/>
      <c r="W1284" s="518"/>
      <c r="X1284" s="808"/>
      <c r="Y1284" s="809"/>
      <c r="Z1284" s="609"/>
      <c r="AA1284" s="604"/>
      <c r="AB1284" s="604"/>
      <c r="AC1284" s="604"/>
      <c r="AD1284" s="604"/>
      <c r="AE1284" s="604"/>
      <c r="AF1284" s="604"/>
      <c r="AG1284" s="604"/>
      <c r="AH1284" s="604"/>
      <c r="AI1284" s="604"/>
      <c r="AJ1284" s="604"/>
      <c r="AK1284" s="604"/>
      <c r="AL1284" s="604"/>
      <c r="AM1284" s="604"/>
      <c r="AN1284" s="604"/>
    </row>
    <row r="1285" spans="1:40" ht="15.75" customHeight="1">
      <c r="A1285" s="688" t="s">
        <v>589</v>
      </c>
      <c r="B1285" s="612"/>
      <c r="C1285" s="611" t="s">
        <v>344</v>
      </c>
      <c r="D1285" s="608"/>
      <c r="E1285" s="518"/>
      <c r="F1285" s="518"/>
      <c r="G1285" s="608"/>
      <c r="H1285" s="518"/>
      <c r="I1285" s="518"/>
      <c r="J1285" s="518"/>
      <c r="K1285" s="518"/>
      <c r="L1285" s="518"/>
      <c r="M1285" s="518"/>
      <c r="N1285" s="518"/>
      <c r="O1285" s="518"/>
      <c r="P1285" s="518"/>
      <c r="Q1285" s="518"/>
      <c r="R1285" s="518"/>
      <c r="S1285" s="518">
        <f>0.59+7.13+0.71+0.05+0.72+0.15+0.68+0.7+0.23+0.73</f>
        <v>11.690000000000001</v>
      </c>
      <c r="T1285" s="518"/>
      <c r="U1285" s="518"/>
      <c r="V1285" s="518"/>
      <c r="W1285" s="518"/>
      <c r="X1285" s="808">
        <f>S1285</f>
        <v>11.690000000000001</v>
      </c>
      <c r="Y1285" s="809">
        <f>$S$3</f>
        <v>6855</v>
      </c>
      <c r="Z1285" s="609"/>
      <c r="AA1285" s="604"/>
      <c r="AB1285" s="604"/>
      <c r="AC1285" s="604"/>
      <c r="AD1285" s="604"/>
      <c r="AE1285" s="604"/>
      <c r="AF1285" s="604"/>
      <c r="AG1285" s="604"/>
      <c r="AH1285" s="604"/>
      <c r="AI1285" s="604"/>
      <c r="AJ1285" s="604"/>
      <c r="AK1285" s="604"/>
      <c r="AL1285" s="604"/>
      <c r="AM1285" s="604"/>
      <c r="AN1285" s="604"/>
    </row>
    <row r="1286" spans="1:40" ht="15.75" customHeight="1">
      <c r="A1286" s="688"/>
      <c r="B1286" s="692"/>
      <c r="C1286" s="629"/>
      <c r="D1286" s="608"/>
      <c r="E1286" s="518"/>
      <c r="F1286" s="518"/>
      <c r="G1286" s="608"/>
      <c r="H1286" s="518"/>
      <c r="I1286" s="518"/>
      <c r="J1286" s="518"/>
      <c r="K1286" s="518"/>
      <c r="L1286" s="518"/>
      <c r="M1286" s="518"/>
      <c r="N1286" s="518"/>
      <c r="O1286" s="518"/>
      <c r="P1286" s="518"/>
      <c r="Q1286" s="518"/>
      <c r="R1286" s="518"/>
      <c r="S1286" s="518"/>
      <c r="T1286" s="518"/>
      <c r="U1286" s="518"/>
      <c r="V1286" s="518"/>
      <c r="W1286" s="518"/>
      <c r="X1286" s="808"/>
      <c r="Y1286" s="809"/>
      <c r="Z1286" s="609"/>
      <c r="AA1286" s="604"/>
      <c r="AB1286" s="604"/>
      <c r="AC1286" s="604"/>
      <c r="AD1286" s="604"/>
      <c r="AE1286" s="604"/>
      <c r="AF1286" s="604"/>
      <c r="AG1286" s="604"/>
      <c r="AH1286" s="604"/>
      <c r="AI1286" s="604"/>
      <c r="AJ1286" s="604"/>
      <c r="AK1286" s="604"/>
      <c r="AL1286" s="604"/>
      <c r="AM1286" s="604"/>
      <c r="AN1286" s="604"/>
    </row>
    <row r="1287" spans="1:40" ht="15.75" customHeight="1">
      <c r="A1287" s="620"/>
      <c r="B1287" s="620"/>
      <c r="C1287" s="623"/>
      <c r="D1287" s="623"/>
      <c r="E1287" s="623"/>
      <c r="F1287" s="623"/>
      <c r="G1287" s="623"/>
      <c r="H1287" s="623"/>
      <c r="I1287" s="623"/>
      <c r="J1287" s="623"/>
      <c r="K1287" s="623"/>
      <c r="L1287" s="623"/>
      <c r="M1287" s="623"/>
      <c r="N1287" s="623"/>
      <c r="O1287" s="623"/>
      <c r="P1287" s="623"/>
      <c r="Q1287" s="623"/>
      <c r="R1287" s="623"/>
      <c r="S1287" s="623"/>
      <c r="T1287" s="623"/>
      <c r="U1287" s="623"/>
      <c r="V1287" s="623"/>
      <c r="W1287" s="623"/>
      <c r="X1287" s="808"/>
      <c r="Y1287" s="809"/>
      <c r="Z1287" s="623"/>
      <c r="AA1287" s="604"/>
      <c r="AB1287" s="604"/>
      <c r="AC1287" s="604"/>
      <c r="AD1287" s="604"/>
      <c r="AE1287" s="604"/>
      <c r="AF1287" s="604"/>
      <c r="AG1287" s="604"/>
      <c r="AH1287" s="604"/>
      <c r="AI1287" s="604"/>
      <c r="AJ1287" s="604"/>
      <c r="AK1287" s="604"/>
      <c r="AL1287" s="604"/>
      <c r="AM1287" s="604"/>
      <c r="AN1287" s="604"/>
    </row>
    <row r="1288" spans="1:40" ht="15.75" customHeight="1">
      <c r="A1288" s="683"/>
      <c r="B1288" s="616"/>
      <c r="C1288" s="685"/>
      <c r="D1288" s="608"/>
      <c r="E1288" s="518"/>
      <c r="F1288" s="518"/>
      <c r="G1288" s="608"/>
      <c r="H1288" s="518"/>
      <c r="I1288" s="518"/>
      <c r="J1288" s="518"/>
      <c r="K1288" s="518"/>
      <c r="L1288" s="518"/>
      <c r="M1288" s="518"/>
      <c r="N1288" s="518"/>
      <c r="O1288" s="518"/>
      <c r="P1288" s="518"/>
      <c r="Q1288" s="518"/>
      <c r="R1288" s="518"/>
      <c r="S1288" s="518"/>
      <c r="T1288" s="518"/>
      <c r="U1288" s="518"/>
      <c r="V1288" s="518"/>
      <c r="W1288" s="518"/>
      <c r="X1288" s="808"/>
      <c r="Y1288" s="809"/>
      <c r="Z1288" s="609"/>
    </row>
    <row r="1289" spans="1:40" ht="15.75" customHeight="1">
      <c r="A1289" s="683">
        <v>45566</v>
      </c>
      <c r="B1289" s="693"/>
      <c r="C1289" s="685" t="s">
        <v>207</v>
      </c>
      <c r="D1289" s="608"/>
      <c r="E1289" s="518"/>
      <c r="F1289" s="518"/>
      <c r="G1289" s="608"/>
      <c r="H1289" s="518"/>
      <c r="I1289" s="518"/>
      <c r="J1289" s="518"/>
      <c r="K1289" s="518"/>
      <c r="L1289" s="518"/>
      <c r="M1289" s="518">
        <v>30.43</v>
      </c>
      <c r="N1289" s="518"/>
      <c r="O1289" s="518"/>
      <c r="P1289" s="518"/>
      <c r="Q1289" s="518"/>
      <c r="R1289" s="518"/>
      <c r="S1289" s="518"/>
      <c r="T1289" s="518"/>
      <c r="U1289" s="518"/>
      <c r="V1289" s="518"/>
      <c r="W1289" s="518"/>
      <c r="X1289" s="808">
        <f>M1289</f>
        <v>30.43</v>
      </c>
      <c r="Y1289" s="809" t="str">
        <f>$M$3</f>
        <v>6673-2</v>
      </c>
      <c r="Z1289" s="609"/>
    </row>
    <row r="1290" spans="1:40" ht="15.75" customHeight="1">
      <c r="A1290" s="683">
        <v>45568</v>
      </c>
      <c r="B1290" s="616"/>
      <c r="C1290" s="685" t="s">
        <v>606</v>
      </c>
      <c r="D1290" s="608"/>
      <c r="E1290" s="518"/>
      <c r="F1290" s="518">
        <v>950</v>
      </c>
      <c r="G1290" s="608"/>
      <c r="H1290" s="518"/>
      <c r="I1290" s="518"/>
      <c r="J1290" s="518"/>
      <c r="K1290" s="518"/>
      <c r="L1290" s="518"/>
      <c r="M1290" s="518"/>
      <c r="N1290" s="518"/>
      <c r="O1290" s="518"/>
      <c r="P1290" s="518"/>
      <c r="Q1290" s="518"/>
      <c r="R1290" s="518"/>
      <c r="S1290" s="518"/>
      <c r="T1290" s="518"/>
      <c r="U1290" s="518"/>
      <c r="V1290" s="518"/>
      <c r="W1290" s="518"/>
      <c r="X1290" s="808"/>
      <c r="Y1290" s="809"/>
      <c r="Z1290" s="609"/>
    </row>
    <row r="1291" spans="1:40" ht="15.75" customHeight="1">
      <c r="A1291" s="683">
        <v>45569</v>
      </c>
      <c r="B1291" s="693" t="s">
        <v>607</v>
      </c>
      <c r="C1291" s="685" t="s">
        <v>457</v>
      </c>
      <c r="D1291" s="608"/>
      <c r="E1291" s="518">
        <v>2410</v>
      </c>
      <c r="F1291" s="518"/>
      <c r="G1291" s="608"/>
      <c r="H1291" s="518"/>
      <c r="I1291" s="518"/>
      <c r="J1291" s="518"/>
      <c r="K1291" s="518"/>
      <c r="L1291" s="518"/>
      <c r="M1291" s="518"/>
      <c r="N1291" s="518"/>
      <c r="O1291" s="518"/>
      <c r="P1291" s="518"/>
      <c r="Q1291" s="518"/>
      <c r="R1291" s="518"/>
      <c r="S1291" s="518"/>
      <c r="T1291" s="518"/>
      <c r="U1291" s="518"/>
      <c r="V1291" s="518"/>
      <c r="W1291" s="518"/>
      <c r="X1291" s="808">
        <f>E1291</f>
        <v>2410</v>
      </c>
      <c r="Y1291" s="809" t="s">
        <v>2304</v>
      </c>
      <c r="Z1291" s="609"/>
    </row>
    <row r="1292" spans="1:40" ht="15.75" customHeight="1">
      <c r="A1292" s="683">
        <v>45572</v>
      </c>
      <c r="B1292" s="693"/>
      <c r="C1292" s="685" t="s">
        <v>608</v>
      </c>
      <c r="D1292" s="608"/>
      <c r="E1292" s="518"/>
      <c r="F1292" s="518"/>
      <c r="G1292" s="608"/>
      <c r="H1292" s="518"/>
      <c r="I1292" s="518"/>
      <c r="J1292" s="518"/>
      <c r="K1292" s="518"/>
      <c r="L1292" s="518"/>
      <c r="M1292" s="518"/>
      <c r="N1292" s="518"/>
      <c r="O1292" s="518">
        <v>365.78</v>
      </c>
      <c r="P1292" s="518"/>
      <c r="Q1292" s="518"/>
      <c r="R1292" s="518"/>
      <c r="S1292" s="518"/>
      <c r="T1292" s="518"/>
      <c r="U1292" s="518"/>
      <c r="V1292" s="518"/>
      <c r="W1292" s="518"/>
      <c r="X1292" s="1033">
        <f>O1292</f>
        <v>365.78</v>
      </c>
      <c r="Y1292" s="809">
        <f>$O$3</f>
        <v>6530</v>
      </c>
      <c r="Z1292" s="609"/>
    </row>
    <row r="1293" spans="1:40" ht="15.75" customHeight="1">
      <c r="A1293" s="683">
        <v>45573</v>
      </c>
      <c r="B1293" s="693"/>
      <c r="C1293" s="685" t="s">
        <v>609</v>
      </c>
      <c r="D1293" s="608"/>
      <c r="E1293" s="518"/>
      <c r="F1293" s="518"/>
      <c r="G1293" s="608"/>
      <c r="H1293" s="518"/>
      <c r="I1293" s="518"/>
      <c r="J1293" s="518"/>
      <c r="K1293" s="518"/>
      <c r="L1293" s="518"/>
      <c r="M1293" s="518"/>
      <c r="N1293" s="518"/>
      <c r="O1293" s="518">
        <f>23.4*B1271</f>
        <v>28.014058799999997</v>
      </c>
      <c r="P1293" s="518"/>
      <c r="Q1293" s="518"/>
      <c r="R1293" s="518"/>
      <c r="S1293" s="518"/>
      <c r="T1293" s="518"/>
      <c r="U1293" s="518"/>
      <c r="V1293" s="518"/>
      <c r="W1293" s="518"/>
      <c r="X1293" s="1033">
        <f>O1293</f>
        <v>28.014058799999997</v>
      </c>
      <c r="Y1293" s="809">
        <f>$O$3</f>
        <v>6530</v>
      </c>
      <c r="Z1293" s="609"/>
    </row>
    <row r="1294" spans="1:40" ht="15.75" customHeight="1">
      <c r="A1294" s="683">
        <v>45584</v>
      </c>
      <c r="B1294" s="693"/>
      <c r="C1294" s="685" t="s">
        <v>610</v>
      </c>
      <c r="D1294" s="608"/>
      <c r="E1294" s="518"/>
      <c r="F1294" s="518"/>
      <c r="G1294" s="608"/>
      <c r="H1294" s="518"/>
      <c r="I1294" s="518"/>
      <c r="J1294" s="518"/>
      <c r="K1294" s="518"/>
      <c r="L1294" s="518">
        <v>36.06</v>
      </c>
      <c r="M1294" s="518"/>
      <c r="N1294" s="518"/>
      <c r="O1294" s="518"/>
      <c r="P1294" s="518"/>
      <c r="Q1294" s="518"/>
      <c r="R1294" s="518"/>
      <c r="S1294" s="518"/>
      <c r="T1294" s="518"/>
      <c r="U1294" s="518"/>
      <c r="V1294" s="518"/>
      <c r="W1294" s="518"/>
      <c r="X1294" s="1033">
        <f>L1294</f>
        <v>36.06</v>
      </c>
      <c r="Y1294" s="809" t="str">
        <f>$L$3</f>
        <v>6673-1</v>
      </c>
      <c r="Z1294" s="609"/>
    </row>
    <row r="1295" spans="1:40" ht="15.75" customHeight="1">
      <c r="A1295" s="683">
        <v>45584</v>
      </c>
      <c r="B1295" s="693"/>
      <c r="C1295" s="685" t="s">
        <v>207</v>
      </c>
      <c r="D1295" s="608"/>
      <c r="E1295" s="518"/>
      <c r="F1295" s="518"/>
      <c r="G1295" s="608"/>
      <c r="H1295" s="518"/>
      <c r="I1295" s="518"/>
      <c r="J1295" s="518"/>
      <c r="K1295" s="518"/>
      <c r="L1295" s="518"/>
      <c r="M1295" s="518">
        <v>34.97</v>
      </c>
      <c r="N1295" s="518"/>
      <c r="O1295" s="518"/>
      <c r="P1295" s="518"/>
      <c r="Q1295" s="518"/>
      <c r="R1295" s="518"/>
      <c r="S1295" s="518"/>
      <c r="T1295" s="518"/>
      <c r="U1295" s="518"/>
      <c r="V1295" s="518"/>
      <c r="W1295" s="518"/>
      <c r="X1295" s="808">
        <f>M1295</f>
        <v>34.97</v>
      </c>
      <c r="Y1295" s="809" t="str">
        <f>$M$3</f>
        <v>6673-2</v>
      </c>
      <c r="Z1295" s="609"/>
    </row>
    <row r="1296" spans="1:40" ht="15.75" customHeight="1">
      <c r="A1296" s="683">
        <v>45586</v>
      </c>
      <c r="B1296" s="693"/>
      <c r="C1296" s="685" t="s">
        <v>611</v>
      </c>
      <c r="D1296" s="608"/>
      <c r="E1296" s="518"/>
      <c r="F1296" s="518"/>
      <c r="G1296" s="608"/>
      <c r="H1296" s="518"/>
      <c r="I1296" s="518"/>
      <c r="J1296" s="518"/>
      <c r="K1296" s="518"/>
      <c r="L1296" s="518"/>
      <c r="M1296" s="518"/>
      <c r="N1296" s="518"/>
      <c r="O1296" s="518"/>
      <c r="P1296" s="518">
        <v>309.99</v>
      </c>
      <c r="Q1296" s="518"/>
      <c r="R1296" s="518"/>
      <c r="S1296" s="518"/>
      <c r="T1296" s="518"/>
      <c r="U1296" s="518"/>
      <c r="V1296" s="518"/>
      <c r="W1296" s="518"/>
      <c r="X1296" s="1033">
        <f>P1296</f>
        <v>309.99</v>
      </c>
      <c r="Y1296" s="809">
        <f>$P$3</f>
        <v>6815</v>
      </c>
      <c r="Z1296" s="609"/>
    </row>
    <row r="1297" spans="1:40" ht="15.75" customHeight="1">
      <c r="A1297" s="683">
        <v>45594</v>
      </c>
      <c r="B1297" s="693"/>
      <c r="C1297" s="685" t="s">
        <v>612</v>
      </c>
      <c r="D1297" s="608"/>
      <c r="E1297" s="518"/>
      <c r="F1297" s="518"/>
      <c r="G1297" s="608">
        <v>4258.1899999999996</v>
      </c>
      <c r="H1297" s="518"/>
      <c r="I1297" s="518"/>
      <c r="J1297" s="518"/>
      <c r="K1297" s="518"/>
      <c r="L1297" s="518"/>
      <c r="M1297" s="518"/>
      <c r="N1297" s="518"/>
      <c r="O1297" s="518"/>
      <c r="P1297" s="518"/>
      <c r="Q1297" s="518"/>
      <c r="R1297" s="518"/>
      <c r="S1297" s="518"/>
      <c r="T1297" s="518"/>
      <c r="U1297" s="518"/>
      <c r="V1297" s="518"/>
      <c r="W1297" s="518"/>
      <c r="X1297" s="936">
        <f>G1297</f>
        <v>4258.1899999999996</v>
      </c>
      <c r="Y1297" s="809" t="str">
        <f>$G$3</f>
        <v>4338-2</v>
      </c>
      <c r="Z1297" s="609"/>
    </row>
    <row r="1298" spans="1:40" ht="15.75" customHeight="1">
      <c r="A1298" s="683">
        <v>45596</v>
      </c>
      <c r="B1298" s="673" t="s">
        <v>613</v>
      </c>
      <c r="C1298" s="685" t="s">
        <v>614</v>
      </c>
      <c r="D1298" s="608">
        <v>1600</v>
      </c>
      <c r="E1298" s="518"/>
      <c r="F1298" s="518"/>
      <c r="G1298" s="608"/>
      <c r="H1298" s="518"/>
      <c r="I1298" s="518"/>
      <c r="J1298" s="518"/>
      <c r="K1298" s="518"/>
      <c r="L1298" s="518"/>
      <c r="M1298" s="518"/>
      <c r="N1298" s="518"/>
      <c r="O1298" s="518"/>
      <c r="P1298" s="518"/>
      <c r="Q1298" s="518"/>
      <c r="R1298" s="518"/>
      <c r="S1298" s="518"/>
      <c r="T1298" s="518"/>
      <c r="U1298" s="518"/>
      <c r="V1298" s="518"/>
      <c r="W1298" s="518"/>
      <c r="X1298" s="1034">
        <f>D1298</f>
        <v>1600</v>
      </c>
      <c r="Y1298" s="809" t="s">
        <v>2300</v>
      </c>
      <c r="Z1298" s="609"/>
    </row>
    <row r="1299" spans="1:40" ht="15.75" customHeight="1">
      <c r="A1299" s="683">
        <v>45596</v>
      </c>
      <c r="B1299" s="673" t="s">
        <v>615</v>
      </c>
      <c r="C1299" s="685" t="s">
        <v>616</v>
      </c>
      <c r="D1299" s="608">
        <v>150</v>
      </c>
      <c r="E1299" s="518"/>
      <c r="F1299" s="518"/>
      <c r="G1299" s="608"/>
      <c r="H1299" s="518"/>
      <c r="I1299" s="518"/>
      <c r="J1299" s="518"/>
      <c r="K1299" s="518"/>
      <c r="L1299" s="518"/>
      <c r="M1299" s="518"/>
      <c r="N1299" s="518"/>
      <c r="O1299" s="518"/>
      <c r="P1299" s="518"/>
      <c r="Q1299" s="518"/>
      <c r="R1299" s="518"/>
      <c r="S1299" s="518"/>
      <c r="T1299" s="518"/>
      <c r="U1299" s="518"/>
      <c r="V1299" s="518"/>
      <c r="W1299" s="518"/>
      <c r="X1299" s="1034">
        <f>D1299</f>
        <v>150</v>
      </c>
      <c r="Y1299" s="809" t="s">
        <v>2300</v>
      </c>
      <c r="Z1299" s="609"/>
    </row>
    <row r="1300" spans="1:40" ht="15.75" customHeight="1">
      <c r="A1300" s="683"/>
      <c r="B1300" s="693"/>
      <c r="C1300" s="685"/>
      <c r="D1300" s="608"/>
      <c r="E1300" s="518"/>
      <c r="F1300" s="518"/>
      <c r="G1300" s="608"/>
      <c r="H1300" s="518"/>
      <c r="I1300" s="518"/>
      <c r="J1300" s="518"/>
      <c r="K1300" s="518"/>
      <c r="L1300" s="518"/>
      <c r="M1300" s="518"/>
      <c r="N1300" s="518"/>
      <c r="O1300" s="518"/>
      <c r="P1300" s="518"/>
      <c r="Q1300" s="518"/>
      <c r="R1300" s="518"/>
      <c r="S1300" s="518"/>
      <c r="T1300" s="518"/>
      <c r="U1300" s="518"/>
      <c r="V1300" s="518"/>
      <c r="W1300" s="518"/>
      <c r="X1300" s="808"/>
      <c r="Y1300" s="809"/>
      <c r="Z1300" s="609"/>
    </row>
    <row r="1301" spans="1:40" ht="15.75" customHeight="1" thickBot="1">
      <c r="A1301" s="683"/>
      <c r="B1301" s="616"/>
      <c r="C1301" s="685"/>
      <c r="D1301" s="608"/>
      <c r="E1301" s="518"/>
      <c r="F1301" s="518"/>
      <c r="G1301" s="608"/>
      <c r="H1301" s="518"/>
      <c r="I1301" s="518"/>
      <c r="J1301" s="518"/>
      <c r="K1301" s="518"/>
      <c r="L1301" s="518"/>
      <c r="M1301" s="518"/>
      <c r="N1301" s="518"/>
      <c r="O1301" s="518"/>
      <c r="P1301" s="518"/>
      <c r="Q1301" s="518"/>
      <c r="R1301" s="518"/>
      <c r="S1301" s="518"/>
      <c r="T1301" s="518"/>
      <c r="U1301" s="518"/>
      <c r="V1301" s="518"/>
      <c r="W1301" s="518"/>
      <c r="X1301" s="808"/>
      <c r="Y1301" s="809"/>
      <c r="Z1301" s="609"/>
    </row>
    <row r="1302" spans="1:40" ht="15.75" customHeight="1" thickTop="1">
      <c r="A1302" s="627"/>
      <c r="B1302" s="655">
        <v>45597</v>
      </c>
      <c r="C1302" s="627"/>
      <c r="D1302" s="602"/>
      <c r="E1302" s="602"/>
      <c r="F1302" s="602"/>
      <c r="G1302" s="602"/>
      <c r="H1302" s="602"/>
      <c r="I1302" s="602"/>
      <c r="J1302" s="602"/>
      <c r="K1302" s="602"/>
      <c r="L1302" s="602"/>
      <c r="M1302" s="602"/>
      <c r="N1302" s="602"/>
      <c r="O1302" s="602"/>
      <c r="P1302" s="602"/>
      <c r="Q1302" s="602"/>
      <c r="R1302" s="602"/>
      <c r="S1302" s="602"/>
      <c r="T1302" s="602"/>
      <c r="U1302" s="602"/>
      <c r="V1302" s="602"/>
      <c r="W1302" s="602"/>
      <c r="X1302" s="808"/>
      <c r="Y1302" s="809"/>
      <c r="Z1302" s="602"/>
      <c r="AA1302" s="604"/>
      <c r="AB1302" s="604"/>
      <c r="AC1302" s="604"/>
      <c r="AD1302" s="604"/>
      <c r="AE1302" s="604"/>
      <c r="AF1302" s="604"/>
      <c r="AG1302" s="604"/>
      <c r="AH1302" s="604"/>
      <c r="AI1302" s="604"/>
      <c r="AJ1302" s="604"/>
      <c r="AK1302" s="604"/>
      <c r="AL1302" s="604"/>
      <c r="AM1302" s="604"/>
      <c r="AN1302" s="604"/>
    </row>
    <row r="1303" spans="1:40" ht="15.75" customHeight="1">
      <c r="A1303" s="683"/>
      <c r="B1303" s="690"/>
      <c r="C1303" s="629"/>
      <c r="D1303" s="608"/>
      <c r="E1303" s="518"/>
      <c r="F1303" s="518"/>
      <c r="G1303" s="608"/>
      <c r="H1303" s="518"/>
      <c r="I1303" s="518"/>
      <c r="J1303" s="518"/>
      <c r="K1303" s="518"/>
      <c r="L1303" s="518"/>
      <c r="M1303" s="518"/>
      <c r="N1303" s="518"/>
      <c r="O1303" s="518"/>
      <c r="P1303" s="518"/>
      <c r="Q1303" s="518"/>
      <c r="R1303" s="518"/>
      <c r="S1303" s="518"/>
      <c r="T1303" s="518"/>
      <c r="U1303" s="518"/>
      <c r="V1303" s="518"/>
      <c r="W1303" s="518"/>
      <c r="X1303" s="808"/>
      <c r="Y1303" s="809"/>
      <c r="Z1303" s="609"/>
      <c r="AA1303" s="604"/>
      <c r="AB1303" s="604"/>
      <c r="AC1303" s="604"/>
      <c r="AD1303" s="604"/>
      <c r="AE1303" s="604"/>
      <c r="AF1303" s="604"/>
      <c r="AG1303" s="604"/>
      <c r="AH1303" s="604"/>
      <c r="AI1303" s="604"/>
      <c r="AJ1303" s="604"/>
      <c r="AK1303" s="604"/>
      <c r="AL1303" s="604"/>
      <c r="AM1303" s="604"/>
      <c r="AN1303" s="604"/>
    </row>
    <row r="1304" spans="1:40" ht="15.75" customHeight="1">
      <c r="A1304" s="683">
        <v>45597</v>
      </c>
      <c r="B1304" s="663"/>
      <c r="C1304" s="611" t="s">
        <v>62</v>
      </c>
      <c r="D1304" s="608"/>
      <c r="E1304" s="518"/>
      <c r="F1304" s="518"/>
      <c r="G1304" s="608"/>
      <c r="H1304" s="518"/>
      <c r="I1304" s="518"/>
      <c r="J1304" s="518"/>
      <c r="K1304" s="518"/>
      <c r="L1304" s="518"/>
      <c r="M1304" s="518"/>
      <c r="N1304" s="518"/>
      <c r="O1304" s="518"/>
      <c r="P1304" s="518"/>
      <c r="Q1304" s="518"/>
      <c r="R1304" s="518"/>
      <c r="S1304" s="518"/>
      <c r="T1304" s="518"/>
      <c r="U1304" s="518"/>
      <c r="V1304" s="518">
        <v>1036.55</v>
      </c>
      <c r="W1304" s="518"/>
      <c r="X1304" s="808"/>
      <c r="Y1304" s="809"/>
      <c r="Z1304" s="609"/>
      <c r="AA1304" s="616"/>
      <c r="AB1304" s="616"/>
      <c r="AC1304" s="616"/>
      <c r="AD1304" s="616"/>
      <c r="AE1304" s="616"/>
      <c r="AF1304" s="616"/>
      <c r="AG1304" s="616"/>
      <c r="AH1304" s="616"/>
      <c r="AI1304" s="616"/>
      <c r="AJ1304" s="616"/>
      <c r="AK1304" s="616"/>
      <c r="AL1304" s="616"/>
      <c r="AM1304" s="616"/>
      <c r="AN1304" s="616"/>
    </row>
    <row r="1305" spans="1:40" ht="15.75" customHeight="1">
      <c r="A1305" s="683">
        <v>45597</v>
      </c>
      <c r="B1305" s="615"/>
      <c r="C1305" s="614" t="s">
        <v>421</v>
      </c>
      <c r="D1305" s="608"/>
      <c r="E1305" s="518"/>
      <c r="F1305" s="518"/>
      <c r="G1305" s="608"/>
      <c r="H1305" s="518"/>
      <c r="I1305" s="518"/>
      <c r="J1305" s="518"/>
      <c r="K1305" s="518"/>
      <c r="L1305" s="518"/>
      <c r="M1305" s="518">
        <v>49</v>
      </c>
      <c r="N1305" s="518"/>
      <c r="O1305" s="518"/>
      <c r="P1305" s="518"/>
      <c r="Q1305" s="518"/>
      <c r="R1305" s="518"/>
      <c r="S1305" s="518"/>
      <c r="T1305" s="518"/>
      <c r="U1305" s="518"/>
      <c r="V1305" s="518"/>
      <c r="W1305" s="518"/>
      <c r="X1305" s="808">
        <f>M1305</f>
        <v>49</v>
      </c>
      <c r="Y1305" s="809" t="str">
        <f>$M$3</f>
        <v>6673-2</v>
      </c>
      <c r="Z1305" s="609"/>
      <c r="AA1305" s="616"/>
      <c r="AB1305" s="616"/>
      <c r="AC1305" s="616"/>
      <c r="AD1305" s="616"/>
      <c r="AE1305" s="616"/>
      <c r="AF1305" s="616"/>
      <c r="AG1305" s="616"/>
      <c r="AH1305" s="616"/>
      <c r="AI1305" s="616"/>
      <c r="AJ1305" s="616"/>
      <c r="AK1305" s="616"/>
      <c r="AL1305" s="616"/>
      <c r="AM1305" s="616"/>
      <c r="AN1305" s="616"/>
    </row>
    <row r="1306" spans="1:40" ht="15.75" customHeight="1">
      <c r="A1306" s="683">
        <v>45597</v>
      </c>
      <c r="B1306" s="612"/>
      <c r="C1306" s="611" t="s">
        <v>320</v>
      </c>
      <c r="D1306" s="608"/>
      <c r="E1306" s="518"/>
      <c r="F1306" s="518"/>
      <c r="G1306" s="608"/>
      <c r="H1306" s="518"/>
      <c r="I1306" s="518"/>
      <c r="J1306" s="518"/>
      <c r="K1306" s="518">
        <v>37.200000000000003</v>
      </c>
      <c r="L1306" s="518"/>
      <c r="M1306" s="518"/>
      <c r="N1306" s="518"/>
      <c r="O1306" s="518"/>
      <c r="P1306" s="518"/>
      <c r="Q1306" s="518"/>
      <c r="R1306" s="518"/>
      <c r="S1306" s="518"/>
      <c r="T1306" s="518"/>
      <c r="U1306" s="518"/>
      <c r="V1306" s="518"/>
      <c r="W1306" s="518"/>
      <c r="X1306" s="1033">
        <f>K1306</f>
        <v>37.200000000000003</v>
      </c>
      <c r="Y1306" s="809" t="str">
        <f>$K$3</f>
        <v>6495-1</v>
      </c>
      <c r="Z1306" s="609"/>
      <c r="AA1306" s="616"/>
      <c r="AB1306" s="616"/>
      <c r="AC1306" s="616"/>
      <c r="AD1306" s="616"/>
      <c r="AE1306" s="616"/>
      <c r="AF1306" s="616"/>
      <c r="AG1306" s="616"/>
      <c r="AH1306" s="616"/>
      <c r="AI1306" s="616"/>
      <c r="AJ1306" s="616"/>
      <c r="AK1306" s="616"/>
      <c r="AL1306" s="616"/>
      <c r="AM1306" s="616"/>
      <c r="AN1306" s="616"/>
    </row>
    <row r="1307" spans="1:40" ht="15.75" customHeight="1">
      <c r="A1307" s="683">
        <v>45600</v>
      </c>
      <c r="B1307" s="612"/>
      <c r="C1307" s="611" t="s">
        <v>63</v>
      </c>
      <c r="D1307" s="608"/>
      <c r="E1307" s="518"/>
      <c r="F1307" s="518"/>
      <c r="G1307" s="608"/>
      <c r="H1307" s="518"/>
      <c r="I1307" s="518"/>
      <c r="J1307" s="518"/>
      <c r="K1307" s="518"/>
      <c r="L1307" s="518"/>
      <c r="M1307" s="518"/>
      <c r="N1307" s="518"/>
      <c r="O1307" s="518"/>
      <c r="P1307" s="518"/>
      <c r="Q1307" s="518"/>
      <c r="R1307" s="518"/>
      <c r="S1307" s="518"/>
      <c r="T1307" s="518">
        <v>277.60000000000002</v>
      </c>
      <c r="U1307" s="518"/>
      <c r="V1307" s="518"/>
      <c r="W1307" s="518"/>
      <c r="X1307" s="808">
        <f>T1307</f>
        <v>277.60000000000002</v>
      </c>
      <c r="Y1307" s="809">
        <f>$T$3</f>
        <v>2300</v>
      </c>
      <c r="Z1307" s="609"/>
      <c r="AA1307" s="616"/>
      <c r="AB1307" s="616"/>
      <c r="AC1307" s="616"/>
      <c r="AD1307" s="616"/>
      <c r="AE1307" s="616"/>
      <c r="AF1307" s="616"/>
      <c r="AG1307" s="616"/>
      <c r="AH1307" s="616"/>
      <c r="AI1307" s="616"/>
      <c r="AJ1307" s="616"/>
      <c r="AK1307" s="616"/>
      <c r="AL1307" s="616"/>
      <c r="AM1307" s="616"/>
      <c r="AN1307" s="616"/>
    </row>
    <row r="1308" spans="1:40" ht="15.75" customHeight="1">
      <c r="A1308" s="683">
        <v>45600</v>
      </c>
      <c r="B1308" s="672">
        <f>'Conversion rates'!B38</f>
        <v>1.1994119999999999</v>
      </c>
      <c r="C1308" s="611" t="s">
        <v>276</v>
      </c>
      <c r="D1308" s="608"/>
      <c r="E1308" s="518"/>
      <c r="F1308" s="518"/>
      <c r="G1308" s="608"/>
      <c r="H1308" s="518"/>
      <c r="I1308" s="518"/>
      <c r="J1308" s="518"/>
      <c r="K1308" s="518"/>
      <c r="L1308" s="518"/>
      <c r="M1308" s="518"/>
      <c r="N1308" s="518"/>
      <c r="O1308" s="518"/>
      <c r="P1308" s="518"/>
      <c r="Q1308" s="518"/>
      <c r="R1308" s="518"/>
      <c r="S1308" s="518"/>
      <c r="T1308" s="518">
        <v>80</v>
      </c>
      <c r="U1308" s="518"/>
      <c r="V1308" s="518"/>
      <c r="W1308" s="518"/>
      <c r="X1308" s="808">
        <f>T1308</f>
        <v>80</v>
      </c>
      <c r="Y1308" s="809">
        <f>$T$3</f>
        <v>2300</v>
      </c>
      <c r="Z1308" s="609"/>
      <c r="AA1308" s="616"/>
      <c r="AB1308" s="616"/>
      <c r="AC1308" s="616"/>
      <c r="AD1308" s="616"/>
      <c r="AE1308" s="616"/>
      <c r="AF1308" s="616"/>
      <c r="AG1308" s="616"/>
      <c r="AH1308" s="616"/>
      <c r="AI1308" s="616"/>
      <c r="AJ1308" s="616"/>
      <c r="AK1308" s="616"/>
      <c r="AL1308" s="616"/>
      <c r="AM1308" s="616"/>
      <c r="AN1308" s="616"/>
    </row>
    <row r="1309" spans="1:40" ht="15.75" customHeight="1">
      <c r="A1309" s="683">
        <v>45601</v>
      </c>
      <c r="B1309" s="612" t="s">
        <v>310</v>
      </c>
      <c r="C1309" s="614" t="s">
        <v>605</v>
      </c>
      <c r="D1309" s="608"/>
      <c r="E1309" s="518"/>
      <c r="F1309" s="518"/>
      <c r="G1309" s="608"/>
      <c r="H1309" s="518"/>
      <c r="I1309" s="518"/>
      <c r="J1309" s="518"/>
      <c r="K1309" s="518"/>
      <c r="L1309" s="518"/>
      <c r="M1309" s="616"/>
      <c r="N1309" s="518">
        <f>800*B1308</f>
        <v>959.52959999999996</v>
      </c>
      <c r="O1309" s="518"/>
      <c r="P1309" s="518"/>
      <c r="Q1309" s="518"/>
      <c r="R1309" s="518"/>
      <c r="S1309" s="518"/>
      <c r="T1309" s="518"/>
      <c r="U1309" s="518"/>
      <c r="V1309" s="518"/>
      <c r="W1309" s="518"/>
      <c r="X1309" s="808">
        <f>N1309</f>
        <v>959.52959999999996</v>
      </c>
      <c r="Y1309" s="809">
        <f>$N$3</f>
        <v>6680</v>
      </c>
      <c r="Z1309" s="609"/>
      <c r="AA1309" s="616"/>
      <c r="AB1309" s="616"/>
      <c r="AC1309" s="616"/>
      <c r="AD1309" s="616"/>
      <c r="AE1309" s="616"/>
      <c r="AF1309" s="616"/>
      <c r="AG1309" s="616"/>
      <c r="AH1309" s="616"/>
      <c r="AI1309" s="616"/>
      <c r="AJ1309" s="616"/>
      <c r="AK1309" s="616"/>
      <c r="AL1309" s="616"/>
      <c r="AM1309" s="616"/>
      <c r="AN1309" s="616"/>
    </row>
    <row r="1310" spans="1:40" ht="15.75" customHeight="1">
      <c r="A1310" s="683">
        <v>45601</v>
      </c>
      <c r="B1310" s="612" t="s">
        <v>531</v>
      </c>
      <c r="C1310" s="611" t="s">
        <v>451</v>
      </c>
      <c r="D1310" s="608"/>
      <c r="E1310" s="518"/>
      <c r="F1310" s="518">
        <v>1599</v>
      </c>
      <c r="G1310" s="608"/>
      <c r="H1310" s="518"/>
      <c r="I1310" s="518"/>
      <c r="J1310" s="518"/>
      <c r="K1310" s="518"/>
      <c r="L1310" s="518"/>
      <c r="M1310" s="518"/>
      <c r="N1310" s="518"/>
      <c r="O1310" s="518"/>
      <c r="P1310" s="518"/>
      <c r="Q1310" s="518"/>
      <c r="R1310" s="518"/>
      <c r="S1310" s="518"/>
      <c r="T1310" s="518"/>
      <c r="U1310" s="518"/>
      <c r="V1310" s="518"/>
      <c r="W1310" s="518"/>
      <c r="X1310" s="808"/>
      <c r="Y1310" s="809"/>
      <c r="Z1310" s="609"/>
      <c r="AA1310" s="616"/>
      <c r="AB1310" s="616"/>
      <c r="AC1310" s="616"/>
      <c r="AD1310" s="616"/>
      <c r="AE1310" s="616"/>
      <c r="AF1310" s="616"/>
      <c r="AG1310" s="616"/>
      <c r="AH1310" s="616"/>
      <c r="AI1310" s="616"/>
      <c r="AJ1310" s="616"/>
      <c r="AK1310" s="616"/>
      <c r="AL1310" s="616"/>
      <c r="AM1310" s="616"/>
      <c r="AN1310" s="616"/>
    </row>
    <row r="1311" spans="1:40" ht="15.75" customHeight="1">
      <c r="A1311" s="669">
        <v>45601</v>
      </c>
      <c r="B1311" s="612" t="s">
        <v>531</v>
      </c>
      <c r="C1311" s="615" t="s">
        <v>451</v>
      </c>
      <c r="D1311" s="535"/>
      <c r="E1311" s="694"/>
      <c r="F1311" s="518">
        <v>2000</v>
      </c>
      <c r="G1311" s="535"/>
      <c r="H1311" s="694"/>
      <c r="I1311" s="694"/>
      <c r="J1311" s="694"/>
      <c r="K1311" s="694"/>
      <c r="L1311" s="694"/>
      <c r="M1311" s="694"/>
      <c r="N1311" s="694"/>
      <c r="O1311" s="694"/>
      <c r="P1311" s="694"/>
      <c r="Q1311" s="694"/>
      <c r="R1311" s="694"/>
      <c r="S1311" s="694"/>
      <c r="T1311" s="694"/>
      <c r="U1311" s="694"/>
      <c r="V1311" s="694"/>
      <c r="W1311" s="694"/>
      <c r="X1311" s="808"/>
      <c r="Y1311" s="809"/>
      <c r="Z1311" s="609"/>
      <c r="AA1311" s="528"/>
      <c r="AB1311" s="528"/>
      <c r="AC1311" s="528"/>
      <c r="AD1311" s="528"/>
      <c r="AE1311" s="528"/>
      <c r="AF1311" s="528"/>
      <c r="AG1311" s="528"/>
      <c r="AH1311" s="528"/>
      <c r="AI1311" s="528"/>
      <c r="AJ1311" s="528"/>
      <c r="AK1311" s="528"/>
      <c r="AL1311" s="528"/>
      <c r="AM1311" s="528"/>
      <c r="AN1311" s="528"/>
    </row>
    <row r="1312" spans="1:40" ht="15.75" customHeight="1">
      <c r="A1312" s="683">
        <v>45607</v>
      </c>
      <c r="B1312" s="612"/>
      <c r="C1312" s="611" t="s">
        <v>320</v>
      </c>
      <c r="D1312" s="608"/>
      <c r="E1312" s="518"/>
      <c r="F1312" s="518"/>
      <c r="G1312" s="608"/>
      <c r="H1312" s="518"/>
      <c r="I1312" s="518"/>
      <c r="J1312" s="518"/>
      <c r="K1312" s="518">
        <v>37.799999999999997</v>
      </c>
      <c r="L1312" s="518"/>
      <c r="M1312" s="518"/>
      <c r="N1312" s="518"/>
      <c r="O1312" s="518"/>
      <c r="P1312" s="518"/>
      <c r="Q1312" s="518"/>
      <c r="R1312" s="518"/>
      <c r="S1312" s="518"/>
      <c r="T1312" s="518"/>
      <c r="U1312" s="518"/>
      <c r="V1312" s="518"/>
      <c r="W1312" s="518"/>
      <c r="X1312" s="1033">
        <f>K1312</f>
        <v>37.799999999999997</v>
      </c>
      <c r="Y1312" s="809" t="str">
        <f>$K$3</f>
        <v>6495-1</v>
      </c>
      <c r="Z1312" s="609"/>
      <c r="AA1312" s="616"/>
      <c r="AB1312" s="616"/>
      <c r="AC1312" s="616"/>
      <c r="AD1312" s="616"/>
      <c r="AE1312" s="616"/>
      <c r="AF1312" s="616"/>
      <c r="AG1312" s="616"/>
      <c r="AH1312" s="616"/>
      <c r="AI1312" s="616"/>
      <c r="AJ1312" s="616"/>
      <c r="AK1312" s="616"/>
      <c r="AL1312" s="616"/>
      <c r="AM1312" s="616"/>
      <c r="AN1312" s="616"/>
    </row>
    <row r="1313" spans="1:40" ht="15.75" customHeight="1">
      <c r="A1313" s="683">
        <v>45610</v>
      </c>
      <c r="B1313" s="612"/>
      <c r="C1313" s="611" t="s">
        <v>194</v>
      </c>
      <c r="D1313" s="608"/>
      <c r="E1313" s="518"/>
      <c r="F1313" s="518"/>
      <c r="G1313" s="608"/>
      <c r="H1313" s="518"/>
      <c r="I1313" s="518"/>
      <c r="J1313" s="518"/>
      <c r="K1313" s="518"/>
      <c r="L1313" s="518"/>
      <c r="M1313" s="518"/>
      <c r="N1313" s="518"/>
      <c r="O1313" s="518"/>
      <c r="P1313" s="518"/>
      <c r="Q1313" s="518"/>
      <c r="R1313" s="518"/>
      <c r="S1313" s="518">
        <v>11.5</v>
      </c>
      <c r="T1313" s="518"/>
      <c r="U1313" s="518"/>
      <c r="V1313" s="518"/>
      <c r="W1313" s="518"/>
      <c r="X1313" s="808">
        <f>S1313</f>
        <v>11.5</v>
      </c>
      <c r="Y1313" s="809">
        <f>$S$3</f>
        <v>6855</v>
      </c>
      <c r="Z1313" s="609"/>
      <c r="AA1313" s="616"/>
      <c r="AB1313" s="616"/>
      <c r="AC1313" s="616"/>
      <c r="AD1313" s="616"/>
      <c r="AE1313" s="616"/>
      <c r="AF1313" s="616"/>
      <c r="AG1313" s="616"/>
      <c r="AH1313" s="616"/>
      <c r="AI1313" s="616"/>
      <c r="AJ1313" s="616"/>
      <c r="AK1313" s="616"/>
      <c r="AL1313" s="616"/>
      <c r="AM1313" s="616"/>
      <c r="AN1313" s="616"/>
    </row>
    <row r="1314" spans="1:40" ht="18" customHeight="1">
      <c r="A1314" s="683">
        <v>45611</v>
      </c>
      <c r="B1314" s="612"/>
      <c r="C1314" s="611" t="s">
        <v>568</v>
      </c>
      <c r="D1314" s="608"/>
      <c r="E1314" s="518"/>
      <c r="F1314" s="518"/>
      <c r="G1314" s="608"/>
      <c r="H1314" s="518"/>
      <c r="I1314" s="518"/>
      <c r="J1314" s="518"/>
      <c r="K1314" s="518"/>
      <c r="L1314" s="518"/>
      <c r="M1314" s="518"/>
      <c r="N1314" s="518"/>
      <c r="O1314" s="518"/>
      <c r="P1314" s="518"/>
      <c r="Q1314" s="518"/>
      <c r="R1314" s="518"/>
      <c r="S1314" s="518"/>
      <c r="T1314" s="518">
        <v>18.36</v>
      </c>
      <c r="U1314" s="518"/>
      <c r="V1314" s="518"/>
      <c r="W1314" s="518"/>
      <c r="X1314" s="808">
        <f>T1314</f>
        <v>18.36</v>
      </c>
      <c r="Y1314" s="809">
        <f>$T$3</f>
        <v>2300</v>
      </c>
      <c r="Z1314" s="609"/>
      <c r="AA1314" s="616"/>
      <c r="AB1314" s="616"/>
      <c r="AC1314" s="616"/>
      <c r="AD1314" s="616"/>
      <c r="AE1314" s="616"/>
      <c r="AF1314" s="616"/>
      <c r="AG1314" s="616"/>
      <c r="AH1314" s="616"/>
      <c r="AI1314" s="616"/>
      <c r="AJ1314" s="616"/>
      <c r="AK1314" s="616"/>
      <c r="AL1314" s="616"/>
      <c r="AM1314" s="616"/>
      <c r="AN1314" s="616"/>
    </row>
    <row r="1315" spans="1:40" ht="15.75" customHeight="1">
      <c r="A1315" s="683">
        <v>45611</v>
      </c>
      <c r="B1315" s="615"/>
      <c r="C1315" s="611" t="s">
        <v>341</v>
      </c>
      <c r="D1315" s="608"/>
      <c r="E1315" s="518"/>
      <c r="F1315" s="518"/>
      <c r="G1315" s="608"/>
      <c r="H1315" s="518">
        <v>869.75</v>
      </c>
      <c r="I1315" s="518"/>
      <c r="J1315" s="518"/>
      <c r="K1315" s="518"/>
      <c r="L1315" s="518"/>
      <c r="M1315" s="518"/>
      <c r="N1315" s="518"/>
      <c r="O1315" s="518"/>
      <c r="P1315" s="518"/>
      <c r="Q1315" s="518"/>
      <c r="R1315" s="518"/>
      <c r="S1315" s="518"/>
      <c r="T1315" s="518"/>
      <c r="U1315" s="518"/>
      <c r="V1315" s="518"/>
      <c r="W1315" s="518"/>
      <c r="X1315" s="1033">
        <f>H1315</f>
        <v>869.75</v>
      </c>
      <c r="Y1315" s="809">
        <f>$H$3</f>
        <v>2200</v>
      </c>
      <c r="Z1315" s="609"/>
      <c r="AA1315" s="616"/>
      <c r="AB1315" s="616"/>
      <c r="AC1315" s="616"/>
      <c r="AD1315" s="616"/>
      <c r="AE1315" s="616"/>
      <c r="AF1315" s="616"/>
      <c r="AG1315" s="616"/>
      <c r="AH1315" s="616"/>
      <c r="AI1315" s="616"/>
      <c r="AJ1315" s="616"/>
      <c r="AK1315" s="616"/>
      <c r="AL1315" s="616"/>
      <c r="AM1315" s="616"/>
      <c r="AN1315" s="616"/>
    </row>
    <row r="1316" spans="1:40" ht="15.75" customHeight="1">
      <c r="A1316" s="683">
        <v>45612</v>
      </c>
      <c r="B1316" s="615"/>
      <c r="C1316" s="614" t="s">
        <v>508</v>
      </c>
      <c r="D1316" s="608"/>
      <c r="E1316" s="518"/>
      <c r="F1316" s="518"/>
      <c r="G1316" s="608"/>
      <c r="H1316" s="518"/>
      <c r="I1316" s="518"/>
      <c r="J1316" s="518"/>
      <c r="K1316" s="518"/>
      <c r="L1316" s="518"/>
      <c r="M1316" s="518"/>
      <c r="N1316" s="518"/>
      <c r="O1316" s="518"/>
      <c r="P1316" s="518"/>
      <c r="Q1316" s="518">
        <v>5.39</v>
      </c>
      <c r="R1316" s="518"/>
      <c r="S1316" s="518"/>
      <c r="T1316" s="518"/>
      <c r="U1316" s="518"/>
      <c r="V1316" s="518"/>
      <c r="W1316" s="518"/>
      <c r="X1316" s="808">
        <f t="shared" ref="X1316" si="15">Q1316</f>
        <v>5.39</v>
      </c>
      <c r="Y1316" s="809" t="str">
        <f t="shared" ref="Y1316" si="16">$Q$3</f>
        <v>6495-2</v>
      </c>
      <c r="Z1316" s="609"/>
      <c r="AA1316" s="616"/>
      <c r="AB1316" s="616"/>
      <c r="AC1316" s="616"/>
      <c r="AD1316" s="616"/>
      <c r="AE1316" s="616"/>
      <c r="AF1316" s="616"/>
      <c r="AG1316" s="616"/>
      <c r="AH1316" s="616"/>
      <c r="AI1316" s="616"/>
      <c r="AJ1316" s="616"/>
      <c r="AK1316" s="616"/>
      <c r="AL1316" s="616"/>
      <c r="AM1316" s="616"/>
      <c r="AN1316" s="616"/>
    </row>
    <row r="1317" spans="1:40" ht="15.75" customHeight="1">
      <c r="A1317" s="683">
        <v>45613</v>
      </c>
      <c r="B1317" s="612"/>
      <c r="C1317" s="611" t="s">
        <v>320</v>
      </c>
      <c r="D1317" s="608"/>
      <c r="E1317" s="518"/>
      <c r="F1317" s="518"/>
      <c r="G1317" s="608"/>
      <c r="H1317" s="518"/>
      <c r="I1317" s="518"/>
      <c r="J1317" s="518"/>
      <c r="K1317" s="518">
        <v>38.409999999999997</v>
      </c>
      <c r="L1317" s="518"/>
      <c r="M1317" s="518"/>
      <c r="N1317" s="518"/>
      <c r="O1317" s="518"/>
      <c r="P1317" s="518"/>
      <c r="Q1317" s="518"/>
      <c r="R1317" s="518"/>
      <c r="S1317" s="518"/>
      <c r="T1317" s="518"/>
      <c r="U1317" s="518"/>
      <c r="V1317" s="518"/>
      <c r="W1317" s="518"/>
      <c r="X1317" s="1033">
        <f>K1317</f>
        <v>38.409999999999997</v>
      </c>
      <c r="Y1317" s="809" t="str">
        <f>$K$3</f>
        <v>6495-1</v>
      </c>
      <c r="Z1317" s="609"/>
      <c r="AA1317" s="616"/>
      <c r="AB1317" s="616"/>
      <c r="AC1317" s="616"/>
      <c r="AD1317" s="616"/>
      <c r="AE1317" s="616"/>
      <c r="AF1317" s="616"/>
      <c r="AG1317" s="616"/>
      <c r="AH1317" s="616"/>
      <c r="AI1317" s="616"/>
      <c r="AJ1317" s="616"/>
      <c r="AK1317" s="616"/>
      <c r="AL1317" s="616"/>
      <c r="AM1317" s="616"/>
      <c r="AN1317" s="616"/>
    </row>
    <row r="1318" spans="1:40" ht="15.75" customHeight="1">
      <c r="A1318" s="683">
        <v>45615</v>
      </c>
      <c r="B1318" s="613"/>
      <c r="C1318" s="611" t="s">
        <v>518</v>
      </c>
      <c r="D1318" s="608"/>
      <c r="E1318" s="518"/>
      <c r="F1318" s="518"/>
      <c r="G1318" s="608"/>
      <c r="H1318" s="518"/>
      <c r="I1318" s="518"/>
      <c r="J1318" s="518"/>
      <c r="K1318" s="518">
        <v>34.99</v>
      </c>
      <c r="L1318" s="518"/>
      <c r="M1318" s="518"/>
      <c r="N1318" s="518"/>
      <c r="O1318" s="518"/>
      <c r="P1318" s="518"/>
      <c r="Q1318" s="518"/>
      <c r="R1318" s="518"/>
      <c r="S1318" s="518"/>
      <c r="T1318" s="518"/>
      <c r="U1318" s="518"/>
      <c r="V1318" s="518"/>
      <c r="W1318" s="518"/>
      <c r="X1318" s="1033">
        <f>K1318</f>
        <v>34.99</v>
      </c>
      <c r="Y1318" s="809" t="str">
        <f>$K$3</f>
        <v>6495-1</v>
      </c>
      <c r="Z1318" s="609"/>
      <c r="AA1318" s="616"/>
      <c r="AB1318" s="616"/>
      <c r="AC1318" s="616"/>
      <c r="AD1318" s="616"/>
      <c r="AE1318" s="616"/>
      <c r="AF1318" s="616"/>
      <c r="AG1318" s="616"/>
      <c r="AH1318" s="616"/>
      <c r="AI1318" s="616"/>
      <c r="AJ1318" s="616"/>
      <c r="AK1318" s="616"/>
      <c r="AL1318" s="616"/>
      <c r="AM1318" s="616"/>
      <c r="AN1318" s="616"/>
    </row>
    <row r="1319" spans="1:40" ht="15.75" customHeight="1">
      <c r="A1319" s="683">
        <v>45616</v>
      </c>
      <c r="B1319" s="613"/>
      <c r="C1319" s="611" t="s">
        <v>78</v>
      </c>
      <c r="D1319" s="608"/>
      <c r="E1319" s="518"/>
      <c r="F1319" s="518"/>
      <c r="G1319" s="608"/>
      <c r="H1319" s="518"/>
      <c r="I1319" s="518"/>
      <c r="J1319" s="518">
        <v>20.27</v>
      </c>
      <c r="K1319" s="518"/>
      <c r="L1319" s="518"/>
      <c r="M1319" s="518"/>
      <c r="N1319" s="518"/>
      <c r="O1319" s="518"/>
      <c r="P1319" s="518"/>
      <c r="Q1319" s="518"/>
      <c r="R1319" s="518"/>
      <c r="S1319" s="518"/>
      <c r="T1319" s="518"/>
      <c r="U1319" s="518"/>
      <c r="V1319" s="518"/>
      <c r="W1319" s="518"/>
      <c r="X1319" s="1033">
        <f>J1319</f>
        <v>20.27</v>
      </c>
      <c r="Y1319" s="809">
        <f>$J$3</f>
        <v>6805</v>
      </c>
      <c r="Z1319" s="609"/>
      <c r="AA1319" s="616"/>
      <c r="AB1319" s="616"/>
      <c r="AC1319" s="616"/>
      <c r="AD1319" s="616"/>
      <c r="AE1319" s="616"/>
      <c r="AF1319" s="616"/>
      <c r="AG1319" s="616"/>
      <c r="AH1319" s="616"/>
      <c r="AI1319" s="616"/>
      <c r="AJ1319" s="616"/>
      <c r="AK1319" s="616"/>
      <c r="AL1319" s="616"/>
      <c r="AM1319" s="616"/>
      <c r="AN1319" s="616"/>
    </row>
    <row r="1320" spans="1:40" ht="15.75" customHeight="1">
      <c r="A1320" s="683">
        <v>45619</v>
      </c>
      <c r="B1320" s="615"/>
      <c r="C1320" s="611" t="s">
        <v>364</v>
      </c>
      <c r="D1320" s="608"/>
      <c r="E1320" s="518"/>
      <c r="F1320" s="518"/>
      <c r="G1320" s="608"/>
      <c r="H1320" s="518"/>
      <c r="I1320" s="518"/>
      <c r="J1320" s="518"/>
      <c r="K1320" s="518">
        <v>12.1</v>
      </c>
      <c r="L1320" s="518"/>
      <c r="M1320" s="518"/>
      <c r="N1320" s="518"/>
      <c r="O1320" s="518"/>
      <c r="P1320" s="518"/>
      <c r="Q1320" s="518"/>
      <c r="R1320" s="518"/>
      <c r="S1320" s="518">
        <v>11.83</v>
      </c>
      <c r="T1320" s="518"/>
      <c r="U1320" s="518"/>
      <c r="V1320" s="518"/>
      <c r="W1320" s="518"/>
      <c r="X1320" s="1033">
        <f>K1320</f>
        <v>12.1</v>
      </c>
      <c r="Y1320" s="809" t="str">
        <f>$K$3</f>
        <v>6495-1</v>
      </c>
      <c r="Z1320" s="609"/>
      <c r="AA1320" s="616"/>
      <c r="AB1320" s="616"/>
      <c r="AC1320" s="616"/>
      <c r="AD1320" s="616"/>
      <c r="AE1320" s="616"/>
      <c r="AF1320" s="616"/>
      <c r="AG1320" s="616"/>
      <c r="AH1320" s="616"/>
      <c r="AI1320" s="616"/>
      <c r="AJ1320" s="616"/>
      <c r="AK1320" s="616"/>
      <c r="AL1320" s="616"/>
      <c r="AM1320" s="616"/>
      <c r="AN1320" s="616"/>
    </row>
    <row r="1321" spans="1:40" ht="15.75" customHeight="1">
      <c r="A1321" s="683">
        <v>45621</v>
      </c>
      <c r="B1321" s="612"/>
      <c r="C1321" s="611" t="s">
        <v>320</v>
      </c>
      <c r="D1321" s="608"/>
      <c r="E1321" s="518"/>
      <c r="F1321" s="518"/>
      <c r="G1321" s="608"/>
      <c r="H1321" s="518"/>
      <c r="I1321" s="518"/>
      <c r="J1321" s="518"/>
      <c r="K1321" s="518">
        <v>38.64</v>
      </c>
      <c r="L1321" s="518"/>
      <c r="M1321" s="518"/>
      <c r="N1321" s="518"/>
      <c r="O1321" s="518"/>
      <c r="P1321" s="518"/>
      <c r="Q1321" s="518"/>
      <c r="R1321" s="518"/>
      <c r="S1321" s="518"/>
      <c r="T1321" s="518"/>
      <c r="U1321" s="518"/>
      <c r="V1321" s="518"/>
      <c r="W1321" s="518"/>
      <c r="X1321" s="1033">
        <f>K1321</f>
        <v>38.64</v>
      </c>
      <c r="Y1321" s="809" t="str">
        <f>$K$3</f>
        <v>6495-1</v>
      </c>
      <c r="Z1321" s="609"/>
      <c r="AA1321" s="616"/>
      <c r="AB1321" s="616"/>
      <c r="AC1321" s="616"/>
      <c r="AD1321" s="616"/>
      <c r="AE1321" s="616"/>
      <c r="AF1321" s="616"/>
      <c r="AG1321" s="616"/>
      <c r="AH1321" s="616"/>
      <c r="AI1321" s="616"/>
      <c r="AJ1321" s="616"/>
      <c r="AK1321" s="616"/>
      <c r="AL1321" s="616"/>
      <c r="AM1321" s="616"/>
      <c r="AN1321" s="616"/>
    </row>
    <row r="1322" spans="1:40" ht="15.75" customHeight="1">
      <c r="A1322" s="683">
        <v>45625</v>
      </c>
      <c r="B1322" s="612"/>
      <c r="C1322" s="611" t="s">
        <v>545</v>
      </c>
      <c r="D1322" s="608"/>
      <c r="E1322" s="518"/>
      <c r="F1322" s="518"/>
      <c r="G1322" s="608"/>
      <c r="H1322" s="518"/>
      <c r="I1322" s="518"/>
      <c r="J1322" s="518"/>
      <c r="K1322" s="518"/>
      <c r="L1322" s="518"/>
      <c r="M1322" s="518"/>
      <c r="N1322" s="518"/>
      <c r="O1322" s="518"/>
      <c r="P1322" s="518"/>
      <c r="Q1322" s="518"/>
      <c r="R1322" s="518"/>
      <c r="S1322" s="518">
        <f>9.5*B1308</f>
        <v>11.394413999999999</v>
      </c>
      <c r="T1322" s="518"/>
      <c r="U1322" s="518"/>
      <c r="V1322" s="518"/>
      <c r="W1322" s="518"/>
      <c r="X1322" s="808">
        <f>S1322</f>
        <v>11.394413999999999</v>
      </c>
      <c r="Y1322" s="809">
        <f>$S$3</f>
        <v>6855</v>
      </c>
      <c r="Z1322" s="609"/>
      <c r="AA1322" s="616"/>
      <c r="AB1322" s="616"/>
      <c r="AC1322" s="616"/>
      <c r="AD1322" s="616"/>
      <c r="AE1322" s="616"/>
      <c r="AF1322" s="616"/>
      <c r="AG1322" s="616"/>
      <c r="AH1322" s="616"/>
      <c r="AI1322" s="616"/>
      <c r="AJ1322" s="616"/>
      <c r="AK1322" s="616"/>
      <c r="AL1322" s="616"/>
      <c r="AM1322" s="616"/>
      <c r="AN1322" s="616"/>
    </row>
    <row r="1323" spans="1:40" ht="15.75" customHeight="1">
      <c r="A1323" s="683">
        <v>45625</v>
      </c>
      <c r="B1323" s="615"/>
      <c r="C1323" s="614" t="s">
        <v>260</v>
      </c>
      <c r="D1323" s="608"/>
      <c r="E1323" s="518">
        <v>633.20000000000005</v>
      </c>
      <c r="F1323" s="518"/>
      <c r="G1323" s="608"/>
      <c r="H1323" s="518"/>
      <c r="I1323" s="518"/>
      <c r="J1323" s="518"/>
      <c r="K1323" s="518"/>
      <c r="L1323" s="518"/>
      <c r="M1323" s="518"/>
      <c r="N1323" s="518"/>
      <c r="O1323" s="518"/>
      <c r="P1323" s="518"/>
      <c r="Q1323" s="518"/>
      <c r="R1323" s="518"/>
      <c r="S1323" s="518"/>
      <c r="T1323" s="518"/>
      <c r="U1323" s="518"/>
      <c r="V1323" s="518"/>
      <c r="W1323" s="518"/>
      <c r="X1323" s="808">
        <f>E1323</f>
        <v>633.20000000000005</v>
      </c>
      <c r="Y1323" s="809" t="s">
        <v>2304</v>
      </c>
      <c r="Z1323" s="609"/>
      <c r="AA1323" s="616"/>
      <c r="AB1323" s="616"/>
      <c r="AC1323" s="616"/>
      <c r="AD1323" s="616"/>
      <c r="AE1323" s="616"/>
      <c r="AF1323" s="616"/>
      <c r="AG1323" s="616"/>
      <c r="AH1323" s="616"/>
      <c r="AI1323" s="616"/>
      <c r="AJ1323" s="616"/>
      <c r="AK1323" s="616"/>
      <c r="AL1323" s="616"/>
      <c r="AM1323" s="616"/>
      <c r="AN1323" s="616"/>
    </row>
    <row r="1324" spans="1:40" ht="15.75" customHeight="1">
      <c r="A1324" s="695">
        <v>45626</v>
      </c>
      <c r="B1324" s="612"/>
      <c r="C1324" s="611" t="s">
        <v>344</v>
      </c>
      <c r="D1324" s="608"/>
      <c r="E1324" s="518"/>
      <c r="F1324" s="518"/>
      <c r="G1324" s="608"/>
      <c r="H1324" s="518"/>
      <c r="I1324" s="518"/>
      <c r="J1324" s="518"/>
      <c r="K1324" s="518"/>
      <c r="L1324" s="518"/>
      <c r="M1324" s="518"/>
      <c r="N1324" s="518"/>
      <c r="O1324" s="518"/>
      <c r="P1324" s="518"/>
      <c r="Q1324" s="518"/>
      <c r="R1324" s="518"/>
      <c r="S1324" s="518">
        <f>0.43+0.73+0.74+0.75+0.24+0.75</f>
        <v>3.6399999999999997</v>
      </c>
      <c r="T1324" s="518"/>
      <c r="U1324" s="518"/>
      <c r="V1324" s="518"/>
      <c r="W1324" s="518"/>
      <c r="X1324" s="808">
        <f>S1324</f>
        <v>3.6399999999999997</v>
      </c>
      <c r="Y1324" s="809">
        <f>$S$3</f>
        <v>6855</v>
      </c>
      <c r="Z1324" s="609"/>
      <c r="AA1324" s="616"/>
      <c r="AB1324" s="616"/>
      <c r="AC1324" s="616"/>
      <c r="AD1324" s="616"/>
      <c r="AE1324" s="616"/>
      <c r="AF1324" s="616"/>
      <c r="AG1324" s="616"/>
      <c r="AH1324" s="616"/>
      <c r="AI1324" s="616"/>
      <c r="AJ1324" s="616"/>
      <c r="AK1324" s="616"/>
      <c r="AL1324" s="616"/>
      <c r="AM1324" s="616"/>
      <c r="AN1324" s="616"/>
    </row>
    <row r="1325" spans="1:40" ht="15.75" customHeight="1">
      <c r="A1325" s="683"/>
      <c r="B1325" s="612"/>
      <c r="C1325" s="611"/>
      <c r="D1325" s="608"/>
      <c r="E1325" s="518"/>
      <c r="F1325" s="518"/>
      <c r="G1325" s="518"/>
      <c r="H1325" s="518"/>
      <c r="I1325" s="518"/>
      <c r="J1325" s="518"/>
      <c r="K1325" s="518"/>
      <c r="L1325" s="518"/>
      <c r="M1325" s="518"/>
      <c r="N1325" s="518"/>
      <c r="O1325" s="518"/>
      <c r="P1325" s="518"/>
      <c r="Q1325" s="518"/>
      <c r="R1325" s="518"/>
      <c r="S1325" s="518"/>
      <c r="T1325" s="518"/>
      <c r="U1325" s="518"/>
      <c r="V1325" s="518"/>
      <c r="W1325" s="518"/>
      <c r="X1325" s="808"/>
      <c r="Y1325" s="809"/>
      <c r="Z1325" s="609"/>
      <c r="AA1325" s="604"/>
      <c r="AB1325" s="604"/>
      <c r="AC1325" s="604"/>
      <c r="AD1325" s="604"/>
      <c r="AE1325" s="604"/>
      <c r="AF1325" s="604"/>
      <c r="AG1325" s="604"/>
      <c r="AH1325" s="604"/>
      <c r="AI1325" s="604"/>
      <c r="AJ1325" s="604"/>
      <c r="AK1325" s="604"/>
      <c r="AL1325" s="604"/>
      <c r="AM1325" s="604"/>
      <c r="AN1325" s="604"/>
    </row>
    <row r="1326" spans="1:40" ht="15.75" customHeight="1">
      <c r="A1326" s="620"/>
      <c r="B1326" s="620"/>
      <c r="C1326" s="623"/>
      <c r="D1326" s="623"/>
      <c r="E1326" s="623"/>
      <c r="F1326" s="623"/>
      <c r="G1326" s="623"/>
      <c r="H1326" s="623"/>
      <c r="I1326" s="623"/>
      <c r="J1326" s="623"/>
      <c r="K1326" s="623"/>
      <c r="L1326" s="623"/>
      <c r="M1326" s="623"/>
      <c r="N1326" s="623"/>
      <c r="O1326" s="623"/>
      <c r="P1326" s="623"/>
      <c r="Q1326" s="623"/>
      <c r="R1326" s="623"/>
      <c r="S1326" s="623"/>
      <c r="T1326" s="623"/>
      <c r="U1326" s="623"/>
      <c r="V1326" s="623"/>
      <c r="W1326" s="623"/>
      <c r="X1326" s="808"/>
      <c r="Y1326" s="809"/>
      <c r="Z1326" s="623"/>
      <c r="AA1326" s="604"/>
      <c r="AB1326" s="604"/>
      <c r="AC1326" s="604"/>
      <c r="AD1326" s="604"/>
      <c r="AE1326" s="604"/>
      <c r="AF1326" s="604"/>
      <c r="AG1326" s="604"/>
      <c r="AH1326" s="604"/>
      <c r="AI1326" s="604"/>
      <c r="AJ1326" s="604"/>
      <c r="AK1326" s="604"/>
      <c r="AL1326" s="604"/>
      <c r="AM1326" s="604"/>
      <c r="AN1326" s="604"/>
    </row>
    <row r="1327" spans="1:40" ht="15.75" customHeight="1">
      <c r="A1327" s="683"/>
      <c r="B1327" s="616"/>
      <c r="C1327" s="685"/>
      <c r="D1327" s="608"/>
      <c r="E1327" s="518"/>
      <c r="F1327" s="518"/>
      <c r="G1327" s="518"/>
      <c r="H1327" s="518"/>
      <c r="I1327" s="518"/>
      <c r="J1327" s="518"/>
      <c r="K1327" s="518"/>
      <c r="L1327" s="518"/>
      <c r="M1327" s="518"/>
      <c r="N1327" s="518"/>
      <c r="O1327" s="518"/>
      <c r="P1327" s="518"/>
      <c r="Q1327" s="518"/>
      <c r="R1327" s="518"/>
      <c r="S1327" s="518"/>
      <c r="T1327" s="518"/>
      <c r="U1327" s="518"/>
      <c r="V1327" s="518"/>
      <c r="W1327" s="518"/>
      <c r="X1327" s="808"/>
      <c r="Y1327" s="809"/>
      <c r="Z1327" s="609"/>
    </row>
    <row r="1328" spans="1:40" ht="15.75" customHeight="1">
      <c r="A1328" s="683">
        <v>45597</v>
      </c>
      <c r="B1328" s="693" t="s">
        <v>617</v>
      </c>
      <c r="C1328" s="685" t="s">
        <v>618</v>
      </c>
      <c r="D1328" s="608"/>
      <c r="E1328" s="518">
        <v>4820</v>
      </c>
      <c r="F1328" s="518"/>
      <c r="G1328" s="608"/>
      <c r="H1328" s="518"/>
      <c r="I1328" s="518"/>
      <c r="J1328" s="518"/>
      <c r="K1328" s="518"/>
      <c r="L1328" s="518"/>
      <c r="M1328" s="518"/>
      <c r="N1328" s="518"/>
      <c r="O1328" s="518"/>
      <c r="P1328" s="518"/>
      <c r="Q1328" s="518"/>
      <c r="R1328" s="518"/>
      <c r="S1328" s="518"/>
      <c r="T1328" s="518"/>
      <c r="U1328" s="518"/>
      <c r="V1328" s="518"/>
      <c r="W1328" s="518"/>
      <c r="X1328" s="808">
        <f>E1328</f>
        <v>4820</v>
      </c>
      <c r="Y1328" s="809" t="s">
        <v>2304</v>
      </c>
      <c r="Z1328" s="609"/>
    </row>
    <row r="1329" spans="1:40" ht="15.75" customHeight="1">
      <c r="A1329" s="683">
        <v>45597</v>
      </c>
      <c r="B1329" s="693"/>
      <c r="C1329" s="685" t="s">
        <v>619</v>
      </c>
      <c r="D1329" s="608"/>
      <c r="E1329" s="518"/>
      <c r="F1329" s="518"/>
      <c r="G1329" s="608"/>
      <c r="H1329" s="518"/>
      <c r="I1329" s="518"/>
      <c r="J1329" s="518"/>
      <c r="K1329" s="518"/>
      <c r="L1329" s="518"/>
      <c r="M1329" s="518"/>
      <c r="N1329" s="518"/>
      <c r="O1329" s="518"/>
      <c r="P1329" s="518"/>
      <c r="Q1329" s="518">
        <v>21.95</v>
      </c>
      <c r="R1329" s="518"/>
      <c r="S1329" s="518"/>
      <c r="T1329" s="518"/>
      <c r="U1329" s="518"/>
      <c r="V1329" s="518"/>
      <c r="W1329" s="518"/>
      <c r="X1329" s="808"/>
      <c r="Y1329" s="809"/>
      <c r="Z1329" s="609"/>
    </row>
    <row r="1330" spans="1:40" ht="15.75" customHeight="1">
      <c r="A1330" s="683">
        <v>45597</v>
      </c>
      <c r="B1330" s="673" t="s">
        <v>620</v>
      </c>
      <c r="C1330" s="685" t="s">
        <v>200</v>
      </c>
      <c r="D1330" s="608">
        <v>1328</v>
      </c>
      <c r="E1330" s="518"/>
      <c r="F1330" s="518"/>
      <c r="G1330" s="608"/>
      <c r="H1330" s="518"/>
      <c r="I1330" s="518"/>
      <c r="J1330" s="518"/>
      <c r="K1330" s="518"/>
      <c r="L1330" s="518"/>
      <c r="M1330" s="518"/>
      <c r="N1330" s="518"/>
      <c r="O1330" s="518"/>
      <c r="P1330" s="518"/>
      <c r="Q1330" s="518"/>
      <c r="R1330" s="518"/>
      <c r="S1330" s="518"/>
      <c r="T1330" s="518"/>
      <c r="U1330" s="518"/>
      <c r="V1330" s="518"/>
      <c r="W1330" s="518"/>
      <c r="X1330" s="1034">
        <f>D1330</f>
        <v>1328</v>
      </c>
      <c r="Y1330" s="809" t="s">
        <v>2300</v>
      </c>
      <c r="Z1330" s="609"/>
    </row>
    <row r="1331" spans="1:40" ht="15.75" customHeight="1">
      <c r="A1331" s="683">
        <v>45603</v>
      </c>
      <c r="B1331" s="693"/>
      <c r="C1331" s="685" t="s">
        <v>621</v>
      </c>
      <c r="D1331" s="608"/>
      <c r="E1331" s="518"/>
      <c r="F1331" s="518"/>
      <c r="G1331" s="608"/>
      <c r="H1331" s="518"/>
      <c r="I1331" s="518"/>
      <c r="J1331" s="518"/>
      <c r="K1331" s="518"/>
      <c r="L1331" s="518">
        <v>60</v>
      </c>
      <c r="M1331" s="518"/>
      <c r="N1331" s="518"/>
      <c r="O1331" s="518"/>
      <c r="P1331" s="518"/>
      <c r="Q1331" s="518"/>
      <c r="R1331" s="518"/>
      <c r="S1331" s="518"/>
      <c r="T1331" s="518"/>
      <c r="U1331" s="518"/>
      <c r="V1331" s="518"/>
      <c r="W1331" s="518"/>
      <c r="X1331" s="1033">
        <f>L1331</f>
        <v>60</v>
      </c>
      <c r="Y1331" s="809" t="str">
        <f>$L$3</f>
        <v>6673-1</v>
      </c>
      <c r="Z1331" s="609"/>
    </row>
    <row r="1332" spans="1:40" ht="15.75" customHeight="1">
      <c r="A1332" s="683">
        <v>45605</v>
      </c>
      <c r="B1332" s="693"/>
      <c r="C1332" s="689" t="s">
        <v>2227</v>
      </c>
      <c r="D1332" s="608"/>
      <c r="E1332" s="518"/>
      <c r="F1332" s="518"/>
      <c r="G1332" s="608"/>
      <c r="H1332" s="518"/>
      <c r="I1332" s="518"/>
      <c r="J1332" s="518"/>
      <c r="K1332" s="518"/>
      <c r="L1332" s="518"/>
      <c r="M1332" s="518"/>
      <c r="N1332" s="518">
        <v>83.3</v>
      </c>
      <c r="O1332" s="518"/>
      <c r="P1332" s="518"/>
      <c r="Q1332" s="518"/>
      <c r="R1332" s="518"/>
      <c r="S1332" s="518"/>
      <c r="T1332" s="518"/>
      <c r="U1332" s="518"/>
      <c r="V1332" s="518"/>
      <c r="W1332" s="518"/>
      <c r="X1332" s="808">
        <f>N1332</f>
        <v>83.3</v>
      </c>
      <c r="Y1332" s="809">
        <f>$N$3</f>
        <v>6680</v>
      </c>
      <c r="Z1332" s="609"/>
    </row>
    <row r="1333" spans="1:40" ht="15.75" customHeight="1">
      <c r="A1333" s="683">
        <v>45617</v>
      </c>
      <c r="B1333" s="693"/>
      <c r="C1333" s="685" t="s">
        <v>297</v>
      </c>
      <c r="D1333" s="608"/>
      <c r="E1333" s="518"/>
      <c r="F1333" s="518"/>
      <c r="G1333" s="608"/>
      <c r="H1333" s="518"/>
      <c r="I1333" s="518"/>
      <c r="J1333" s="518"/>
      <c r="K1333" s="518"/>
      <c r="L1333" s="518">
        <v>167.96</v>
      </c>
      <c r="M1333" s="518"/>
      <c r="N1333" s="518"/>
      <c r="O1333" s="518"/>
      <c r="P1333" s="518"/>
      <c r="Q1333" s="518"/>
      <c r="R1333" s="518"/>
      <c r="S1333" s="518"/>
      <c r="T1333" s="518"/>
      <c r="U1333" s="518"/>
      <c r="V1333" s="518"/>
      <c r="W1333" s="518"/>
      <c r="X1333" s="1033">
        <f>L1333</f>
        <v>167.96</v>
      </c>
      <c r="Y1333" s="809" t="str">
        <f>$L$3</f>
        <v>6673-1</v>
      </c>
      <c r="Z1333" s="609"/>
    </row>
    <row r="1334" spans="1:40" ht="15.75" customHeight="1">
      <c r="A1334" s="683">
        <v>45617</v>
      </c>
      <c r="B1334" s="693"/>
      <c r="C1334" s="685" t="s">
        <v>297</v>
      </c>
      <c r="D1334" s="608"/>
      <c r="E1334" s="518"/>
      <c r="F1334" s="518"/>
      <c r="G1334" s="608"/>
      <c r="H1334" s="518"/>
      <c r="I1334" s="518"/>
      <c r="J1334" s="518"/>
      <c r="K1334" s="518"/>
      <c r="L1334" s="518">
        <v>408.25</v>
      </c>
      <c r="M1334" s="518"/>
      <c r="N1334" s="518"/>
      <c r="O1334" s="518"/>
      <c r="P1334" s="518"/>
      <c r="Q1334" s="518"/>
      <c r="R1334" s="518"/>
      <c r="S1334" s="518"/>
      <c r="T1334" s="518"/>
      <c r="U1334" s="518"/>
      <c r="V1334" s="518"/>
      <c r="W1334" s="518"/>
      <c r="X1334" s="1033">
        <f>L1334</f>
        <v>408.25</v>
      </c>
      <c r="Y1334" s="809" t="str">
        <f>$L$3</f>
        <v>6673-1</v>
      </c>
      <c r="Z1334" s="609"/>
    </row>
    <row r="1335" spans="1:40" ht="15.75" customHeight="1">
      <c r="A1335" s="683">
        <v>45618</v>
      </c>
      <c r="B1335" s="693"/>
      <c r="C1335" s="685" t="s">
        <v>622</v>
      </c>
      <c r="D1335" s="608"/>
      <c r="E1335" s="518"/>
      <c r="F1335" s="518">
        <v>20.53</v>
      </c>
      <c r="G1335" s="608"/>
      <c r="H1335" s="518"/>
      <c r="I1335" s="518"/>
      <c r="J1335" s="518"/>
      <c r="K1335" s="518"/>
      <c r="L1335" s="518"/>
      <c r="M1335" s="518"/>
      <c r="N1335" s="518"/>
      <c r="O1335" s="518"/>
      <c r="P1335" s="518"/>
      <c r="Q1335" s="518"/>
      <c r="R1335" s="518"/>
      <c r="S1335" s="518"/>
      <c r="T1335" s="518"/>
      <c r="U1335" s="518"/>
      <c r="V1335" s="518"/>
      <c r="W1335" s="518"/>
      <c r="X1335" s="808"/>
      <c r="Y1335" s="809"/>
      <c r="Z1335" s="609"/>
    </row>
    <row r="1336" spans="1:40" ht="15.75" customHeight="1">
      <c r="A1336" s="683">
        <v>45622</v>
      </c>
      <c r="B1336" s="693"/>
      <c r="C1336" s="685" t="s">
        <v>623</v>
      </c>
      <c r="D1336" s="608"/>
      <c r="E1336" s="518"/>
      <c r="F1336" s="518"/>
      <c r="G1336" s="608"/>
      <c r="H1336" s="518"/>
      <c r="I1336" s="518"/>
      <c r="J1336" s="518"/>
      <c r="K1336" s="518"/>
      <c r="L1336" s="518">
        <v>584.89</v>
      </c>
      <c r="M1336" s="518"/>
      <c r="N1336" s="518"/>
      <c r="O1336" s="518"/>
      <c r="P1336" s="518"/>
      <c r="Q1336" s="518"/>
      <c r="R1336" s="518"/>
      <c r="S1336" s="518"/>
      <c r="T1336" s="518"/>
      <c r="U1336" s="518"/>
      <c r="V1336" s="518"/>
      <c r="W1336" s="518"/>
      <c r="X1336" s="1033">
        <f>L1336</f>
        <v>584.89</v>
      </c>
      <c r="Y1336" s="809" t="str">
        <f>$L$3</f>
        <v>6673-1</v>
      </c>
      <c r="Z1336" s="609"/>
    </row>
    <row r="1337" spans="1:40" ht="15.75" customHeight="1">
      <c r="A1337" s="683">
        <v>45624</v>
      </c>
      <c r="B1337" s="673" t="s">
        <v>624</v>
      </c>
      <c r="C1337" s="685" t="s">
        <v>616</v>
      </c>
      <c r="D1337" s="608">
        <v>350</v>
      </c>
      <c r="E1337" s="518"/>
      <c r="F1337" s="518"/>
      <c r="G1337" s="608"/>
      <c r="H1337" s="518"/>
      <c r="I1337" s="518"/>
      <c r="J1337" s="518"/>
      <c r="K1337" s="518"/>
      <c r="L1337" s="518"/>
      <c r="M1337" s="518"/>
      <c r="N1337" s="518"/>
      <c r="O1337" s="518"/>
      <c r="P1337" s="518"/>
      <c r="Q1337" s="518"/>
      <c r="R1337" s="518"/>
      <c r="S1337" s="518"/>
      <c r="T1337" s="518"/>
      <c r="U1337" s="518"/>
      <c r="V1337" s="518"/>
      <c r="W1337" s="518"/>
      <c r="X1337" s="1034">
        <f>D1337</f>
        <v>350</v>
      </c>
      <c r="Y1337" s="809" t="s">
        <v>2300</v>
      </c>
      <c r="Z1337" s="609"/>
    </row>
    <row r="1338" spans="1:40" ht="15.75" customHeight="1">
      <c r="A1338" s="683">
        <v>45625</v>
      </c>
      <c r="B1338" s="693"/>
      <c r="C1338" s="685" t="s">
        <v>625</v>
      </c>
      <c r="D1338" s="608"/>
      <c r="E1338" s="518"/>
      <c r="F1338" s="518">
        <v>2833</v>
      </c>
      <c r="G1338" s="608"/>
      <c r="H1338" s="518"/>
      <c r="I1338" s="518"/>
      <c r="J1338" s="518"/>
      <c r="K1338" s="518"/>
      <c r="L1338" s="518"/>
      <c r="M1338" s="518"/>
      <c r="N1338" s="518"/>
      <c r="O1338" s="518"/>
      <c r="P1338" s="518"/>
      <c r="Q1338" s="518"/>
      <c r="R1338" s="518"/>
      <c r="S1338" s="518"/>
      <c r="T1338" s="518"/>
      <c r="U1338" s="518"/>
      <c r="V1338" s="518"/>
      <c r="W1338" s="518"/>
      <c r="X1338" s="808"/>
      <c r="Y1338" s="809"/>
      <c r="Z1338" s="609"/>
    </row>
    <row r="1339" spans="1:40" ht="15.75" customHeight="1">
      <c r="A1339" s="683">
        <v>45625</v>
      </c>
      <c r="B1339" s="673" t="s">
        <v>626</v>
      </c>
      <c r="C1339" s="685" t="s">
        <v>627</v>
      </c>
      <c r="D1339" s="608">
        <v>1328</v>
      </c>
      <c r="E1339" s="518"/>
      <c r="F1339" s="518"/>
      <c r="G1339" s="608"/>
      <c r="H1339" s="518"/>
      <c r="I1339" s="518"/>
      <c r="J1339" s="518"/>
      <c r="K1339" s="518"/>
      <c r="L1339" s="518"/>
      <c r="M1339" s="518"/>
      <c r="N1339" s="518"/>
      <c r="O1339" s="518"/>
      <c r="P1339" s="518"/>
      <c r="Q1339" s="518"/>
      <c r="R1339" s="518"/>
      <c r="S1339" s="518"/>
      <c r="T1339" s="518"/>
      <c r="U1339" s="518"/>
      <c r="V1339" s="518"/>
      <c r="W1339" s="518"/>
      <c r="X1339" s="1034">
        <f>D1339</f>
        <v>1328</v>
      </c>
      <c r="Y1339" s="809" t="s">
        <v>2300</v>
      </c>
      <c r="Z1339" s="609"/>
    </row>
    <row r="1340" spans="1:40" ht="15.75" customHeight="1">
      <c r="A1340" s="683">
        <v>45625</v>
      </c>
      <c r="B1340" s="673" t="s">
        <v>628</v>
      </c>
      <c r="C1340" s="685" t="s">
        <v>547</v>
      </c>
      <c r="D1340" s="608">
        <v>9429</v>
      </c>
      <c r="E1340" s="518"/>
      <c r="F1340" s="518"/>
      <c r="G1340" s="608"/>
      <c r="H1340" s="518"/>
      <c r="I1340" s="518"/>
      <c r="J1340" s="518"/>
      <c r="K1340" s="518"/>
      <c r="L1340" s="518"/>
      <c r="M1340" s="518"/>
      <c r="N1340" s="518"/>
      <c r="O1340" s="518"/>
      <c r="P1340" s="518"/>
      <c r="Q1340" s="518"/>
      <c r="R1340" s="518"/>
      <c r="S1340" s="518"/>
      <c r="T1340" s="518"/>
      <c r="U1340" s="518"/>
      <c r="V1340" s="518"/>
      <c r="W1340" s="518"/>
      <c r="X1340" s="1034">
        <f>D1340</f>
        <v>9429</v>
      </c>
      <c r="Y1340" s="809" t="s">
        <v>2300</v>
      </c>
      <c r="Z1340" s="609"/>
    </row>
    <row r="1341" spans="1:40" ht="15.75" customHeight="1">
      <c r="A1341" s="683"/>
      <c r="B1341" s="693"/>
      <c r="C1341" s="685"/>
      <c r="D1341" s="608"/>
      <c r="E1341" s="518"/>
      <c r="F1341" s="518"/>
      <c r="G1341" s="608"/>
      <c r="H1341" s="518"/>
      <c r="I1341" s="518"/>
      <c r="J1341" s="518"/>
      <c r="K1341" s="518"/>
      <c r="L1341" s="518"/>
      <c r="M1341" s="518"/>
      <c r="N1341" s="518"/>
      <c r="O1341" s="518"/>
      <c r="P1341" s="518"/>
      <c r="Q1341" s="518"/>
      <c r="R1341" s="518"/>
      <c r="S1341" s="518"/>
      <c r="T1341" s="518"/>
      <c r="U1341" s="518"/>
      <c r="V1341" s="518"/>
      <c r="W1341" s="518"/>
      <c r="X1341" s="808"/>
      <c r="Y1341" s="809"/>
      <c r="Z1341" s="609"/>
    </row>
    <row r="1342" spans="1:40" ht="15.75" customHeight="1" thickBot="1">
      <c r="A1342" s="683"/>
      <c r="B1342" s="693"/>
      <c r="C1342" s="685"/>
      <c r="D1342" s="608"/>
      <c r="E1342" s="518"/>
      <c r="F1342" s="518"/>
      <c r="G1342" s="608"/>
      <c r="H1342" s="518"/>
      <c r="I1342" s="518"/>
      <c r="J1342" s="518"/>
      <c r="K1342" s="518"/>
      <c r="L1342" s="518"/>
      <c r="M1342" s="518"/>
      <c r="N1342" s="518"/>
      <c r="O1342" s="518"/>
      <c r="P1342" s="518"/>
      <c r="Q1342" s="518"/>
      <c r="R1342" s="518"/>
      <c r="S1342" s="518"/>
      <c r="T1342" s="518"/>
      <c r="U1342" s="518"/>
      <c r="V1342" s="518"/>
      <c r="W1342" s="518"/>
      <c r="X1342" s="808"/>
      <c r="Y1342" s="809"/>
      <c r="Z1342" s="609"/>
    </row>
    <row r="1343" spans="1:40" ht="15.75" customHeight="1" thickTop="1">
      <c r="A1343" s="627"/>
      <c r="B1343" s="655">
        <v>45627</v>
      </c>
      <c r="C1343" s="627"/>
      <c r="D1343" s="602"/>
      <c r="E1343" s="602"/>
      <c r="F1343" s="602"/>
      <c r="G1343" s="602"/>
      <c r="H1343" s="602"/>
      <c r="I1343" s="602"/>
      <c r="J1343" s="602"/>
      <c r="K1343" s="602"/>
      <c r="L1343" s="602"/>
      <c r="M1343" s="602"/>
      <c r="N1343" s="602"/>
      <c r="O1343" s="602"/>
      <c r="P1343" s="602"/>
      <c r="Q1343" s="602"/>
      <c r="R1343" s="602"/>
      <c r="S1343" s="602"/>
      <c r="T1343" s="602"/>
      <c r="U1343" s="602"/>
      <c r="V1343" s="602"/>
      <c r="W1343" s="602"/>
      <c r="X1343" s="1035"/>
      <c r="Y1343" s="1036"/>
      <c r="Z1343" s="602"/>
      <c r="AA1343" s="604"/>
      <c r="AB1343" s="604"/>
      <c r="AC1343" s="604"/>
      <c r="AD1343" s="604"/>
      <c r="AE1343" s="604"/>
      <c r="AF1343" s="604"/>
      <c r="AG1343" s="604"/>
      <c r="AH1343" s="604"/>
      <c r="AI1343" s="604"/>
      <c r="AJ1343" s="604"/>
      <c r="AK1343" s="604"/>
      <c r="AL1343" s="604"/>
      <c r="AM1343" s="604"/>
      <c r="AN1343" s="604"/>
    </row>
    <row r="1344" spans="1:40" ht="15.75" hidden="1" customHeight="1">
      <c r="A1344" s="683"/>
      <c r="B1344" s="690"/>
      <c r="C1344" s="629"/>
      <c r="D1344" s="608"/>
      <c r="E1344" s="518"/>
      <c r="F1344" s="518"/>
      <c r="G1344" s="608"/>
      <c r="H1344" s="518"/>
      <c r="I1344" s="518"/>
      <c r="J1344" s="518"/>
      <c r="K1344" s="518"/>
      <c r="L1344" s="518"/>
      <c r="M1344" s="518"/>
      <c r="N1344" s="518"/>
      <c r="O1344" s="518"/>
      <c r="P1344" s="518"/>
      <c r="Q1344" s="518"/>
      <c r="R1344" s="518"/>
      <c r="S1344" s="518"/>
      <c r="T1344" s="518"/>
      <c r="U1344" s="518"/>
      <c r="V1344" s="518"/>
      <c r="W1344" s="518"/>
      <c r="X1344" s="944"/>
      <c r="Y1344" s="1037">
        <f t="shared" ref="Y1344:Y1362" si="17">(H1344*$H$1037)+(I1344*$I$1037)+(J1344*$J$1037)+(K1344*$K$1037)+(L1344*$L$1037)+(M1344*$M$1037)+(N1344*$N$1037)+(O1344*$O$1037)+(P1344*$P$1037)+(Q1344*$Q$1037)+(R1344*$R$1037)+(S1344*$S$1037)</f>
        <v>0</v>
      </c>
      <c r="Z1344" s="609">
        <f t="shared" ref="Z1344:Z1362" si="18">SUM(H1344:S1344)-Y1344</f>
        <v>0</v>
      </c>
      <c r="AA1344" s="604"/>
      <c r="AB1344" s="604"/>
      <c r="AC1344" s="604"/>
      <c r="AD1344" s="604"/>
      <c r="AE1344" s="604"/>
      <c r="AF1344" s="604"/>
      <c r="AG1344" s="604"/>
      <c r="AH1344" s="604"/>
      <c r="AI1344" s="604"/>
      <c r="AJ1344" s="604"/>
      <c r="AK1344" s="604"/>
      <c r="AL1344" s="604"/>
      <c r="AM1344" s="604"/>
      <c r="AN1344" s="604"/>
    </row>
    <row r="1345" spans="1:40" ht="15.75" hidden="1" customHeight="1">
      <c r="A1345" s="683">
        <v>45627</v>
      </c>
      <c r="B1345" s="663"/>
      <c r="C1345" s="611" t="s">
        <v>62</v>
      </c>
      <c r="D1345" s="608"/>
      <c r="E1345" s="518"/>
      <c r="F1345" s="518"/>
      <c r="G1345" s="608"/>
      <c r="H1345" s="518"/>
      <c r="I1345" s="518"/>
      <c r="J1345" s="518"/>
      <c r="K1345" s="518"/>
      <c r="L1345" s="518"/>
      <c r="M1345" s="518"/>
      <c r="N1345" s="518"/>
      <c r="O1345" s="518"/>
      <c r="P1345" s="518"/>
      <c r="Q1345" s="518"/>
      <c r="R1345" s="518"/>
      <c r="S1345" s="518"/>
      <c r="T1345" s="518"/>
      <c r="U1345" s="518"/>
      <c r="V1345" s="518">
        <v>1036.55</v>
      </c>
      <c r="W1345" s="518"/>
      <c r="X1345" s="944"/>
      <c r="Y1345" s="1037">
        <f t="shared" si="17"/>
        <v>0</v>
      </c>
      <c r="Z1345" s="609">
        <f t="shared" si="18"/>
        <v>0</v>
      </c>
      <c r="AA1345" s="604"/>
      <c r="AB1345" s="604"/>
      <c r="AC1345" s="604"/>
      <c r="AD1345" s="604"/>
      <c r="AE1345" s="604"/>
      <c r="AF1345" s="604"/>
      <c r="AG1345" s="604"/>
      <c r="AH1345" s="604"/>
      <c r="AI1345" s="604"/>
      <c r="AJ1345" s="604"/>
      <c r="AK1345" s="604"/>
      <c r="AL1345" s="604"/>
      <c r="AM1345" s="604"/>
      <c r="AN1345" s="604"/>
    </row>
    <row r="1346" spans="1:40" ht="15.75" hidden="1" customHeight="1">
      <c r="A1346" s="683">
        <v>45628</v>
      </c>
      <c r="B1346" s="612"/>
      <c r="C1346" s="611" t="s">
        <v>63</v>
      </c>
      <c r="D1346" s="608"/>
      <c r="E1346" s="518"/>
      <c r="F1346" s="518"/>
      <c r="G1346" s="608"/>
      <c r="H1346" s="518"/>
      <c r="I1346" s="518"/>
      <c r="J1346" s="518"/>
      <c r="K1346" s="518"/>
      <c r="L1346" s="518"/>
      <c r="M1346" s="518"/>
      <c r="N1346" s="518"/>
      <c r="O1346" s="518"/>
      <c r="P1346" s="518"/>
      <c r="Q1346" s="518"/>
      <c r="R1346" s="518"/>
      <c r="S1346" s="518"/>
      <c r="T1346" s="518">
        <v>277.60000000000002</v>
      </c>
      <c r="U1346" s="518"/>
      <c r="V1346" s="518"/>
      <c r="W1346" s="518"/>
      <c r="X1346" s="944"/>
      <c r="Y1346" s="1037">
        <f t="shared" si="17"/>
        <v>0</v>
      </c>
      <c r="Z1346" s="609">
        <f t="shared" si="18"/>
        <v>0</v>
      </c>
      <c r="AA1346" s="604"/>
      <c r="AB1346" s="604"/>
      <c r="AC1346" s="604"/>
      <c r="AD1346" s="604"/>
      <c r="AE1346" s="604"/>
      <c r="AF1346" s="604"/>
      <c r="AG1346" s="604"/>
      <c r="AH1346" s="604"/>
      <c r="AI1346" s="604"/>
      <c r="AJ1346" s="604"/>
      <c r="AK1346" s="604"/>
      <c r="AL1346" s="604"/>
      <c r="AM1346" s="604"/>
      <c r="AN1346" s="604"/>
    </row>
    <row r="1347" spans="1:40" ht="15.75" hidden="1" customHeight="1">
      <c r="A1347" s="683">
        <v>45628</v>
      </c>
      <c r="B1347" s="672">
        <f>'Conversion rates'!B39</f>
        <v>1.206434</v>
      </c>
      <c r="C1347" s="611" t="s">
        <v>276</v>
      </c>
      <c r="D1347" s="608"/>
      <c r="E1347" s="518"/>
      <c r="F1347" s="518"/>
      <c r="G1347" s="608"/>
      <c r="H1347" s="518"/>
      <c r="I1347" s="518"/>
      <c r="J1347" s="518"/>
      <c r="K1347" s="518"/>
      <c r="L1347" s="518"/>
      <c r="M1347" s="518"/>
      <c r="N1347" s="518"/>
      <c r="O1347" s="518"/>
      <c r="P1347" s="518"/>
      <c r="Q1347" s="518"/>
      <c r="R1347" s="518"/>
      <c r="S1347" s="518"/>
      <c r="T1347" s="518">
        <v>80</v>
      </c>
      <c r="U1347" s="518"/>
      <c r="V1347" s="518"/>
      <c r="W1347" s="518"/>
      <c r="X1347" s="944"/>
      <c r="Y1347" s="1037">
        <f t="shared" si="17"/>
        <v>0</v>
      </c>
      <c r="Z1347" s="609">
        <f t="shared" si="18"/>
        <v>0</v>
      </c>
      <c r="AA1347" s="604"/>
      <c r="AB1347" s="604"/>
      <c r="AC1347" s="604"/>
      <c r="AD1347" s="604"/>
      <c r="AE1347" s="604"/>
      <c r="AF1347" s="604"/>
      <c r="AG1347" s="604"/>
      <c r="AH1347" s="604"/>
      <c r="AI1347" s="604"/>
      <c r="AJ1347" s="604"/>
      <c r="AK1347" s="604"/>
      <c r="AL1347" s="604"/>
      <c r="AM1347" s="604"/>
      <c r="AN1347" s="604"/>
    </row>
    <row r="1348" spans="1:40" ht="15.75" hidden="1" customHeight="1">
      <c r="A1348" s="683">
        <v>45628</v>
      </c>
      <c r="B1348" s="615"/>
      <c r="C1348" s="614" t="s">
        <v>421</v>
      </c>
      <c r="D1348" s="608"/>
      <c r="E1348" s="518"/>
      <c r="F1348" s="518"/>
      <c r="G1348" s="608"/>
      <c r="H1348" s="518"/>
      <c r="I1348" s="518"/>
      <c r="J1348" s="518"/>
      <c r="K1348" s="518"/>
      <c r="L1348" s="518"/>
      <c r="M1348" s="518">
        <v>49</v>
      </c>
      <c r="N1348" s="518"/>
      <c r="O1348" s="518"/>
      <c r="P1348" s="518"/>
      <c r="Q1348" s="518"/>
      <c r="R1348" s="518"/>
      <c r="S1348" s="518"/>
      <c r="T1348" s="518"/>
      <c r="U1348" s="518"/>
      <c r="V1348" s="518"/>
      <c r="W1348" s="518"/>
      <c r="X1348" s="944"/>
      <c r="Y1348" s="1037">
        <f t="shared" si="17"/>
        <v>49</v>
      </c>
      <c r="Z1348" s="609">
        <f t="shared" si="18"/>
        <v>0</v>
      </c>
      <c r="AA1348" s="604"/>
      <c r="AB1348" s="604"/>
      <c r="AC1348" s="604"/>
      <c r="AD1348" s="604"/>
      <c r="AE1348" s="604"/>
      <c r="AF1348" s="604"/>
      <c r="AG1348" s="604"/>
      <c r="AH1348" s="604"/>
      <c r="AI1348" s="604"/>
      <c r="AJ1348" s="604"/>
      <c r="AK1348" s="604"/>
      <c r="AL1348" s="604"/>
      <c r="AM1348" s="604"/>
      <c r="AN1348" s="604"/>
    </row>
    <row r="1349" spans="1:40" ht="15.75" hidden="1" customHeight="1">
      <c r="A1349" s="683">
        <v>45629</v>
      </c>
      <c r="B1349" s="612" t="s">
        <v>310</v>
      </c>
      <c r="C1349" s="614" t="s">
        <v>605</v>
      </c>
      <c r="D1349" s="608"/>
      <c r="E1349" s="518"/>
      <c r="F1349" s="518"/>
      <c r="G1349" s="608"/>
      <c r="H1349" s="518"/>
      <c r="I1349" s="518"/>
      <c r="J1349" s="518"/>
      <c r="K1349" s="518"/>
      <c r="L1349" s="518"/>
      <c r="M1349" s="616"/>
      <c r="N1349" s="518">
        <f>800*B1347</f>
        <v>965.1472</v>
      </c>
      <c r="O1349" s="518"/>
      <c r="P1349" s="518"/>
      <c r="Q1349" s="518"/>
      <c r="R1349" s="518"/>
      <c r="S1349" s="518"/>
      <c r="T1349" s="518"/>
      <c r="U1349" s="518"/>
      <c r="V1349" s="518"/>
      <c r="W1349" s="518"/>
      <c r="X1349" s="944"/>
      <c r="Y1349" s="1037">
        <f t="shared" si="17"/>
        <v>965.1472</v>
      </c>
      <c r="Z1349" s="609">
        <f t="shared" si="18"/>
        <v>0</v>
      </c>
      <c r="AA1349" s="604"/>
      <c r="AB1349" s="604"/>
      <c r="AC1349" s="604"/>
      <c r="AD1349" s="604"/>
      <c r="AE1349" s="604"/>
      <c r="AF1349" s="604"/>
      <c r="AG1349" s="604"/>
      <c r="AH1349" s="604"/>
      <c r="AI1349" s="604"/>
      <c r="AJ1349" s="604"/>
      <c r="AK1349" s="604"/>
      <c r="AL1349" s="604"/>
      <c r="AM1349" s="604"/>
      <c r="AN1349" s="604"/>
    </row>
    <row r="1350" spans="1:40" ht="15.75" hidden="1" customHeight="1">
      <c r="A1350" s="683">
        <v>45639</v>
      </c>
      <c r="B1350" s="612"/>
      <c r="C1350" s="611" t="s">
        <v>320</v>
      </c>
      <c r="D1350" s="608"/>
      <c r="E1350" s="518"/>
      <c r="F1350" s="518"/>
      <c r="G1350" s="608"/>
      <c r="H1350" s="518"/>
      <c r="I1350" s="518"/>
      <c r="J1350" s="518"/>
      <c r="K1350" s="518">
        <v>38.409999999999997</v>
      </c>
      <c r="L1350" s="518"/>
      <c r="M1350" s="518"/>
      <c r="N1350" s="518"/>
      <c r="O1350" s="518"/>
      <c r="P1350" s="518"/>
      <c r="Q1350" s="518"/>
      <c r="R1350" s="518"/>
      <c r="S1350" s="518"/>
      <c r="T1350" s="518"/>
      <c r="U1350" s="518"/>
      <c r="V1350" s="518"/>
      <c r="W1350" s="518"/>
      <c r="X1350" s="944"/>
      <c r="Y1350" s="1037">
        <f t="shared" si="17"/>
        <v>23.045999999999996</v>
      </c>
      <c r="Z1350" s="609">
        <f t="shared" si="18"/>
        <v>15.364000000000001</v>
      </c>
      <c r="AA1350" s="604"/>
      <c r="AB1350" s="604"/>
      <c r="AC1350" s="604"/>
      <c r="AD1350" s="604"/>
      <c r="AE1350" s="604"/>
      <c r="AF1350" s="604"/>
      <c r="AG1350" s="604"/>
      <c r="AH1350" s="604"/>
      <c r="AI1350" s="604"/>
      <c r="AJ1350" s="604"/>
      <c r="AK1350" s="604"/>
      <c r="AL1350" s="604"/>
      <c r="AM1350" s="604"/>
      <c r="AN1350" s="604"/>
    </row>
    <row r="1351" spans="1:40" ht="15.75" hidden="1" customHeight="1">
      <c r="A1351" s="683">
        <v>45642</v>
      </c>
      <c r="B1351" s="612"/>
      <c r="C1351" s="611" t="s">
        <v>568</v>
      </c>
      <c r="D1351" s="608"/>
      <c r="E1351" s="518"/>
      <c r="F1351" s="518"/>
      <c r="G1351" s="608"/>
      <c r="H1351" s="518"/>
      <c r="I1351" s="518"/>
      <c r="J1351" s="518"/>
      <c r="K1351" s="518"/>
      <c r="L1351" s="518"/>
      <c r="M1351" s="518"/>
      <c r="N1351" s="518"/>
      <c r="O1351" s="518"/>
      <c r="P1351" s="518"/>
      <c r="Q1351" s="518"/>
      <c r="R1351" s="518"/>
      <c r="S1351" s="518"/>
      <c r="T1351" s="518">
        <v>18.36</v>
      </c>
      <c r="U1351" s="518"/>
      <c r="V1351" s="518"/>
      <c r="W1351" s="518"/>
      <c r="X1351" s="944"/>
      <c r="Y1351" s="1037">
        <f t="shared" si="17"/>
        <v>0</v>
      </c>
      <c r="Z1351" s="609">
        <f t="shared" si="18"/>
        <v>0</v>
      </c>
      <c r="AA1351" s="604"/>
      <c r="AB1351" s="604"/>
      <c r="AC1351" s="604"/>
      <c r="AD1351" s="604"/>
      <c r="AE1351" s="604"/>
      <c r="AF1351" s="604"/>
      <c r="AG1351" s="604"/>
      <c r="AH1351" s="604"/>
      <c r="AI1351" s="604"/>
      <c r="AJ1351" s="604"/>
      <c r="AK1351" s="604"/>
      <c r="AL1351" s="604"/>
      <c r="AM1351" s="604"/>
      <c r="AN1351" s="604"/>
    </row>
    <row r="1352" spans="1:40" ht="15.75" hidden="1" customHeight="1">
      <c r="A1352" s="683">
        <v>45642</v>
      </c>
      <c r="B1352" s="615"/>
      <c r="C1352" s="611" t="s">
        <v>341</v>
      </c>
      <c r="D1352" s="608"/>
      <c r="E1352" s="518"/>
      <c r="F1352" s="518"/>
      <c r="G1352" s="608"/>
      <c r="H1352" s="518">
        <v>860</v>
      </c>
      <c r="I1352" s="518"/>
      <c r="J1352" s="518"/>
      <c r="K1352" s="518"/>
      <c r="L1352" s="518"/>
      <c r="M1352" s="518"/>
      <c r="N1352" s="518"/>
      <c r="O1352" s="518"/>
      <c r="P1352" s="518"/>
      <c r="Q1352" s="518"/>
      <c r="R1352" s="518"/>
      <c r="S1352" s="518"/>
      <c r="T1352" s="518"/>
      <c r="U1352" s="518"/>
      <c r="V1352" s="518"/>
      <c r="W1352" s="518"/>
      <c r="X1352" s="944"/>
      <c r="Y1352" s="1037">
        <f t="shared" si="17"/>
        <v>860</v>
      </c>
      <c r="Z1352" s="609">
        <f t="shared" si="18"/>
        <v>0</v>
      </c>
      <c r="AA1352" s="604"/>
      <c r="AB1352" s="604"/>
      <c r="AC1352" s="604"/>
      <c r="AD1352" s="604"/>
      <c r="AE1352" s="604"/>
      <c r="AF1352" s="604"/>
      <c r="AG1352" s="604"/>
      <c r="AH1352" s="604"/>
      <c r="AI1352" s="604"/>
      <c r="AJ1352" s="604"/>
      <c r="AK1352" s="604"/>
      <c r="AL1352" s="604"/>
      <c r="AM1352" s="604"/>
      <c r="AN1352" s="604"/>
    </row>
    <row r="1353" spans="1:40" ht="15.75" hidden="1" customHeight="1">
      <c r="A1353" s="683">
        <v>45642</v>
      </c>
      <c r="B1353" s="615"/>
      <c r="C1353" s="614" t="s">
        <v>508</v>
      </c>
      <c r="D1353" s="608"/>
      <c r="E1353" s="518"/>
      <c r="F1353" s="518"/>
      <c r="G1353" s="608"/>
      <c r="H1353" s="518"/>
      <c r="I1353" s="518"/>
      <c r="J1353" s="518"/>
      <c r="K1353" s="518"/>
      <c r="L1353" s="518"/>
      <c r="M1353" s="518"/>
      <c r="N1353" s="518"/>
      <c r="O1353" s="518"/>
      <c r="P1353" s="518"/>
      <c r="Q1353" s="518">
        <v>5.39</v>
      </c>
      <c r="R1353" s="518"/>
      <c r="S1353" s="518"/>
      <c r="T1353" s="518"/>
      <c r="U1353" s="518"/>
      <c r="V1353" s="518"/>
      <c r="W1353" s="518"/>
      <c r="X1353" s="944"/>
      <c r="Y1353" s="1037">
        <f t="shared" si="17"/>
        <v>3.2339999999999995</v>
      </c>
      <c r="Z1353" s="609">
        <f t="shared" si="18"/>
        <v>2.1560000000000001</v>
      </c>
      <c r="AA1353" s="604"/>
      <c r="AB1353" s="604"/>
      <c r="AC1353" s="604"/>
      <c r="AD1353" s="604"/>
      <c r="AE1353" s="604"/>
      <c r="AF1353" s="604"/>
      <c r="AG1353" s="604"/>
      <c r="AH1353" s="604"/>
      <c r="AI1353" s="604"/>
      <c r="AJ1353" s="604"/>
      <c r="AK1353" s="604"/>
      <c r="AL1353" s="604"/>
      <c r="AM1353" s="604"/>
      <c r="AN1353" s="604"/>
    </row>
    <row r="1354" spans="1:40" ht="15.75" hidden="1" customHeight="1">
      <c r="A1354" s="683">
        <v>45643</v>
      </c>
      <c r="B1354" s="613"/>
      <c r="C1354" s="611" t="s">
        <v>518</v>
      </c>
      <c r="D1354" s="608"/>
      <c r="E1354" s="518"/>
      <c r="F1354" s="518"/>
      <c r="G1354" s="608"/>
      <c r="H1354" s="518"/>
      <c r="I1354" s="518"/>
      <c r="J1354" s="518"/>
      <c r="K1354" s="518">
        <v>34.99</v>
      </c>
      <c r="L1354" s="518"/>
      <c r="M1354" s="518"/>
      <c r="N1354" s="518"/>
      <c r="O1354" s="518"/>
      <c r="P1354" s="518"/>
      <c r="Q1354" s="518"/>
      <c r="R1354" s="518"/>
      <c r="S1354" s="518"/>
      <c r="T1354" s="518">
        <v>34.99</v>
      </c>
      <c r="U1354" s="518"/>
      <c r="V1354" s="518"/>
      <c r="W1354" s="518"/>
      <c r="X1354" s="944"/>
      <c r="Y1354" s="1037">
        <f t="shared" si="17"/>
        <v>20.994</v>
      </c>
      <c r="Z1354" s="609">
        <f t="shared" si="18"/>
        <v>13.996000000000002</v>
      </c>
      <c r="AA1354" s="604"/>
      <c r="AB1354" s="604"/>
      <c r="AC1354" s="604"/>
      <c r="AD1354" s="604"/>
      <c r="AE1354" s="604"/>
      <c r="AF1354" s="604"/>
      <c r="AG1354" s="604"/>
      <c r="AH1354" s="604"/>
      <c r="AI1354" s="604"/>
      <c r="AJ1354" s="604"/>
      <c r="AK1354" s="604"/>
      <c r="AL1354" s="604"/>
      <c r="AM1354" s="604"/>
      <c r="AN1354" s="604"/>
    </row>
    <row r="1355" spans="1:40" ht="18" hidden="1" customHeight="1">
      <c r="A1355" s="683">
        <v>45645</v>
      </c>
      <c r="B1355" s="613"/>
      <c r="C1355" s="611" t="s">
        <v>78</v>
      </c>
      <c r="D1355" s="608"/>
      <c r="E1355" s="518"/>
      <c r="F1355" s="518"/>
      <c r="G1355" s="608"/>
      <c r="H1355" s="518"/>
      <c r="I1355" s="518"/>
      <c r="J1355" s="518">
        <v>19.98</v>
      </c>
      <c r="K1355" s="518"/>
      <c r="L1355" s="518"/>
      <c r="M1355" s="518"/>
      <c r="N1355" s="518"/>
      <c r="O1355" s="518"/>
      <c r="P1355" s="518"/>
      <c r="Q1355" s="518"/>
      <c r="R1355" s="518"/>
      <c r="S1355" s="518"/>
      <c r="T1355" s="518"/>
      <c r="U1355" s="518"/>
      <c r="V1355" s="518"/>
      <c r="W1355" s="518"/>
      <c r="X1355" s="944"/>
      <c r="Y1355" s="1037">
        <f t="shared" si="17"/>
        <v>11.988</v>
      </c>
      <c r="Z1355" s="609">
        <f t="shared" si="18"/>
        <v>7.9920000000000009</v>
      </c>
      <c r="AA1355" s="604"/>
      <c r="AB1355" s="604"/>
      <c r="AC1355" s="604"/>
      <c r="AD1355" s="604"/>
      <c r="AE1355" s="604"/>
      <c r="AF1355" s="604"/>
      <c r="AG1355" s="604"/>
      <c r="AH1355" s="604"/>
      <c r="AI1355" s="604"/>
      <c r="AJ1355" s="604"/>
      <c r="AK1355" s="604"/>
      <c r="AL1355" s="604"/>
      <c r="AM1355" s="604"/>
      <c r="AN1355" s="604"/>
    </row>
    <row r="1356" spans="1:40" ht="15.75" hidden="1" customHeight="1">
      <c r="A1356" s="683">
        <v>45649</v>
      </c>
      <c r="B1356" s="612"/>
      <c r="C1356" s="611" t="s">
        <v>320</v>
      </c>
      <c r="D1356" s="608"/>
      <c r="E1356" s="518"/>
      <c r="F1356" s="518"/>
      <c r="G1356" s="608"/>
      <c r="H1356" s="518"/>
      <c r="I1356" s="518"/>
      <c r="J1356" s="518"/>
      <c r="K1356" s="518">
        <v>38.64</v>
      </c>
      <c r="L1356" s="518"/>
      <c r="M1356" s="518"/>
      <c r="N1356" s="518"/>
      <c r="O1356" s="518"/>
      <c r="P1356" s="518"/>
      <c r="Q1356" s="518"/>
      <c r="R1356" s="518"/>
      <c r="S1356" s="518"/>
      <c r="T1356" s="518"/>
      <c r="U1356" s="518"/>
      <c r="V1356" s="518"/>
      <c r="W1356" s="518"/>
      <c r="X1356" s="944"/>
      <c r="Y1356" s="1037">
        <f t="shared" si="17"/>
        <v>23.184000000000001</v>
      </c>
      <c r="Z1356" s="609">
        <f t="shared" si="18"/>
        <v>15.456</v>
      </c>
      <c r="AA1356" s="604"/>
      <c r="AB1356" s="604"/>
      <c r="AC1356" s="604"/>
      <c r="AD1356" s="604"/>
      <c r="AE1356" s="604"/>
      <c r="AF1356" s="604"/>
      <c r="AG1356" s="604"/>
      <c r="AH1356" s="604"/>
      <c r="AI1356" s="604"/>
      <c r="AJ1356" s="604"/>
      <c r="AK1356" s="604"/>
      <c r="AL1356" s="604"/>
      <c r="AM1356" s="604"/>
      <c r="AN1356" s="604"/>
    </row>
    <row r="1357" spans="1:40" ht="15.75" hidden="1" customHeight="1">
      <c r="A1357" s="683">
        <v>45649</v>
      </c>
      <c r="B1357" s="615"/>
      <c r="C1357" s="611" t="s">
        <v>364</v>
      </c>
      <c r="D1357" s="608"/>
      <c r="E1357" s="518"/>
      <c r="F1357" s="518"/>
      <c r="G1357" s="608"/>
      <c r="H1357" s="518"/>
      <c r="I1357" s="518"/>
      <c r="J1357" s="518"/>
      <c r="K1357" s="518">
        <v>12.08</v>
      </c>
      <c r="L1357" s="518"/>
      <c r="M1357" s="518"/>
      <c r="N1357" s="518"/>
      <c r="O1357" s="518"/>
      <c r="P1357" s="518"/>
      <c r="Q1357" s="518"/>
      <c r="R1357" s="518"/>
      <c r="S1357" s="518">
        <v>11.83</v>
      </c>
      <c r="T1357" s="518"/>
      <c r="U1357" s="518"/>
      <c r="V1357" s="518"/>
      <c r="W1357" s="518"/>
      <c r="X1357" s="944"/>
      <c r="Y1357" s="1037">
        <f t="shared" si="17"/>
        <v>14.346</v>
      </c>
      <c r="Z1357" s="609">
        <f t="shared" si="18"/>
        <v>9.5640000000000001</v>
      </c>
      <c r="AA1357" s="604"/>
      <c r="AB1357" s="604"/>
      <c r="AC1357" s="604"/>
      <c r="AD1357" s="604"/>
      <c r="AE1357" s="604"/>
      <c r="AF1357" s="604"/>
      <c r="AG1357" s="604"/>
      <c r="AH1357" s="604"/>
      <c r="AI1357" s="604"/>
      <c r="AJ1357" s="604"/>
      <c r="AK1357" s="604"/>
      <c r="AL1357" s="604"/>
      <c r="AM1357" s="604"/>
      <c r="AN1357" s="604"/>
    </row>
    <row r="1358" spans="1:40" ht="15.75" hidden="1" customHeight="1">
      <c r="A1358" s="683">
        <v>45655</v>
      </c>
      <c r="B1358" s="612"/>
      <c r="C1358" s="611" t="s">
        <v>545</v>
      </c>
      <c r="D1358" s="608"/>
      <c r="E1358" s="518"/>
      <c r="F1358" s="518"/>
      <c r="G1358" s="608"/>
      <c r="H1358" s="518"/>
      <c r="I1358" s="518"/>
      <c r="J1358" s="518"/>
      <c r="K1358" s="518"/>
      <c r="L1358" s="518"/>
      <c r="M1358" s="518"/>
      <c r="N1358" s="518"/>
      <c r="O1358" s="518"/>
      <c r="P1358" s="518"/>
      <c r="Q1358" s="518"/>
      <c r="R1358" s="518"/>
      <c r="S1358" s="518">
        <f>(9.5+9.5+9.5)*B1347</f>
        <v>34.383369000000002</v>
      </c>
      <c r="T1358" s="518"/>
      <c r="U1358" s="518"/>
      <c r="V1358" s="518"/>
      <c r="W1358" s="518"/>
      <c r="X1358" s="944"/>
      <c r="Y1358" s="1037">
        <f t="shared" si="17"/>
        <v>20.6300214</v>
      </c>
      <c r="Z1358" s="609">
        <f t="shared" si="18"/>
        <v>13.753347600000001</v>
      </c>
      <c r="AA1358" s="604"/>
      <c r="AB1358" s="604"/>
      <c r="AC1358" s="604"/>
      <c r="AD1358" s="604"/>
      <c r="AE1358" s="604"/>
      <c r="AF1358" s="604"/>
      <c r="AG1358" s="604"/>
      <c r="AH1358" s="604"/>
      <c r="AI1358" s="604"/>
      <c r="AJ1358" s="604"/>
      <c r="AK1358" s="604"/>
      <c r="AL1358" s="604"/>
      <c r="AM1358" s="604"/>
      <c r="AN1358" s="604"/>
    </row>
    <row r="1359" spans="1:40" ht="15.75" hidden="1" customHeight="1">
      <c r="A1359" s="683">
        <v>45656</v>
      </c>
      <c r="B1359" s="615"/>
      <c r="C1359" s="614" t="s">
        <v>260</v>
      </c>
      <c r="D1359" s="608"/>
      <c r="E1359" s="518">
        <v>633.20000000000005</v>
      </c>
      <c r="F1359" s="518"/>
      <c r="G1359" s="608"/>
      <c r="H1359" s="518"/>
      <c r="I1359" s="518"/>
      <c r="J1359" s="518"/>
      <c r="K1359" s="518"/>
      <c r="L1359" s="518"/>
      <c r="M1359" s="518"/>
      <c r="N1359" s="518"/>
      <c r="O1359" s="518"/>
      <c r="P1359" s="518"/>
      <c r="Q1359" s="518"/>
      <c r="R1359" s="518"/>
      <c r="S1359" s="518"/>
      <c r="T1359" s="518"/>
      <c r="U1359" s="518"/>
      <c r="V1359" s="518"/>
      <c r="W1359" s="518"/>
      <c r="X1359" s="944"/>
      <c r="Y1359" s="1037">
        <f t="shared" si="17"/>
        <v>0</v>
      </c>
      <c r="Z1359" s="609">
        <f t="shared" si="18"/>
        <v>0</v>
      </c>
      <c r="AA1359" s="604"/>
      <c r="AB1359" s="604"/>
      <c r="AC1359" s="604"/>
      <c r="AD1359" s="604"/>
      <c r="AE1359" s="604"/>
      <c r="AF1359" s="604"/>
      <c r="AG1359" s="604"/>
      <c r="AH1359" s="604"/>
      <c r="AI1359" s="604"/>
      <c r="AJ1359" s="604"/>
      <c r="AK1359" s="604"/>
      <c r="AL1359" s="604"/>
      <c r="AM1359" s="604"/>
      <c r="AN1359" s="604"/>
    </row>
    <row r="1360" spans="1:40" ht="15.75" hidden="1" customHeight="1">
      <c r="A1360" s="683">
        <v>45657</v>
      </c>
      <c r="B1360" s="615"/>
      <c r="C1360" s="614" t="s">
        <v>564</v>
      </c>
      <c r="D1360" s="608"/>
      <c r="E1360" s="518"/>
      <c r="F1360" s="518"/>
      <c r="G1360" s="608"/>
      <c r="H1360" s="518"/>
      <c r="I1360" s="518"/>
      <c r="J1360" s="518"/>
      <c r="K1360" s="518"/>
      <c r="L1360" s="518"/>
      <c r="M1360" s="518"/>
      <c r="N1360" s="518"/>
      <c r="O1360" s="518"/>
      <c r="P1360" s="518"/>
      <c r="Q1360" s="518"/>
      <c r="R1360" s="518"/>
      <c r="S1360" s="518">
        <v>21.9</v>
      </c>
      <c r="T1360" s="518"/>
      <c r="U1360" s="518"/>
      <c r="V1360" s="518"/>
      <c r="W1360" s="518"/>
      <c r="X1360" s="944"/>
      <c r="Y1360" s="1037">
        <f t="shared" si="17"/>
        <v>13.139999999999999</v>
      </c>
      <c r="Z1360" s="609">
        <f t="shared" si="18"/>
        <v>8.76</v>
      </c>
      <c r="AA1360" s="604"/>
      <c r="AB1360" s="604"/>
      <c r="AC1360" s="604"/>
      <c r="AD1360" s="604"/>
      <c r="AE1360" s="604"/>
      <c r="AF1360" s="604"/>
      <c r="AG1360" s="604"/>
      <c r="AH1360" s="604"/>
      <c r="AI1360" s="604"/>
      <c r="AJ1360" s="604"/>
      <c r="AK1360" s="604"/>
      <c r="AL1360" s="604"/>
      <c r="AM1360" s="604"/>
      <c r="AN1360" s="604"/>
    </row>
    <row r="1361" spans="1:40" ht="15.75" hidden="1" customHeight="1">
      <c r="A1361" s="683">
        <v>45657</v>
      </c>
      <c r="B1361" s="612"/>
      <c r="C1361" s="611" t="s">
        <v>344</v>
      </c>
      <c r="D1361" s="608"/>
      <c r="E1361" s="518"/>
      <c r="F1361" s="518"/>
      <c r="G1361" s="608"/>
      <c r="H1361" s="518"/>
      <c r="I1361" s="518"/>
      <c r="J1361" s="518"/>
      <c r="K1361" s="518"/>
      <c r="L1361" s="518"/>
      <c r="M1361" s="518"/>
      <c r="N1361" s="518"/>
      <c r="O1361" s="518"/>
      <c r="P1361" s="518"/>
      <c r="Q1361" s="518"/>
      <c r="R1361" s="518"/>
      <c r="S1361" s="518">
        <f>0.75+0.24+2.41+0.75+0.71+0.31+11.5+0.88+1.83</f>
        <v>19.380000000000003</v>
      </c>
      <c r="T1361" s="518"/>
      <c r="U1361" s="518"/>
      <c r="V1361" s="518"/>
      <c r="W1361" s="518"/>
      <c r="X1361" s="944"/>
      <c r="Y1361" s="1037">
        <f t="shared" si="17"/>
        <v>11.628000000000002</v>
      </c>
      <c r="Z1361" s="609">
        <f t="shared" si="18"/>
        <v>7.7520000000000007</v>
      </c>
      <c r="AA1361" s="604"/>
      <c r="AB1361" s="604"/>
      <c r="AC1361" s="604"/>
      <c r="AD1361" s="604"/>
      <c r="AE1361" s="604"/>
      <c r="AF1361" s="604"/>
      <c r="AG1361" s="604"/>
      <c r="AH1361" s="604"/>
      <c r="AI1361" s="604"/>
      <c r="AJ1361" s="604"/>
      <c r="AK1361" s="604"/>
      <c r="AL1361" s="604"/>
      <c r="AM1361" s="604"/>
      <c r="AN1361" s="604"/>
    </row>
    <row r="1362" spans="1:40" ht="15.75" hidden="1" customHeight="1">
      <c r="A1362" s="683"/>
      <c r="B1362" s="612"/>
      <c r="C1362" s="611"/>
      <c r="D1362" s="608"/>
      <c r="E1362" s="518"/>
      <c r="F1362" s="518"/>
      <c r="G1362" s="518"/>
      <c r="H1362" s="518"/>
      <c r="I1362" s="518"/>
      <c r="J1362" s="518"/>
      <c r="K1362" s="518"/>
      <c r="L1362" s="518"/>
      <c r="M1362" s="518"/>
      <c r="N1362" s="518"/>
      <c r="O1362" s="518"/>
      <c r="P1362" s="518"/>
      <c r="Q1362" s="518"/>
      <c r="R1362" s="518"/>
      <c r="S1362" s="518"/>
      <c r="T1362" s="518"/>
      <c r="U1362" s="518"/>
      <c r="V1362" s="518"/>
      <c r="W1362" s="518"/>
      <c r="X1362" s="944"/>
      <c r="Y1362" s="1037">
        <f t="shared" si="17"/>
        <v>0</v>
      </c>
      <c r="Z1362" s="609">
        <f t="shared" si="18"/>
        <v>0</v>
      </c>
      <c r="AA1362" s="604"/>
      <c r="AB1362" s="604"/>
      <c r="AC1362" s="604"/>
      <c r="AD1362" s="604"/>
      <c r="AE1362" s="604"/>
      <c r="AF1362" s="604"/>
      <c r="AG1362" s="604"/>
      <c r="AH1362" s="604"/>
      <c r="AI1362" s="604"/>
      <c r="AJ1362" s="604"/>
      <c r="AK1362" s="604"/>
      <c r="AL1362" s="604"/>
      <c r="AM1362" s="604"/>
      <c r="AN1362" s="604"/>
    </row>
    <row r="1363" spans="1:40" ht="15.75" hidden="1" customHeight="1">
      <c r="A1363" s="620"/>
      <c r="B1363" s="620"/>
      <c r="C1363" s="623"/>
      <c r="D1363" s="623"/>
      <c r="E1363" s="623"/>
      <c r="F1363" s="623"/>
      <c r="G1363" s="623"/>
      <c r="H1363" s="623"/>
      <c r="I1363" s="623"/>
      <c r="J1363" s="623"/>
      <c r="K1363" s="623"/>
      <c r="L1363" s="623"/>
      <c r="M1363" s="623"/>
      <c r="N1363" s="623"/>
      <c r="O1363" s="623"/>
      <c r="P1363" s="623"/>
      <c r="Q1363" s="623"/>
      <c r="R1363" s="623"/>
      <c r="S1363" s="623"/>
      <c r="T1363" s="623"/>
      <c r="U1363" s="623"/>
      <c r="V1363" s="623"/>
      <c r="W1363" s="623"/>
      <c r="X1363" s="1038"/>
      <c r="Y1363" s="1039"/>
      <c r="Z1363" s="623"/>
      <c r="AA1363" s="604"/>
      <c r="AB1363" s="604"/>
      <c r="AC1363" s="604"/>
      <c r="AD1363" s="604"/>
      <c r="AE1363" s="604"/>
      <c r="AF1363" s="604"/>
      <c r="AG1363" s="604"/>
      <c r="AH1363" s="604"/>
      <c r="AI1363" s="604"/>
      <c r="AJ1363" s="604"/>
      <c r="AK1363" s="604"/>
      <c r="AL1363" s="604"/>
      <c r="AM1363" s="604"/>
      <c r="AN1363" s="604"/>
    </row>
    <row r="1364" spans="1:40" ht="15.75" hidden="1" customHeight="1">
      <c r="A1364" s="596"/>
      <c r="B1364" s="596"/>
      <c r="C1364" s="518"/>
      <c r="D1364" s="518"/>
      <c r="E1364" s="518"/>
      <c r="F1364" s="518"/>
      <c r="G1364" s="518"/>
      <c r="H1364" s="518"/>
      <c r="I1364" s="518"/>
      <c r="J1364" s="518"/>
      <c r="K1364" s="518"/>
      <c r="L1364" s="518"/>
      <c r="M1364" s="518"/>
      <c r="N1364" s="518"/>
      <c r="O1364" s="518"/>
      <c r="P1364" s="518"/>
      <c r="Q1364" s="518"/>
      <c r="R1364" s="518"/>
      <c r="S1364" s="518"/>
      <c r="T1364" s="518"/>
      <c r="U1364" s="518"/>
      <c r="V1364" s="518"/>
      <c r="W1364" s="518"/>
      <c r="X1364" s="944"/>
      <c r="Y1364" s="1037">
        <f t="shared" ref="Y1364:Y1375" si="19">(H1364*$H$1037)+(I1364*$I$1037)+(J1364*$J$1037)+(K1364*$K$1037)+(L1364*$L$1037)+(M1364*$M$1037)+(N1364*$N$1037)+(O1364*$O$1037)+(P1364*$P$1037)+(Q1364*$Q$1037)+(R1364*$R$1037)+(S1364*$S$1037)</f>
        <v>0</v>
      </c>
      <c r="Z1364" s="609">
        <f t="shared" ref="Z1364:Z1375" si="20">SUM(H1364:S1364)-Y1364</f>
        <v>0</v>
      </c>
      <c r="AA1364" s="604"/>
      <c r="AB1364" s="604"/>
      <c r="AC1364" s="604"/>
      <c r="AD1364" s="604"/>
      <c r="AE1364" s="604"/>
      <c r="AF1364" s="604"/>
      <c r="AG1364" s="604"/>
      <c r="AH1364" s="604"/>
      <c r="AI1364" s="604"/>
      <c r="AJ1364" s="604"/>
      <c r="AK1364" s="604"/>
      <c r="AL1364" s="604"/>
      <c r="AM1364" s="604"/>
      <c r="AN1364" s="604"/>
    </row>
    <row r="1365" spans="1:40" ht="15.75" hidden="1" customHeight="1">
      <c r="A1365" s="683">
        <v>45628</v>
      </c>
      <c r="B1365" s="673"/>
      <c r="C1365" s="685" t="s">
        <v>629</v>
      </c>
      <c r="D1365" s="608"/>
      <c r="E1365" s="518"/>
      <c r="F1365" s="518"/>
      <c r="G1365" s="608"/>
      <c r="H1365" s="518"/>
      <c r="I1365" s="518"/>
      <c r="J1365" s="518"/>
      <c r="K1365" s="518"/>
      <c r="L1365" s="518"/>
      <c r="M1365" s="518"/>
      <c r="N1365" s="518"/>
      <c r="O1365" s="518"/>
      <c r="P1365" s="518"/>
      <c r="Q1365" s="518"/>
      <c r="R1365" s="518"/>
      <c r="S1365" s="518"/>
      <c r="T1365" s="518">
        <v>106.13</v>
      </c>
      <c r="U1365" s="518"/>
      <c r="V1365" s="518"/>
      <c r="W1365" s="518"/>
      <c r="X1365" s="1040"/>
      <c r="Y1365" s="1037">
        <f t="shared" si="19"/>
        <v>0</v>
      </c>
      <c r="Z1365" s="609">
        <f t="shared" si="20"/>
        <v>0</v>
      </c>
    </row>
    <row r="1366" spans="1:40" ht="15.75" hidden="1" customHeight="1">
      <c r="A1366" s="683">
        <v>45629</v>
      </c>
      <c r="B1366" s="673" t="s">
        <v>630</v>
      </c>
      <c r="C1366" s="685" t="s">
        <v>631</v>
      </c>
      <c r="D1366" s="608">
        <v>3100</v>
      </c>
      <c r="E1366" s="518"/>
      <c r="F1366" s="518"/>
      <c r="G1366" s="608"/>
      <c r="H1366" s="518"/>
      <c r="I1366" s="518"/>
      <c r="J1366" s="518"/>
      <c r="K1366" s="518"/>
      <c r="L1366" s="518"/>
      <c r="M1366" s="518"/>
      <c r="N1366" s="518"/>
      <c r="O1366" s="518"/>
      <c r="P1366" s="518"/>
      <c r="Q1366" s="518"/>
      <c r="R1366" s="518"/>
      <c r="S1366" s="518"/>
      <c r="T1366" s="518"/>
      <c r="U1366" s="518"/>
      <c r="V1366" s="518"/>
      <c r="W1366" s="518"/>
      <c r="X1366" s="1040"/>
      <c r="Y1366" s="1037">
        <f t="shared" si="19"/>
        <v>0</v>
      </c>
      <c r="Z1366" s="609">
        <f t="shared" si="20"/>
        <v>0</v>
      </c>
    </row>
    <row r="1367" spans="1:40" ht="15.75" hidden="1" customHeight="1">
      <c r="A1367" s="683">
        <v>45633</v>
      </c>
      <c r="B1367" s="673"/>
      <c r="C1367" s="685" t="s">
        <v>632</v>
      </c>
      <c r="D1367" s="608"/>
      <c r="E1367" s="518"/>
      <c r="F1367" s="518"/>
      <c r="G1367" s="608"/>
      <c r="H1367" s="518"/>
      <c r="I1367" s="518"/>
      <c r="J1367" s="518"/>
      <c r="K1367" s="518"/>
      <c r="L1367" s="518">
        <v>89.99</v>
      </c>
      <c r="M1367" s="518"/>
      <c r="N1367" s="518"/>
      <c r="O1367" s="518"/>
      <c r="P1367" s="518"/>
      <c r="Q1367" s="518"/>
      <c r="R1367" s="518"/>
      <c r="S1367" s="518"/>
      <c r="T1367" s="518"/>
      <c r="U1367" s="518"/>
      <c r="V1367" s="518"/>
      <c r="W1367" s="518"/>
      <c r="X1367" s="1040"/>
      <c r="Y1367" s="1037">
        <f t="shared" si="19"/>
        <v>53.993999999999993</v>
      </c>
      <c r="Z1367" s="609">
        <f t="shared" si="20"/>
        <v>35.996000000000002</v>
      </c>
    </row>
    <row r="1368" spans="1:40" ht="15.75" hidden="1" customHeight="1">
      <c r="A1368" s="683">
        <v>45635</v>
      </c>
      <c r="B1368" s="673"/>
      <c r="C1368" s="685" t="s">
        <v>207</v>
      </c>
      <c r="D1368" s="608"/>
      <c r="E1368" s="518"/>
      <c r="F1368" s="518"/>
      <c r="G1368" s="608"/>
      <c r="H1368" s="518"/>
      <c r="I1368" s="518"/>
      <c r="J1368" s="518"/>
      <c r="K1368" s="518"/>
      <c r="L1368" s="518"/>
      <c r="M1368" s="518">
        <v>45.3</v>
      </c>
      <c r="N1368" s="518"/>
      <c r="O1368" s="518"/>
      <c r="P1368" s="518"/>
      <c r="Q1368" s="518"/>
      <c r="R1368" s="518"/>
      <c r="S1368" s="518"/>
      <c r="T1368" s="518"/>
      <c r="U1368" s="518"/>
      <c r="V1368" s="518"/>
      <c r="W1368" s="518"/>
      <c r="X1368" s="1040"/>
      <c r="Y1368" s="1037">
        <f t="shared" si="19"/>
        <v>45.3</v>
      </c>
      <c r="Z1368" s="609">
        <f t="shared" si="20"/>
        <v>0</v>
      </c>
    </row>
    <row r="1369" spans="1:40" ht="15.75" hidden="1" customHeight="1">
      <c r="A1369" s="683">
        <v>45642</v>
      </c>
      <c r="B1369" s="673"/>
      <c r="C1369" s="685" t="s">
        <v>633</v>
      </c>
      <c r="D1369" s="608"/>
      <c r="E1369" s="518"/>
      <c r="F1369" s="518"/>
      <c r="G1369" s="608"/>
      <c r="H1369" s="518"/>
      <c r="I1369" s="518"/>
      <c r="J1369" s="518"/>
      <c r="K1369" s="518"/>
      <c r="L1369" s="518"/>
      <c r="M1369" s="518">
        <v>16.12</v>
      </c>
      <c r="N1369" s="518"/>
      <c r="O1369" s="518"/>
      <c r="P1369" s="518"/>
      <c r="Q1369" s="518"/>
      <c r="R1369" s="518"/>
      <c r="S1369" s="518"/>
      <c r="T1369" s="518"/>
      <c r="U1369" s="518"/>
      <c r="V1369" s="518"/>
      <c r="W1369" s="518"/>
      <c r="X1369" s="1040"/>
      <c r="Y1369" s="1037">
        <f t="shared" si="19"/>
        <v>16.12</v>
      </c>
      <c r="Z1369" s="609">
        <f t="shared" si="20"/>
        <v>0</v>
      </c>
    </row>
    <row r="1370" spans="1:40" ht="15.75" hidden="1" customHeight="1">
      <c r="A1370" s="683">
        <v>45645</v>
      </c>
      <c r="B1370" s="673"/>
      <c r="C1370" s="685" t="s">
        <v>634</v>
      </c>
      <c r="D1370" s="608"/>
      <c r="E1370" s="518"/>
      <c r="F1370" s="518"/>
      <c r="G1370" s="608"/>
      <c r="H1370" s="518"/>
      <c r="I1370" s="518"/>
      <c r="J1370" s="518"/>
      <c r="K1370" s="518"/>
      <c r="L1370" s="518"/>
      <c r="M1370" s="518"/>
      <c r="N1370" s="518"/>
      <c r="O1370" s="518"/>
      <c r="P1370" s="518"/>
      <c r="Q1370" s="518">
        <v>123.72</v>
      </c>
      <c r="R1370" s="518"/>
      <c r="S1370" s="518"/>
      <c r="T1370" s="518"/>
      <c r="U1370" s="518"/>
      <c r="V1370" s="518"/>
      <c r="W1370" s="518"/>
      <c r="X1370" s="1040"/>
      <c r="Y1370" s="1037">
        <f t="shared" si="19"/>
        <v>74.231999999999999</v>
      </c>
      <c r="Z1370" s="609">
        <f t="shared" si="20"/>
        <v>49.488</v>
      </c>
    </row>
    <row r="1371" spans="1:40" ht="15.75" hidden="1" customHeight="1">
      <c r="A1371" s="683">
        <v>45645</v>
      </c>
      <c r="B1371" s="673"/>
      <c r="C1371" s="685" t="s">
        <v>396</v>
      </c>
      <c r="D1371" s="608"/>
      <c r="E1371" s="518"/>
      <c r="F1371" s="518"/>
      <c r="G1371" s="608"/>
      <c r="H1371" s="518"/>
      <c r="I1371" s="518"/>
      <c r="J1371" s="518"/>
      <c r="K1371" s="518"/>
      <c r="L1371" s="518">
        <v>35</v>
      </c>
      <c r="M1371" s="518"/>
      <c r="N1371" s="518"/>
      <c r="O1371" s="518"/>
      <c r="P1371" s="518"/>
      <c r="Q1371" s="518"/>
      <c r="R1371" s="518"/>
      <c r="S1371" s="518"/>
      <c r="T1371" s="518"/>
      <c r="U1371" s="518"/>
      <c r="V1371" s="518"/>
      <c r="W1371" s="518"/>
      <c r="X1371" s="1040"/>
      <c r="Y1371" s="1037">
        <f t="shared" si="19"/>
        <v>21</v>
      </c>
      <c r="Z1371" s="609">
        <f t="shared" si="20"/>
        <v>14</v>
      </c>
    </row>
    <row r="1372" spans="1:40" ht="15.75" hidden="1" customHeight="1">
      <c r="A1372" s="683">
        <v>45649</v>
      </c>
      <c r="B1372" s="673"/>
      <c r="C1372" s="685"/>
      <c r="D1372" s="608"/>
      <c r="E1372" s="518"/>
      <c r="F1372" s="518"/>
      <c r="G1372" s="608"/>
      <c r="H1372" s="518"/>
      <c r="I1372" s="518"/>
      <c r="J1372" s="518"/>
      <c r="K1372" s="518"/>
      <c r="L1372" s="518"/>
      <c r="M1372" s="518"/>
      <c r="N1372" s="518"/>
      <c r="O1372" s="518"/>
      <c r="P1372" s="518"/>
      <c r="Q1372" s="518"/>
      <c r="R1372" s="518"/>
      <c r="S1372" s="518"/>
      <c r="T1372" s="518"/>
      <c r="U1372" s="518"/>
      <c r="V1372" s="518"/>
      <c r="W1372" s="518"/>
      <c r="X1372" s="1040"/>
      <c r="Y1372" s="1037">
        <f t="shared" si="19"/>
        <v>0</v>
      </c>
      <c r="Z1372" s="609">
        <f t="shared" si="20"/>
        <v>0</v>
      </c>
    </row>
    <row r="1373" spans="1:40" ht="15.75" hidden="1" customHeight="1">
      <c r="A1373" s="683">
        <v>45650</v>
      </c>
      <c r="B1373" s="673" t="s">
        <v>635</v>
      </c>
      <c r="C1373" s="685" t="s">
        <v>200</v>
      </c>
      <c r="D1373" s="608">
        <v>1328</v>
      </c>
      <c r="E1373" s="518"/>
      <c r="F1373" s="518"/>
      <c r="G1373" s="608"/>
      <c r="H1373" s="518"/>
      <c r="I1373" s="518"/>
      <c r="J1373" s="518"/>
      <c r="K1373" s="518"/>
      <c r="L1373" s="518"/>
      <c r="M1373" s="518"/>
      <c r="N1373" s="518"/>
      <c r="O1373" s="518"/>
      <c r="P1373" s="518"/>
      <c r="Q1373" s="518"/>
      <c r="R1373" s="518"/>
      <c r="S1373" s="518"/>
      <c r="T1373" s="518"/>
      <c r="U1373" s="518"/>
      <c r="V1373" s="518"/>
      <c r="W1373" s="518"/>
      <c r="X1373" s="1040"/>
      <c r="Y1373" s="1037">
        <f t="shared" si="19"/>
        <v>0</v>
      </c>
      <c r="Z1373" s="609">
        <f t="shared" si="20"/>
        <v>0</v>
      </c>
    </row>
    <row r="1374" spans="1:40" ht="15.75" hidden="1" customHeight="1">
      <c r="A1374" s="683"/>
      <c r="B1374" s="673"/>
      <c r="C1374" s="685"/>
      <c r="D1374" s="608"/>
      <c r="E1374" s="518"/>
      <c r="F1374" s="518"/>
      <c r="G1374" s="608"/>
      <c r="H1374" s="518"/>
      <c r="I1374" s="518"/>
      <c r="J1374" s="518"/>
      <c r="K1374" s="518"/>
      <c r="L1374" s="518"/>
      <c r="M1374" s="518"/>
      <c r="N1374" s="518"/>
      <c r="O1374" s="518"/>
      <c r="P1374" s="518"/>
      <c r="Q1374" s="518"/>
      <c r="R1374" s="518"/>
      <c r="S1374" s="518"/>
      <c r="T1374" s="518"/>
      <c r="U1374" s="518"/>
      <c r="V1374" s="518"/>
      <c r="W1374" s="518"/>
      <c r="X1374" s="1040"/>
      <c r="Y1374" s="1037">
        <f t="shared" si="19"/>
        <v>0</v>
      </c>
      <c r="Z1374" s="609">
        <f t="shared" si="20"/>
        <v>0</v>
      </c>
    </row>
    <row r="1375" spans="1:40" ht="15.75" customHeight="1" thickBot="1">
      <c r="A1375" s="683"/>
      <c r="B1375" s="673"/>
      <c r="C1375" s="685"/>
      <c r="D1375" s="608"/>
      <c r="E1375" s="518"/>
      <c r="F1375" s="518"/>
      <c r="G1375" s="608"/>
      <c r="H1375" s="518"/>
      <c r="I1375" s="518"/>
      <c r="J1375" s="518"/>
      <c r="K1375" s="518"/>
      <c r="L1375" s="518"/>
      <c r="M1375" s="518"/>
      <c r="N1375" s="518"/>
      <c r="O1375" s="518"/>
      <c r="P1375" s="518"/>
      <c r="Q1375" s="518"/>
      <c r="R1375" s="518"/>
      <c r="S1375" s="518"/>
      <c r="T1375" s="518"/>
      <c r="U1375" s="518"/>
      <c r="V1375" s="518"/>
      <c r="W1375" s="518"/>
      <c r="X1375" s="1040"/>
      <c r="Y1375" s="1037">
        <f t="shared" si="19"/>
        <v>0</v>
      </c>
      <c r="Z1375" s="609">
        <f t="shared" si="20"/>
        <v>0</v>
      </c>
    </row>
    <row r="1376" spans="1:40" ht="22.2" customHeight="1" thickTop="1" thickBot="1">
      <c r="A1376" s="643"/>
      <c r="B1376" s="644"/>
      <c r="C1376" s="696" t="s">
        <v>636</v>
      </c>
      <c r="D1376" s="680">
        <f>SUM(D929:D1375)-D7-D6</f>
        <v>0</v>
      </c>
      <c r="E1376" s="681">
        <f>SUM(E929:E1375)-E7-E6</f>
        <v>0.19999999999708962</v>
      </c>
      <c r="F1376" s="680">
        <f>SUM(F929:F1375)-F7-F6</f>
        <v>-0.43000000000029104</v>
      </c>
      <c r="G1376" s="680">
        <f>SUM(G929:G1375)-G7-G6</f>
        <v>0.18999999999869033</v>
      </c>
      <c r="H1376" s="680">
        <f>ROUND((SUM(H929:H1375)-H7-H6),0)+1</f>
        <v>2</v>
      </c>
      <c r="I1376" s="680">
        <f t="shared" ref="I1376:N1376" si="21">SUM(I929:I1375)-I7-I6</f>
        <v>1</v>
      </c>
      <c r="J1376" s="680">
        <f t="shared" si="21"/>
        <v>0.52999999999997272</v>
      </c>
      <c r="K1376" s="680">
        <f t="shared" si="21"/>
        <v>1.0199999999999818</v>
      </c>
      <c r="L1376" s="680">
        <f t="shared" si="21"/>
        <v>0.38000000000033651</v>
      </c>
      <c r="M1376" s="680">
        <f t="shared" si="21"/>
        <v>0.75791490000028716</v>
      </c>
      <c r="N1376" s="680">
        <f t="shared" si="21"/>
        <v>0.93960111999831497</v>
      </c>
      <c r="O1376" s="680">
        <f>SUM(O929:O1375)-O7-O6+1</f>
        <v>0.43599435999976777</v>
      </c>
      <c r="P1376" s="680">
        <f t="shared" ref="P1376:W1376" si="22">SUM(P929:P1375)-P7-P6</f>
        <v>0.67000000000007276</v>
      </c>
      <c r="Q1376" s="680">
        <f t="shared" si="22"/>
        <v>0.63000000000067757</v>
      </c>
      <c r="R1376" s="680">
        <f t="shared" si="22"/>
        <v>0.71000000000003638</v>
      </c>
      <c r="S1376" s="680">
        <f t="shared" si="22"/>
        <v>0.19778300000014326</v>
      </c>
      <c r="T1376" s="680">
        <f t="shared" si="22"/>
        <v>0.33999999999969077</v>
      </c>
      <c r="U1376" s="680">
        <f t="shared" si="22"/>
        <v>0</v>
      </c>
      <c r="V1376" s="680">
        <f t="shared" si="22"/>
        <v>0.39999999999690772</v>
      </c>
      <c r="W1376" s="680">
        <f t="shared" si="22"/>
        <v>0</v>
      </c>
      <c r="X1376" s="1041"/>
      <c r="Y1376" s="1042">
        <f>SUM(Y929:Y1375)</f>
        <v>681763.98322140006</v>
      </c>
      <c r="Z1376" s="697">
        <f>SUM(Z929:Z1375)</f>
        <v>194.27734759999998</v>
      </c>
      <c r="AA1376" s="682"/>
      <c r="AB1376" s="682"/>
      <c r="AC1376" s="682"/>
      <c r="AD1376" s="682"/>
      <c r="AE1376" s="682"/>
      <c r="AF1376" s="682"/>
      <c r="AG1376" s="682"/>
      <c r="AH1376" s="682"/>
      <c r="AI1376" s="682"/>
      <c r="AJ1376" s="682"/>
      <c r="AK1376" s="682"/>
      <c r="AL1376" s="682"/>
      <c r="AM1376" s="682"/>
      <c r="AN1376" s="682"/>
    </row>
    <row r="1377" spans="1:26" ht="9" customHeight="1" thickTop="1">
      <c r="A1377" s="819"/>
      <c r="B1377" s="820"/>
      <c r="C1377" s="821"/>
      <c r="D1377" s="822"/>
      <c r="E1377" s="823"/>
      <c r="F1377" s="823"/>
      <c r="G1377" s="822"/>
      <c r="H1377" s="823"/>
      <c r="I1377" s="823"/>
      <c r="J1377" s="823"/>
      <c r="K1377" s="823"/>
      <c r="L1377" s="823"/>
      <c r="M1377" s="823"/>
      <c r="N1377" s="823"/>
      <c r="O1377" s="823"/>
      <c r="P1377" s="823"/>
      <c r="Q1377" s="823"/>
      <c r="R1377" s="823"/>
      <c r="S1377" s="823"/>
      <c r="T1377" s="823"/>
      <c r="U1377" s="823"/>
      <c r="V1377" s="823"/>
      <c r="W1377" s="823"/>
      <c r="X1377" s="1043"/>
      <c r="Y1377" s="1044"/>
      <c r="Z1377" s="519"/>
    </row>
    <row r="1378" spans="1:26" ht="24" customHeight="1" thickBot="1">
      <c r="A1378" s="795"/>
      <c r="B1378" s="796">
        <v>45658</v>
      </c>
      <c r="C1378" s="795"/>
      <c r="D1378" s="795"/>
      <c r="E1378" s="795"/>
      <c r="F1378" s="795"/>
      <c r="G1378" s="795"/>
      <c r="H1378" s="795"/>
      <c r="I1378" s="795"/>
      <c r="J1378" s="795"/>
      <c r="K1378" s="795"/>
      <c r="L1378" s="795"/>
      <c r="M1378" s="795"/>
      <c r="N1378" s="795"/>
      <c r="O1378" s="795"/>
      <c r="P1378" s="795"/>
      <c r="Q1378" s="795"/>
      <c r="R1378" s="795"/>
      <c r="S1378" s="795"/>
      <c r="T1378" s="795"/>
      <c r="U1378" s="795"/>
      <c r="V1378" s="795"/>
      <c r="W1378" s="795"/>
      <c r="X1378" s="1045" t="s">
        <v>2401</v>
      </c>
      <c r="Y1378" s="1046" t="s">
        <v>2402</v>
      </c>
      <c r="Z1378" s="519"/>
    </row>
    <row r="1379" spans="1:26" ht="15.75" customHeight="1">
      <c r="A1379" s="800">
        <v>45657</v>
      </c>
      <c r="B1379" s="801"/>
      <c r="C1379" s="802" t="s">
        <v>426</v>
      </c>
      <c r="D1379" s="803"/>
      <c r="E1379" s="803"/>
      <c r="F1379" s="801"/>
      <c r="G1379" s="801"/>
      <c r="H1379" s="801"/>
      <c r="I1379" s="801"/>
      <c r="J1379" s="804"/>
      <c r="K1379" s="804"/>
      <c r="L1379" s="804"/>
      <c r="M1379" s="804"/>
      <c r="N1379" s="804"/>
      <c r="O1379" s="804"/>
      <c r="P1379" s="804"/>
      <c r="Q1379" s="805">
        <v>38.799999999999997</v>
      </c>
      <c r="R1379" s="804"/>
      <c r="S1379" s="804"/>
      <c r="T1379" s="804"/>
      <c r="U1379" s="804"/>
      <c r="V1379" s="804"/>
      <c r="W1379" s="804"/>
      <c r="X1379" s="806">
        <f>Q1379</f>
        <v>38.799999999999997</v>
      </c>
      <c r="Y1379" s="807" t="str">
        <f>$Q$3</f>
        <v>6495-2</v>
      </c>
      <c r="Z1379" s="519"/>
    </row>
    <row r="1380" spans="1:26" ht="15.75" customHeight="1">
      <c r="A1380" s="800">
        <v>45658</v>
      </c>
      <c r="B1380" s="801"/>
      <c r="C1380" s="802" t="s">
        <v>2295</v>
      </c>
      <c r="D1380" s="803"/>
      <c r="E1380" s="803"/>
      <c r="F1380" s="801"/>
      <c r="G1380" s="801"/>
      <c r="H1380" s="801"/>
      <c r="I1380" s="801"/>
      <c r="J1380" s="804"/>
      <c r="K1380" s="804"/>
      <c r="L1380" s="804"/>
      <c r="M1380" s="804"/>
      <c r="N1380" s="804"/>
      <c r="O1380" s="804"/>
      <c r="P1380" s="804"/>
      <c r="Q1380" s="805">
        <v>23</v>
      </c>
      <c r="R1380" s="804"/>
      <c r="S1380" s="804"/>
      <c r="T1380" s="804"/>
      <c r="U1380" s="804"/>
      <c r="V1380" s="804"/>
      <c r="W1380" s="804"/>
      <c r="X1380" s="808">
        <f>Q1380</f>
        <v>23</v>
      </c>
      <c r="Y1380" s="809" t="str">
        <f>$Q$3</f>
        <v>6495-2</v>
      </c>
      <c r="Z1380" s="519"/>
    </row>
    <row r="1381" spans="1:26" ht="15.75" customHeight="1">
      <c r="A1381" s="800">
        <v>45659</v>
      </c>
      <c r="B1381" s="801"/>
      <c r="C1381" s="802" t="s">
        <v>2296</v>
      </c>
      <c r="D1381" s="803"/>
      <c r="E1381" s="803"/>
      <c r="F1381" s="801"/>
      <c r="G1381" s="801"/>
      <c r="H1381" s="801"/>
      <c r="I1381" s="801"/>
      <c r="J1381" s="804"/>
      <c r="K1381" s="804"/>
      <c r="L1381" s="804"/>
      <c r="M1381" s="805">
        <v>58</v>
      </c>
      <c r="N1381" s="804"/>
      <c r="O1381" s="804"/>
      <c r="P1381" s="804"/>
      <c r="Q1381" s="804"/>
      <c r="R1381" s="804"/>
      <c r="S1381" s="804"/>
      <c r="T1381" s="804"/>
      <c r="U1381" s="804"/>
      <c r="V1381" s="804"/>
      <c r="W1381" s="804"/>
      <c r="X1381" s="808">
        <f>M1381</f>
        <v>58</v>
      </c>
      <c r="Y1381" s="809" t="str">
        <f>$M$3</f>
        <v>6673-2</v>
      </c>
      <c r="Z1381" s="519"/>
    </row>
    <row r="1382" spans="1:26" ht="15.75" customHeight="1">
      <c r="A1382" s="800">
        <v>45659</v>
      </c>
      <c r="B1382" s="801"/>
      <c r="C1382" s="802" t="s">
        <v>2297</v>
      </c>
      <c r="D1382" s="803"/>
      <c r="E1382" s="803"/>
      <c r="F1382" s="801"/>
      <c r="G1382" s="801"/>
      <c r="H1382" s="801"/>
      <c r="I1382" s="801"/>
      <c r="J1382" s="804"/>
      <c r="K1382" s="804"/>
      <c r="L1382" s="804"/>
      <c r="M1382" s="804"/>
      <c r="N1382" s="804"/>
      <c r="O1382" s="804"/>
      <c r="P1382" s="804"/>
      <c r="Q1382" s="804"/>
      <c r="R1382" s="804"/>
      <c r="S1382" s="804"/>
      <c r="T1382" s="805">
        <v>80</v>
      </c>
      <c r="U1382" s="804"/>
      <c r="V1382" s="804"/>
      <c r="W1382" s="804"/>
      <c r="X1382" s="808">
        <f>T1382</f>
        <v>80</v>
      </c>
      <c r="Y1382" s="809">
        <f>$T$3</f>
        <v>2300</v>
      </c>
      <c r="Z1382" s="519"/>
    </row>
    <row r="1383" spans="1:26" ht="15.75" customHeight="1">
      <c r="A1383" s="800">
        <v>45659</v>
      </c>
      <c r="B1383" s="801"/>
      <c r="C1383" s="802" t="s">
        <v>2298</v>
      </c>
      <c r="D1383" s="803"/>
      <c r="E1383" s="803"/>
      <c r="F1383" s="801"/>
      <c r="G1383" s="801"/>
      <c r="H1383" s="801"/>
      <c r="I1383" s="801"/>
      <c r="J1383" s="804"/>
      <c r="K1383" s="804"/>
      <c r="L1383" s="804"/>
      <c r="M1383" s="804"/>
      <c r="N1383" s="804"/>
      <c r="O1383" s="804"/>
      <c r="P1383" s="804"/>
      <c r="Q1383" s="804"/>
      <c r="R1383" s="804"/>
      <c r="S1383" s="804"/>
      <c r="T1383" s="805">
        <v>277.60000000000002</v>
      </c>
      <c r="U1383" s="804"/>
      <c r="V1383" s="804"/>
      <c r="W1383" s="804"/>
      <c r="X1383" s="808">
        <f>T1383</f>
        <v>277.60000000000002</v>
      </c>
      <c r="Y1383" s="809">
        <f>$T$3</f>
        <v>2300</v>
      </c>
      <c r="Z1383" s="519"/>
    </row>
    <row r="1384" spans="1:26" ht="15.75" customHeight="1">
      <c r="A1384" s="800">
        <v>45663</v>
      </c>
      <c r="B1384" s="801" t="s">
        <v>637</v>
      </c>
      <c r="C1384" s="802" t="s">
        <v>2299</v>
      </c>
      <c r="D1384" s="810">
        <v>1500</v>
      </c>
      <c r="E1384" s="803"/>
      <c r="F1384" s="801"/>
      <c r="G1384" s="801"/>
      <c r="H1384" s="801"/>
      <c r="I1384" s="801"/>
      <c r="J1384" s="804"/>
      <c r="K1384" s="804"/>
      <c r="L1384" s="804"/>
      <c r="M1384" s="804"/>
      <c r="N1384" s="804"/>
      <c r="O1384" s="804"/>
      <c r="P1384" s="804"/>
      <c r="Q1384" s="804"/>
      <c r="R1384" s="804"/>
      <c r="S1384" s="804"/>
      <c r="T1384" s="804"/>
      <c r="U1384" s="804"/>
      <c r="V1384" s="804"/>
      <c r="W1384" s="804"/>
      <c r="X1384" s="1034">
        <f>D1384</f>
        <v>1500</v>
      </c>
      <c r="Y1384" s="809" t="s">
        <v>2300</v>
      </c>
      <c r="Z1384" s="519"/>
    </row>
    <row r="1385" spans="1:26" ht="15.75" customHeight="1">
      <c r="A1385" s="800">
        <v>45663</v>
      </c>
      <c r="B1385" s="801" t="s">
        <v>2278</v>
      </c>
      <c r="C1385" s="802" t="s">
        <v>2301</v>
      </c>
      <c r="D1385" s="810">
        <v>3100</v>
      </c>
      <c r="E1385" s="803"/>
      <c r="F1385" s="801"/>
      <c r="G1385" s="801"/>
      <c r="H1385" s="801"/>
      <c r="I1385" s="801"/>
      <c r="J1385" s="804"/>
      <c r="K1385" s="804"/>
      <c r="L1385" s="804"/>
      <c r="M1385" s="804"/>
      <c r="N1385" s="804"/>
      <c r="O1385" s="804"/>
      <c r="P1385" s="804"/>
      <c r="Q1385" s="804"/>
      <c r="R1385" s="804"/>
      <c r="S1385" s="804"/>
      <c r="T1385" s="804"/>
      <c r="U1385" s="804"/>
      <c r="V1385" s="804"/>
      <c r="W1385" s="804"/>
      <c r="X1385" s="1034">
        <f>D1385</f>
        <v>3100</v>
      </c>
      <c r="Y1385" s="809" t="s">
        <v>2300</v>
      </c>
      <c r="Z1385" s="519"/>
    </row>
    <row r="1386" spans="1:26" ht="15.75" customHeight="1">
      <c r="A1386" s="800">
        <v>45664</v>
      </c>
      <c r="B1386" s="801"/>
      <c r="C1386" s="802" t="s">
        <v>2302</v>
      </c>
      <c r="D1386" s="803"/>
      <c r="E1386" s="803"/>
      <c r="F1386" s="801"/>
      <c r="G1386" s="801"/>
      <c r="H1386" s="801"/>
      <c r="I1386" s="801"/>
      <c r="J1386" s="804"/>
      <c r="K1386" s="804"/>
      <c r="L1386" s="804"/>
      <c r="M1386" s="804"/>
      <c r="N1386" s="805">
        <v>950</v>
      </c>
      <c r="O1386" s="804"/>
      <c r="P1386" s="804"/>
      <c r="Q1386" s="804"/>
      <c r="R1386" s="804"/>
      <c r="S1386" s="804"/>
      <c r="T1386" s="804"/>
      <c r="U1386" s="804"/>
      <c r="V1386" s="804"/>
      <c r="W1386" s="804"/>
      <c r="X1386" s="808">
        <f>N1386</f>
        <v>950</v>
      </c>
      <c r="Y1386" s="809">
        <f>$N$3</f>
        <v>6680</v>
      </c>
      <c r="Z1386" s="519"/>
    </row>
    <row r="1387" spans="1:26" ht="15.75" customHeight="1">
      <c r="A1387" s="800">
        <v>45664</v>
      </c>
      <c r="B1387" s="801" t="s">
        <v>2279</v>
      </c>
      <c r="C1387" s="802" t="s">
        <v>2303</v>
      </c>
      <c r="D1387" s="803"/>
      <c r="E1387" s="805">
        <v>2410</v>
      </c>
      <c r="F1387" s="801"/>
      <c r="G1387" s="801"/>
      <c r="H1387" s="801"/>
      <c r="I1387" s="801"/>
      <c r="J1387" s="804"/>
      <c r="K1387" s="804"/>
      <c r="L1387" s="804"/>
      <c r="M1387" s="804"/>
      <c r="N1387" s="804"/>
      <c r="O1387" s="804"/>
      <c r="P1387" s="804"/>
      <c r="Q1387" s="804"/>
      <c r="R1387" s="804"/>
      <c r="S1387" s="804"/>
      <c r="T1387" s="804"/>
      <c r="U1387" s="804"/>
      <c r="V1387" s="804"/>
      <c r="W1387" s="804"/>
      <c r="X1387" s="808">
        <f>E1387</f>
        <v>2410</v>
      </c>
      <c r="Y1387" s="809" t="s">
        <v>2304</v>
      </c>
      <c r="Z1387" s="519"/>
    </row>
    <row r="1388" spans="1:26" ht="15.75" customHeight="1">
      <c r="A1388" s="800">
        <v>45664</v>
      </c>
      <c r="B1388" s="801"/>
      <c r="C1388" s="802" t="s">
        <v>426</v>
      </c>
      <c r="D1388" s="803"/>
      <c r="E1388" s="803"/>
      <c r="F1388" s="801"/>
      <c r="G1388" s="801"/>
      <c r="H1388" s="801"/>
      <c r="I1388" s="801"/>
      <c r="J1388" s="804"/>
      <c r="K1388" s="804"/>
      <c r="L1388" s="804"/>
      <c r="M1388" s="804"/>
      <c r="N1388" s="804"/>
      <c r="O1388" s="804"/>
      <c r="P1388" s="804"/>
      <c r="Q1388" s="805">
        <v>39.11</v>
      </c>
      <c r="R1388" s="804"/>
      <c r="S1388" s="804"/>
      <c r="T1388" s="804"/>
      <c r="U1388" s="804"/>
      <c r="V1388" s="804"/>
      <c r="W1388" s="804"/>
      <c r="X1388" s="808">
        <f>Q1388</f>
        <v>39.11</v>
      </c>
      <c r="Y1388" s="809" t="str">
        <f>$Q$3</f>
        <v>6495-2</v>
      </c>
      <c r="Z1388" s="519"/>
    </row>
    <row r="1389" spans="1:26" ht="15.75" customHeight="1">
      <c r="A1389" s="800">
        <v>45665</v>
      </c>
      <c r="B1389" s="801"/>
      <c r="C1389" s="802" t="s">
        <v>2305</v>
      </c>
      <c r="D1389" s="803"/>
      <c r="E1389" s="803"/>
      <c r="F1389" s="801"/>
      <c r="G1389" s="801"/>
      <c r="H1389" s="801"/>
      <c r="I1389" s="801"/>
      <c r="J1389" s="804"/>
      <c r="K1389" s="804"/>
      <c r="L1389" s="805">
        <v>143.82</v>
      </c>
      <c r="M1389" s="804"/>
      <c r="N1389" s="804"/>
      <c r="O1389" s="804"/>
      <c r="P1389" s="804"/>
      <c r="Q1389" s="804"/>
      <c r="R1389" s="804"/>
      <c r="S1389" s="804"/>
      <c r="T1389" s="804"/>
      <c r="U1389" s="804"/>
      <c r="V1389" s="804"/>
      <c r="W1389" s="804"/>
      <c r="X1389" s="808">
        <f>L1389</f>
        <v>143.82</v>
      </c>
      <c r="Y1389" s="809" t="str">
        <f>$L$3</f>
        <v>6673-1</v>
      </c>
      <c r="Z1389" s="519"/>
    </row>
    <row r="1390" spans="1:26" ht="15.75" customHeight="1">
      <c r="A1390" s="800">
        <v>45666</v>
      </c>
      <c r="B1390" s="801"/>
      <c r="C1390" s="802" t="s">
        <v>2306</v>
      </c>
      <c r="D1390" s="803"/>
      <c r="E1390" s="803"/>
      <c r="F1390" s="801"/>
      <c r="G1390" s="801"/>
      <c r="H1390" s="801"/>
      <c r="I1390" s="801"/>
      <c r="J1390" s="804"/>
      <c r="K1390" s="804"/>
      <c r="L1390" s="805">
        <v>185.88</v>
      </c>
      <c r="M1390" s="804"/>
      <c r="N1390" s="804"/>
      <c r="O1390" s="804"/>
      <c r="P1390" s="804"/>
      <c r="Q1390" s="804"/>
      <c r="R1390" s="804"/>
      <c r="S1390" s="804"/>
      <c r="T1390" s="804"/>
      <c r="U1390" s="804"/>
      <c r="V1390" s="804"/>
      <c r="W1390" s="804"/>
      <c r="X1390" s="808">
        <f>L1390</f>
        <v>185.88</v>
      </c>
      <c r="Y1390" s="809" t="str">
        <f>$L$3</f>
        <v>6673-1</v>
      </c>
      <c r="Z1390" s="519"/>
    </row>
    <row r="1391" spans="1:26" ht="15.75" customHeight="1">
      <c r="A1391" s="800">
        <v>45666</v>
      </c>
      <c r="B1391" s="801" t="s">
        <v>2280</v>
      </c>
      <c r="C1391" s="802" t="s">
        <v>2307</v>
      </c>
      <c r="D1391" s="810">
        <v>350</v>
      </c>
      <c r="E1391" s="803"/>
      <c r="F1391" s="801"/>
      <c r="G1391" s="801"/>
      <c r="H1391" s="801"/>
      <c r="I1391" s="801"/>
      <c r="J1391" s="804"/>
      <c r="K1391" s="804"/>
      <c r="L1391" s="804"/>
      <c r="M1391" s="804"/>
      <c r="N1391" s="804"/>
      <c r="O1391" s="804"/>
      <c r="P1391" s="804"/>
      <c r="Q1391" s="804"/>
      <c r="R1391" s="804"/>
      <c r="S1391" s="804"/>
      <c r="T1391" s="804"/>
      <c r="U1391" s="804"/>
      <c r="V1391" s="804"/>
      <c r="W1391" s="804"/>
      <c r="X1391" s="1034">
        <f>D1391</f>
        <v>350</v>
      </c>
      <c r="Y1391" s="809" t="s">
        <v>2300</v>
      </c>
      <c r="Z1391" s="519"/>
    </row>
    <row r="1392" spans="1:26" ht="15.75" customHeight="1">
      <c r="A1392" s="800">
        <v>45670</v>
      </c>
      <c r="B1392" s="801"/>
      <c r="C1392" s="802" t="s">
        <v>2308</v>
      </c>
      <c r="D1392" s="803"/>
      <c r="E1392" s="803"/>
      <c r="F1392" s="801"/>
      <c r="G1392" s="801"/>
      <c r="H1392" s="801"/>
      <c r="I1392" s="801"/>
      <c r="J1392" s="804"/>
      <c r="K1392" s="804"/>
      <c r="L1392" s="805">
        <v>252</v>
      </c>
      <c r="M1392" s="804"/>
      <c r="N1392" s="804"/>
      <c r="O1392" s="804"/>
      <c r="P1392" s="804"/>
      <c r="Q1392" s="804"/>
      <c r="R1392" s="804"/>
      <c r="S1392" s="804"/>
      <c r="T1392" s="804"/>
      <c r="U1392" s="804"/>
      <c r="V1392" s="804"/>
      <c r="W1392" s="804"/>
      <c r="X1392" s="808">
        <f>L1392</f>
        <v>252</v>
      </c>
      <c r="Y1392" s="809" t="str">
        <f>$L$3</f>
        <v>6673-1</v>
      </c>
      <c r="Z1392" s="519"/>
    </row>
    <row r="1393" spans="1:26" ht="15.75" customHeight="1">
      <c r="A1393" s="800">
        <v>45670</v>
      </c>
      <c r="B1393" s="801"/>
      <c r="C1393" s="802" t="s">
        <v>2308</v>
      </c>
      <c r="D1393" s="803"/>
      <c r="E1393" s="803"/>
      <c r="F1393" s="801"/>
      <c r="G1393" s="801"/>
      <c r="H1393" s="801"/>
      <c r="I1393" s="801"/>
      <c r="J1393" s="804"/>
      <c r="K1393" s="804"/>
      <c r="L1393" s="805">
        <v>252</v>
      </c>
      <c r="M1393" s="804"/>
      <c r="N1393" s="804"/>
      <c r="O1393" s="804"/>
      <c r="P1393" s="804"/>
      <c r="Q1393" s="804"/>
      <c r="R1393" s="804"/>
      <c r="S1393" s="804"/>
      <c r="T1393" s="804"/>
      <c r="U1393" s="804"/>
      <c r="V1393" s="804"/>
      <c r="W1393" s="804"/>
      <c r="X1393" s="808">
        <f>L1393</f>
        <v>252</v>
      </c>
      <c r="Y1393" s="809" t="str">
        <f>$L$3</f>
        <v>6673-1</v>
      </c>
      <c r="Z1393" s="519"/>
    </row>
    <row r="1394" spans="1:26" ht="15.75" customHeight="1">
      <c r="A1394" s="800">
        <v>45670</v>
      </c>
      <c r="B1394" s="801"/>
      <c r="C1394" s="802" t="s">
        <v>207</v>
      </c>
      <c r="D1394" s="803"/>
      <c r="E1394" s="803"/>
      <c r="F1394" s="801"/>
      <c r="G1394" s="801"/>
      <c r="H1394" s="801"/>
      <c r="I1394" s="801"/>
      <c r="J1394" s="804"/>
      <c r="K1394" s="804"/>
      <c r="L1394" s="804"/>
      <c r="M1394" s="805">
        <v>28.14</v>
      </c>
      <c r="N1394" s="804"/>
      <c r="O1394" s="804"/>
      <c r="P1394" s="804"/>
      <c r="Q1394" s="804"/>
      <c r="R1394" s="804"/>
      <c r="S1394" s="804"/>
      <c r="T1394" s="804"/>
      <c r="U1394" s="804"/>
      <c r="V1394" s="804"/>
      <c r="W1394" s="804"/>
      <c r="X1394" s="808">
        <f>M1394</f>
        <v>28.14</v>
      </c>
      <c r="Y1394" s="809" t="str">
        <f>$M$3</f>
        <v>6673-2</v>
      </c>
      <c r="Z1394" s="519"/>
    </row>
    <row r="1395" spans="1:26" ht="15.75" customHeight="1">
      <c r="A1395" s="800">
        <v>45670</v>
      </c>
      <c r="B1395" s="801"/>
      <c r="C1395" s="802" t="s">
        <v>426</v>
      </c>
      <c r="D1395" s="803"/>
      <c r="E1395" s="803"/>
      <c r="F1395" s="801"/>
      <c r="G1395" s="801"/>
      <c r="H1395" s="801"/>
      <c r="I1395" s="801"/>
      <c r="J1395" s="804"/>
      <c r="K1395" s="804"/>
      <c r="L1395" s="804"/>
      <c r="M1395" s="804"/>
      <c r="N1395" s="804"/>
      <c r="O1395" s="804"/>
      <c r="P1395" s="804"/>
      <c r="Q1395" s="805">
        <v>39.76</v>
      </c>
      <c r="R1395" s="804"/>
      <c r="S1395" s="804"/>
      <c r="T1395" s="804"/>
      <c r="U1395" s="804"/>
      <c r="V1395" s="804"/>
      <c r="W1395" s="804"/>
      <c r="X1395" s="808">
        <f>Q1395</f>
        <v>39.76</v>
      </c>
      <c r="Y1395" s="809" t="str">
        <f>$Q$3</f>
        <v>6495-2</v>
      </c>
      <c r="Z1395" s="519"/>
    </row>
    <row r="1396" spans="1:26" ht="15.75" customHeight="1">
      <c r="A1396" s="800">
        <v>45671</v>
      </c>
      <c r="B1396" s="801"/>
      <c r="C1396" s="802" t="s">
        <v>2309</v>
      </c>
      <c r="D1396" s="803"/>
      <c r="E1396" s="803"/>
      <c r="F1396" s="801"/>
      <c r="G1396" s="810"/>
      <c r="H1396" s="801"/>
      <c r="I1396" s="801"/>
      <c r="J1396" s="804"/>
      <c r="K1396" s="804"/>
      <c r="L1396" s="804"/>
      <c r="M1396" s="804"/>
      <c r="N1396" s="804"/>
      <c r="O1396" s="805">
        <v>764.62</v>
      </c>
      <c r="P1396" s="804"/>
      <c r="Q1396" s="804"/>
      <c r="R1396" s="804"/>
      <c r="S1396" s="804"/>
      <c r="T1396" s="804"/>
      <c r="U1396" s="804"/>
      <c r="V1396" s="804"/>
      <c r="W1396" s="804"/>
      <c r="X1396" s="808">
        <f>O1396</f>
        <v>764.62</v>
      </c>
      <c r="Y1396" s="809">
        <f>$O$3</f>
        <v>6530</v>
      </c>
      <c r="Z1396" s="519"/>
    </row>
    <row r="1397" spans="1:26" ht="15.75" customHeight="1">
      <c r="A1397" s="800">
        <v>45671</v>
      </c>
      <c r="B1397" s="801"/>
      <c r="C1397" s="802" t="s">
        <v>194</v>
      </c>
      <c r="D1397" s="803"/>
      <c r="E1397" s="803"/>
      <c r="F1397" s="801"/>
      <c r="G1397" s="801"/>
      <c r="H1397" s="801"/>
      <c r="I1397" s="801"/>
      <c r="J1397" s="804"/>
      <c r="K1397" s="804"/>
      <c r="L1397" s="804"/>
      <c r="M1397" s="804"/>
      <c r="N1397" s="804"/>
      <c r="O1397" s="804"/>
      <c r="P1397" s="804"/>
      <c r="Q1397" s="804"/>
      <c r="R1397" s="804"/>
      <c r="S1397" s="805">
        <v>11.5</v>
      </c>
      <c r="T1397" s="804"/>
      <c r="U1397" s="804"/>
      <c r="V1397" s="804"/>
      <c r="W1397" s="804"/>
      <c r="X1397" s="808">
        <f>S1397</f>
        <v>11.5</v>
      </c>
      <c r="Y1397" s="809">
        <f>$S$3</f>
        <v>6855</v>
      </c>
      <c r="Z1397" s="519"/>
    </row>
    <row r="1398" spans="1:26" ht="15.75" customHeight="1">
      <c r="A1398" s="800">
        <v>45671</v>
      </c>
      <c r="B1398" s="801"/>
      <c r="C1398" s="802" t="s">
        <v>2305</v>
      </c>
      <c r="D1398" s="803"/>
      <c r="E1398" s="803"/>
      <c r="F1398" s="801"/>
      <c r="G1398" s="801"/>
      <c r="H1398" s="801"/>
      <c r="I1398" s="801"/>
      <c r="J1398" s="804"/>
      <c r="K1398" s="804"/>
      <c r="L1398" s="805">
        <v>68.39</v>
      </c>
      <c r="M1398" s="804"/>
      <c r="N1398" s="804"/>
      <c r="O1398" s="804"/>
      <c r="P1398" s="804"/>
      <c r="Q1398" s="804"/>
      <c r="R1398" s="804"/>
      <c r="S1398" s="804"/>
      <c r="T1398" s="804"/>
      <c r="U1398" s="804"/>
      <c r="V1398" s="804"/>
      <c r="W1398" s="804"/>
      <c r="X1398" s="808">
        <f>L1398</f>
        <v>68.39</v>
      </c>
      <c r="Y1398" s="809" t="str">
        <f>$L$3</f>
        <v>6673-1</v>
      </c>
      <c r="Z1398" s="519"/>
    </row>
    <row r="1399" spans="1:26" ht="15.75" customHeight="1">
      <c r="A1399" s="800">
        <v>45671</v>
      </c>
      <c r="B1399" s="801"/>
      <c r="C1399" s="802" t="s">
        <v>207</v>
      </c>
      <c r="D1399" s="803"/>
      <c r="E1399" s="803"/>
      <c r="F1399" s="801"/>
      <c r="G1399" s="801"/>
      <c r="H1399" s="801"/>
      <c r="I1399" s="801"/>
      <c r="J1399" s="804"/>
      <c r="K1399" s="804"/>
      <c r="L1399" s="804"/>
      <c r="M1399" s="805">
        <v>110.22</v>
      </c>
      <c r="N1399" s="804"/>
      <c r="O1399" s="804"/>
      <c r="P1399" s="804"/>
      <c r="Q1399" s="804"/>
      <c r="R1399" s="804"/>
      <c r="S1399" s="804"/>
      <c r="T1399" s="804"/>
      <c r="U1399" s="804"/>
      <c r="V1399" s="804"/>
      <c r="W1399" s="804"/>
      <c r="X1399" s="808">
        <f>M1399</f>
        <v>110.22</v>
      </c>
      <c r="Y1399" s="809" t="str">
        <f>$M$3</f>
        <v>6673-2</v>
      </c>
      <c r="Z1399" s="519"/>
    </row>
    <row r="1400" spans="1:26" ht="15.75" customHeight="1">
      <c r="A1400" s="800">
        <v>45671</v>
      </c>
      <c r="B1400" s="801"/>
      <c r="C1400" s="802" t="s">
        <v>2310</v>
      </c>
      <c r="D1400" s="803"/>
      <c r="E1400" s="803"/>
      <c r="F1400" s="801"/>
      <c r="G1400" s="801"/>
      <c r="H1400" s="801"/>
      <c r="I1400" s="801"/>
      <c r="J1400" s="804"/>
      <c r="K1400" s="804"/>
      <c r="L1400" s="804"/>
      <c r="M1400" s="805">
        <v>10.24</v>
      </c>
      <c r="N1400" s="804"/>
      <c r="O1400" s="804"/>
      <c r="P1400" s="804"/>
      <c r="Q1400" s="804"/>
      <c r="R1400" s="804"/>
      <c r="S1400" s="804"/>
      <c r="T1400" s="804"/>
      <c r="U1400" s="804"/>
      <c r="V1400" s="804"/>
      <c r="W1400" s="804"/>
      <c r="X1400" s="808">
        <f>M1400</f>
        <v>10.24</v>
      </c>
      <c r="Y1400" s="809" t="str">
        <f>$M$3</f>
        <v>6673-2</v>
      </c>
      <c r="Z1400" s="519"/>
    </row>
    <row r="1401" spans="1:26" ht="15.75" customHeight="1">
      <c r="A1401" s="800">
        <v>45671</v>
      </c>
      <c r="B1401" s="801"/>
      <c r="C1401" s="802" t="s">
        <v>2310</v>
      </c>
      <c r="D1401" s="803"/>
      <c r="E1401" s="803"/>
      <c r="F1401" s="801"/>
      <c r="G1401" s="801"/>
      <c r="H1401" s="801"/>
      <c r="I1401" s="801"/>
      <c r="J1401" s="804"/>
      <c r="K1401" s="804"/>
      <c r="L1401" s="804"/>
      <c r="M1401" s="805">
        <v>12.41</v>
      </c>
      <c r="N1401" s="804"/>
      <c r="O1401" s="804"/>
      <c r="P1401" s="804"/>
      <c r="Q1401" s="804"/>
      <c r="R1401" s="804"/>
      <c r="S1401" s="804"/>
      <c r="T1401" s="804"/>
      <c r="U1401" s="804"/>
      <c r="V1401" s="804"/>
      <c r="W1401" s="804"/>
      <c r="X1401" s="808">
        <f>M1401</f>
        <v>12.41</v>
      </c>
      <c r="Y1401" s="809" t="str">
        <f>$M$3</f>
        <v>6673-2</v>
      </c>
      <c r="Z1401" s="519"/>
    </row>
    <row r="1402" spans="1:26" ht="15.75" customHeight="1">
      <c r="A1402" s="800">
        <v>45671</v>
      </c>
      <c r="B1402" s="801"/>
      <c r="C1402" s="802" t="s">
        <v>2310</v>
      </c>
      <c r="D1402" s="803"/>
      <c r="E1402" s="803"/>
      <c r="F1402" s="801"/>
      <c r="G1402" s="801"/>
      <c r="H1402" s="801"/>
      <c r="I1402" s="801"/>
      <c r="J1402" s="804"/>
      <c r="K1402" s="804"/>
      <c r="L1402" s="804"/>
      <c r="M1402" s="805">
        <v>8.1199999999999992</v>
      </c>
      <c r="N1402" s="804"/>
      <c r="O1402" s="804"/>
      <c r="P1402" s="804"/>
      <c r="Q1402" s="804"/>
      <c r="R1402" s="804"/>
      <c r="S1402" s="804"/>
      <c r="T1402" s="804"/>
      <c r="U1402" s="804"/>
      <c r="V1402" s="804"/>
      <c r="W1402" s="804"/>
      <c r="X1402" s="808">
        <f>M1402</f>
        <v>8.1199999999999992</v>
      </c>
      <c r="Y1402" s="809" t="str">
        <f>$M$3</f>
        <v>6673-2</v>
      </c>
      <c r="Z1402" s="519"/>
    </row>
    <row r="1403" spans="1:26" ht="15.75" customHeight="1">
      <c r="A1403" s="800">
        <v>45672</v>
      </c>
      <c r="B1403" s="801"/>
      <c r="C1403" s="802" t="s">
        <v>394</v>
      </c>
      <c r="D1403" s="803"/>
      <c r="E1403" s="803"/>
      <c r="F1403" s="801"/>
      <c r="G1403" s="801"/>
      <c r="H1403" s="801"/>
      <c r="I1403" s="801"/>
      <c r="J1403" s="804"/>
      <c r="K1403" s="804"/>
      <c r="L1403" s="804"/>
      <c r="M1403" s="804"/>
      <c r="N1403" s="804"/>
      <c r="O1403" s="804"/>
      <c r="P1403" s="804"/>
      <c r="Q1403" s="804"/>
      <c r="R1403" s="804"/>
      <c r="S1403" s="804"/>
      <c r="T1403" s="805">
        <v>18.36</v>
      </c>
      <c r="U1403" s="804"/>
      <c r="V1403" s="804"/>
      <c r="W1403" s="804"/>
      <c r="X1403" s="808">
        <f>T1403</f>
        <v>18.36</v>
      </c>
      <c r="Y1403" s="809">
        <f>$T$3</f>
        <v>2300</v>
      </c>
      <c r="Z1403" s="519"/>
    </row>
    <row r="1404" spans="1:26" ht="15.75" customHeight="1">
      <c r="A1404" s="800">
        <v>45672</v>
      </c>
      <c r="B1404" s="801"/>
      <c r="C1404" s="802" t="s">
        <v>2311</v>
      </c>
      <c r="D1404" s="803"/>
      <c r="E1404" s="803"/>
      <c r="F1404" s="801"/>
      <c r="G1404" s="801"/>
      <c r="H1404" s="801"/>
      <c r="I1404" s="801"/>
      <c r="J1404" s="804"/>
      <c r="K1404" s="804"/>
      <c r="L1404" s="810">
        <v>7.95</v>
      </c>
      <c r="M1404" s="804"/>
      <c r="N1404" s="804"/>
      <c r="O1404" s="804"/>
      <c r="P1404" s="804"/>
      <c r="Q1404" s="804"/>
      <c r="R1404" s="804"/>
      <c r="S1404" s="804"/>
      <c r="T1404" s="804"/>
      <c r="U1404" s="804"/>
      <c r="V1404" s="804"/>
      <c r="W1404" s="804"/>
      <c r="X1404" s="808">
        <f>L1404</f>
        <v>7.95</v>
      </c>
      <c r="Y1404" s="809" t="str">
        <f>$L$3</f>
        <v>6673-1</v>
      </c>
      <c r="Z1404" s="519"/>
    </row>
    <row r="1405" spans="1:26" ht="15.75" customHeight="1">
      <c r="A1405" s="800">
        <v>45672</v>
      </c>
      <c r="B1405" s="801"/>
      <c r="C1405" s="802" t="s">
        <v>2312</v>
      </c>
      <c r="D1405" s="803"/>
      <c r="E1405" s="803"/>
      <c r="F1405" s="801"/>
      <c r="G1405" s="801"/>
      <c r="H1405" s="805">
        <v>860</v>
      </c>
      <c r="I1405" s="804"/>
      <c r="J1405" s="804"/>
      <c r="K1405" s="804"/>
      <c r="L1405" s="804"/>
      <c r="M1405" s="804"/>
      <c r="N1405" s="804"/>
      <c r="O1405" s="804"/>
      <c r="P1405" s="804"/>
      <c r="Q1405" s="804"/>
      <c r="R1405" s="804"/>
      <c r="S1405" s="804"/>
      <c r="T1405" s="804"/>
      <c r="U1405" s="804"/>
      <c r="V1405" s="804"/>
      <c r="W1405" s="804"/>
      <c r="X1405" s="808">
        <f>H1405</f>
        <v>860</v>
      </c>
      <c r="Y1405" s="809">
        <f>$H$3</f>
        <v>2200</v>
      </c>
      <c r="Z1405" s="519"/>
    </row>
    <row r="1406" spans="1:26" ht="15.75" customHeight="1">
      <c r="A1406" s="800">
        <v>45672</v>
      </c>
      <c r="B1406" s="801"/>
      <c r="C1406" s="802" t="s">
        <v>2313</v>
      </c>
      <c r="D1406" s="803"/>
      <c r="E1406" s="803"/>
      <c r="F1406" s="801"/>
      <c r="G1406" s="801"/>
      <c r="H1406" s="801"/>
      <c r="I1406" s="801"/>
      <c r="J1406" s="804"/>
      <c r="K1406" s="804"/>
      <c r="L1406" s="804"/>
      <c r="M1406" s="805">
        <v>16.600000000000001</v>
      </c>
      <c r="N1406" s="804"/>
      <c r="O1406" s="804"/>
      <c r="P1406" s="804"/>
      <c r="Q1406" s="804"/>
      <c r="R1406" s="804"/>
      <c r="S1406" s="804"/>
      <c r="T1406" s="804"/>
      <c r="U1406" s="804"/>
      <c r="V1406" s="804"/>
      <c r="W1406" s="804"/>
      <c r="X1406" s="808">
        <f>M1406</f>
        <v>16.600000000000001</v>
      </c>
      <c r="Y1406" s="809" t="str">
        <f>$M$3</f>
        <v>6673-2</v>
      </c>
      <c r="Z1406" s="519"/>
    </row>
    <row r="1407" spans="1:26" ht="15.75" customHeight="1">
      <c r="A1407" s="800">
        <v>45673</v>
      </c>
      <c r="B1407" s="801"/>
      <c r="C1407" s="802" t="s">
        <v>2314</v>
      </c>
      <c r="D1407" s="803"/>
      <c r="E1407" s="803"/>
      <c r="F1407" s="801"/>
      <c r="G1407" s="801"/>
      <c r="H1407" s="801"/>
      <c r="I1407" s="801"/>
      <c r="J1407" s="804"/>
      <c r="K1407" s="804"/>
      <c r="L1407" s="804"/>
      <c r="M1407" s="804"/>
      <c r="N1407" s="804"/>
      <c r="O1407" s="805">
        <v>7.65</v>
      </c>
      <c r="P1407" s="804"/>
      <c r="Q1407" s="804"/>
      <c r="R1407" s="804"/>
      <c r="S1407" s="804"/>
      <c r="T1407" s="804"/>
      <c r="U1407" s="804"/>
      <c r="V1407" s="804"/>
      <c r="W1407" s="804"/>
      <c r="X1407" s="808">
        <f>O1407</f>
        <v>7.65</v>
      </c>
      <c r="Y1407" s="809">
        <f>$O$3</f>
        <v>6530</v>
      </c>
      <c r="Z1407" s="519"/>
    </row>
    <row r="1408" spans="1:26" ht="15.75" customHeight="1">
      <c r="A1408" s="800">
        <v>45673</v>
      </c>
      <c r="B1408" s="801"/>
      <c r="C1408" s="802" t="s">
        <v>2315</v>
      </c>
      <c r="D1408" s="803"/>
      <c r="E1408" s="803"/>
      <c r="F1408" s="801"/>
      <c r="G1408" s="801"/>
      <c r="H1408" s="801"/>
      <c r="I1408" s="801"/>
      <c r="J1408" s="804"/>
      <c r="K1408" s="804"/>
      <c r="L1408" s="804"/>
      <c r="M1408" s="804"/>
      <c r="N1408" s="804"/>
      <c r="O1408" s="804"/>
      <c r="P1408" s="804"/>
      <c r="Q1408" s="805">
        <v>5.39</v>
      </c>
      <c r="R1408" s="804"/>
      <c r="S1408" s="804"/>
      <c r="T1408" s="804"/>
      <c r="U1408" s="804"/>
      <c r="V1408" s="804"/>
      <c r="W1408" s="804"/>
      <c r="X1408" s="808">
        <f>Q1408</f>
        <v>5.39</v>
      </c>
      <c r="Y1408" s="809" t="str">
        <f>$Q$3</f>
        <v>6495-2</v>
      </c>
      <c r="Z1408" s="519"/>
    </row>
    <row r="1409" spans="1:26" ht="15.75" customHeight="1">
      <c r="A1409" s="800">
        <v>45674</v>
      </c>
      <c r="B1409" s="801"/>
      <c r="C1409" s="802" t="s">
        <v>2316</v>
      </c>
      <c r="D1409" s="803"/>
      <c r="E1409" s="803"/>
      <c r="F1409" s="801"/>
      <c r="G1409" s="801"/>
      <c r="H1409" s="801"/>
      <c r="I1409" s="801"/>
      <c r="J1409" s="804"/>
      <c r="K1409" s="805">
        <v>34.99</v>
      </c>
      <c r="L1409" s="804"/>
      <c r="M1409" s="804"/>
      <c r="N1409" s="804"/>
      <c r="O1409" s="804"/>
      <c r="P1409" s="804"/>
      <c r="Q1409" s="804"/>
      <c r="R1409" s="804"/>
      <c r="S1409" s="804"/>
      <c r="T1409" s="804"/>
      <c r="U1409" s="804"/>
      <c r="V1409" s="804"/>
      <c r="W1409" s="804"/>
      <c r="X1409" s="808">
        <f>K1409</f>
        <v>34.99</v>
      </c>
      <c r="Y1409" s="809" t="str">
        <f>$K$3</f>
        <v>6495-1</v>
      </c>
      <c r="Z1409" s="519"/>
    </row>
    <row r="1410" spans="1:26" ht="15.75" customHeight="1">
      <c r="A1410" s="800">
        <v>45674</v>
      </c>
      <c r="B1410" s="801"/>
      <c r="C1410" s="802" t="s">
        <v>2309</v>
      </c>
      <c r="D1410" s="803"/>
      <c r="E1410" s="803"/>
      <c r="F1410" s="801"/>
      <c r="G1410" s="810"/>
      <c r="H1410" s="801"/>
      <c r="I1410" s="801"/>
      <c r="J1410" s="804"/>
      <c r="K1410" s="804"/>
      <c r="L1410" s="804"/>
      <c r="M1410" s="804"/>
      <c r="N1410" s="804"/>
      <c r="O1410" s="805">
        <v>2386.4499999999998</v>
      </c>
      <c r="P1410" s="804"/>
      <c r="Q1410" s="804"/>
      <c r="R1410" s="804"/>
      <c r="S1410" s="804"/>
      <c r="T1410" s="804"/>
      <c r="U1410" s="804"/>
      <c r="V1410" s="804"/>
      <c r="W1410" s="804"/>
      <c r="X1410" s="808">
        <f>O1410</f>
        <v>2386.4499999999998</v>
      </c>
      <c r="Y1410" s="809">
        <f>$O$3</f>
        <v>6530</v>
      </c>
      <c r="Z1410" s="519"/>
    </row>
    <row r="1411" spans="1:26" ht="15.75" customHeight="1">
      <c r="A1411" s="800">
        <v>45674</v>
      </c>
      <c r="B1411" s="801"/>
      <c r="C1411" s="802" t="s">
        <v>2317</v>
      </c>
      <c r="D1411" s="803"/>
      <c r="E1411" s="805">
        <v>13796.86</v>
      </c>
      <c r="F1411" s="801"/>
      <c r="G1411" s="801"/>
      <c r="H1411" s="801"/>
      <c r="I1411" s="801"/>
      <c r="J1411" s="804"/>
      <c r="K1411" s="804"/>
      <c r="L1411" s="804"/>
      <c r="M1411" s="804"/>
      <c r="N1411" s="804"/>
      <c r="O1411" s="804"/>
      <c r="P1411" s="804"/>
      <c r="Q1411" s="804"/>
      <c r="R1411" s="804"/>
      <c r="S1411" s="804"/>
      <c r="T1411" s="804"/>
      <c r="U1411" s="804"/>
      <c r="V1411" s="804"/>
      <c r="W1411" s="804"/>
      <c r="X1411" s="808">
        <f>E1411</f>
        <v>13796.86</v>
      </c>
      <c r="Y1411" s="809" t="s">
        <v>2304</v>
      </c>
      <c r="Z1411" s="519"/>
    </row>
    <row r="1412" spans="1:26" ht="15.75" customHeight="1">
      <c r="A1412" s="800">
        <v>45674</v>
      </c>
      <c r="B1412" s="801"/>
      <c r="C1412" s="802" t="s">
        <v>207</v>
      </c>
      <c r="D1412" s="803"/>
      <c r="E1412" s="803"/>
      <c r="F1412" s="801"/>
      <c r="G1412" s="801"/>
      <c r="H1412" s="801"/>
      <c r="I1412" s="801"/>
      <c r="J1412" s="804"/>
      <c r="K1412" s="804"/>
      <c r="L1412" s="804"/>
      <c r="M1412" s="805">
        <v>32.24</v>
      </c>
      <c r="N1412" s="804"/>
      <c r="O1412" s="804"/>
      <c r="P1412" s="804"/>
      <c r="Q1412" s="804"/>
      <c r="R1412" s="804"/>
      <c r="S1412" s="804"/>
      <c r="T1412" s="804"/>
      <c r="U1412" s="804"/>
      <c r="V1412" s="804"/>
      <c r="W1412" s="804"/>
      <c r="X1412" s="808">
        <f>M1412</f>
        <v>32.24</v>
      </c>
      <c r="Y1412" s="809" t="str">
        <f>$M$3</f>
        <v>6673-2</v>
      </c>
      <c r="Z1412" s="519"/>
    </row>
    <row r="1413" spans="1:26" ht="15.75" customHeight="1">
      <c r="A1413" s="800">
        <v>45677</v>
      </c>
      <c r="B1413" s="801"/>
      <c r="C1413" s="802" t="s">
        <v>2318</v>
      </c>
      <c r="D1413" s="803"/>
      <c r="E1413" s="803"/>
      <c r="F1413" s="801"/>
      <c r="G1413" s="801"/>
      <c r="H1413" s="801"/>
      <c r="I1413" s="801"/>
      <c r="J1413" s="805">
        <v>21.67</v>
      </c>
      <c r="K1413" s="804"/>
      <c r="L1413" s="804"/>
      <c r="M1413" s="804"/>
      <c r="N1413" s="804"/>
      <c r="O1413" s="804"/>
      <c r="P1413" s="804"/>
      <c r="Q1413" s="804"/>
      <c r="R1413" s="804"/>
      <c r="S1413" s="804"/>
      <c r="T1413" s="804"/>
      <c r="U1413" s="804"/>
      <c r="V1413" s="804"/>
      <c r="W1413" s="804"/>
      <c r="X1413" s="808">
        <f>J1413</f>
        <v>21.67</v>
      </c>
      <c r="Y1413" s="809">
        <f>$J$3</f>
        <v>6805</v>
      </c>
      <c r="Z1413" s="519"/>
    </row>
    <row r="1414" spans="1:26" ht="15.75" customHeight="1">
      <c r="A1414" s="800">
        <v>45677</v>
      </c>
      <c r="B1414" s="801"/>
      <c r="C1414" s="802" t="s">
        <v>426</v>
      </c>
      <c r="D1414" s="803"/>
      <c r="E1414" s="803"/>
      <c r="F1414" s="801"/>
      <c r="G1414" s="801"/>
      <c r="H1414" s="801"/>
      <c r="I1414" s="801"/>
      <c r="J1414" s="804"/>
      <c r="K1414" s="804"/>
      <c r="L1414" s="804"/>
      <c r="M1414" s="804"/>
      <c r="N1414" s="804"/>
      <c r="O1414" s="804"/>
      <c r="P1414" s="804"/>
      <c r="Q1414" s="805">
        <v>38.82</v>
      </c>
      <c r="R1414" s="804"/>
      <c r="S1414" s="804"/>
      <c r="T1414" s="804"/>
      <c r="U1414" s="804"/>
      <c r="V1414" s="804"/>
      <c r="W1414" s="804"/>
      <c r="X1414" s="808">
        <f>Q1414</f>
        <v>38.82</v>
      </c>
      <c r="Y1414" s="809" t="str">
        <f>$Q$3</f>
        <v>6495-2</v>
      </c>
      <c r="Z1414" s="519"/>
    </row>
    <row r="1415" spans="1:26" ht="15.75" customHeight="1">
      <c r="A1415" s="800">
        <v>45680</v>
      </c>
      <c r="B1415" s="801"/>
      <c r="C1415" s="802" t="s">
        <v>2319</v>
      </c>
      <c r="D1415" s="803"/>
      <c r="E1415" s="803"/>
      <c r="F1415" s="801"/>
      <c r="G1415" s="801"/>
      <c r="H1415" s="801"/>
      <c r="I1415" s="801"/>
      <c r="J1415" s="805">
        <v>11.87</v>
      </c>
      <c r="K1415" s="804"/>
      <c r="L1415" s="804"/>
      <c r="M1415" s="804"/>
      <c r="N1415" s="804"/>
      <c r="O1415" s="804"/>
      <c r="P1415" s="804"/>
      <c r="Q1415" s="804"/>
      <c r="R1415" s="804"/>
      <c r="S1415" s="804"/>
      <c r="T1415" s="804"/>
      <c r="U1415" s="804"/>
      <c r="V1415" s="804"/>
      <c r="W1415" s="804"/>
      <c r="X1415" s="808">
        <f>J1415</f>
        <v>11.87</v>
      </c>
      <c r="Y1415" s="809">
        <f>$J$3</f>
        <v>6805</v>
      </c>
      <c r="Z1415" s="519"/>
    </row>
    <row r="1416" spans="1:26" ht="15.75" customHeight="1">
      <c r="A1416" s="800">
        <v>45681</v>
      </c>
      <c r="B1416" s="801"/>
      <c r="C1416" s="802" t="s">
        <v>545</v>
      </c>
      <c r="D1416" s="803"/>
      <c r="E1416" s="803"/>
      <c r="F1416" s="801"/>
      <c r="G1416" s="801"/>
      <c r="H1416" s="801"/>
      <c r="I1416" s="801"/>
      <c r="J1416" s="804"/>
      <c r="K1416" s="804"/>
      <c r="L1416" s="804"/>
      <c r="M1416" s="804"/>
      <c r="N1416" s="804"/>
      <c r="O1416" s="804"/>
      <c r="P1416" s="804"/>
      <c r="Q1416" s="804"/>
      <c r="R1416" s="804"/>
      <c r="S1416" s="805">
        <v>11.09</v>
      </c>
      <c r="T1416" s="804"/>
      <c r="U1416" s="804"/>
      <c r="V1416" s="804"/>
      <c r="W1416" s="804"/>
      <c r="X1416" s="808">
        <f>S1416</f>
        <v>11.09</v>
      </c>
      <c r="Y1416" s="809">
        <f>$S$3</f>
        <v>6855</v>
      </c>
      <c r="Z1416" s="519"/>
    </row>
    <row r="1417" spans="1:26" ht="15.75" customHeight="1">
      <c r="A1417" s="800">
        <v>45685</v>
      </c>
      <c r="B1417" s="801"/>
      <c r="C1417" s="802" t="s">
        <v>426</v>
      </c>
      <c r="D1417" s="803"/>
      <c r="E1417" s="803"/>
      <c r="F1417" s="801"/>
      <c r="G1417" s="801"/>
      <c r="H1417" s="801"/>
      <c r="I1417" s="801"/>
      <c r="J1417" s="804"/>
      <c r="K1417" s="804"/>
      <c r="L1417" s="804"/>
      <c r="M1417" s="804"/>
      <c r="N1417" s="804"/>
      <c r="O1417" s="804"/>
      <c r="P1417" s="804"/>
      <c r="Q1417" s="805">
        <v>38.729999999999997</v>
      </c>
      <c r="R1417" s="804"/>
      <c r="S1417" s="804"/>
      <c r="T1417" s="804"/>
      <c r="U1417" s="804"/>
      <c r="V1417" s="804"/>
      <c r="W1417" s="804"/>
      <c r="X1417" s="808">
        <f>Q1417</f>
        <v>38.729999999999997</v>
      </c>
      <c r="Y1417" s="809" t="str">
        <f>$Q$3</f>
        <v>6495-2</v>
      </c>
      <c r="Z1417" s="519"/>
    </row>
    <row r="1418" spans="1:26" ht="15.75" customHeight="1">
      <c r="A1418" s="800">
        <v>45687</v>
      </c>
      <c r="B1418" s="801"/>
      <c r="C1418" s="802" t="s">
        <v>207</v>
      </c>
      <c r="D1418" s="803"/>
      <c r="E1418" s="803"/>
      <c r="F1418" s="801"/>
      <c r="G1418" s="801"/>
      <c r="H1418" s="801"/>
      <c r="I1418" s="801"/>
      <c r="J1418" s="804"/>
      <c r="K1418" s="804"/>
      <c r="L1418" s="804"/>
      <c r="M1418" s="805">
        <v>28.29</v>
      </c>
      <c r="N1418" s="804"/>
      <c r="O1418" s="804"/>
      <c r="P1418" s="804"/>
      <c r="Q1418" s="804"/>
      <c r="R1418" s="804"/>
      <c r="S1418" s="804"/>
      <c r="T1418" s="804"/>
      <c r="U1418" s="804"/>
      <c r="V1418" s="804"/>
      <c r="W1418" s="804"/>
      <c r="X1418" s="808">
        <f>M1418</f>
        <v>28.29</v>
      </c>
      <c r="Y1418" s="809" t="str">
        <f>$M$3</f>
        <v>6673-2</v>
      </c>
      <c r="Z1418" s="519"/>
    </row>
    <row r="1419" spans="1:26" ht="15.75" customHeight="1">
      <c r="A1419" s="800">
        <v>45687</v>
      </c>
      <c r="B1419" s="801" t="s">
        <v>2158</v>
      </c>
      <c r="C1419" s="802" t="s">
        <v>2307</v>
      </c>
      <c r="D1419" s="810">
        <v>350</v>
      </c>
      <c r="E1419" s="803"/>
      <c r="F1419" s="801"/>
      <c r="G1419" s="801"/>
      <c r="H1419" s="801"/>
      <c r="I1419" s="801"/>
      <c r="J1419" s="804"/>
      <c r="K1419" s="804"/>
      <c r="L1419" s="804"/>
      <c r="M1419" s="804"/>
      <c r="N1419" s="804"/>
      <c r="O1419" s="804"/>
      <c r="P1419" s="804"/>
      <c r="Q1419" s="804"/>
      <c r="R1419" s="804"/>
      <c r="S1419" s="804"/>
      <c r="T1419" s="804"/>
      <c r="U1419" s="804"/>
      <c r="V1419" s="804"/>
      <c r="W1419" s="804"/>
      <c r="X1419" s="1034">
        <f>D1419</f>
        <v>350</v>
      </c>
      <c r="Y1419" s="809" t="s">
        <v>2300</v>
      </c>
      <c r="Z1419" s="519"/>
    </row>
    <row r="1420" spans="1:26" ht="15.75" customHeight="1">
      <c r="A1420" s="800">
        <v>45688</v>
      </c>
      <c r="B1420" s="801"/>
      <c r="C1420" s="802" t="s">
        <v>2320</v>
      </c>
      <c r="D1420" s="803"/>
      <c r="E1420" s="803"/>
      <c r="F1420" s="801"/>
      <c r="G1420" s="801"/>
      <c r="H1420" s="801"/>
      <c r="I1420" s="801"/>
      <c r="J1420" s="804"/>
      <c r="K1420" s="804"/>
      <c r="L1420" s="804"/>
      <c r="M1420" s="804"/>
      <c r="N1420" s="804"/>
      <c r="O1420" s="804"/>
      <c r="P1420" s="804"/>
      <c r="Q1420" s="804"/>
      <c r="R1420" s="804"/>
      <c r="S1420" s="805">
        <v>8.98</v>
      </c>
      <c r="T1420" s="804"/>
      <c r="U1420" s="804"/>
      <c r="V1420" s="804"/>
      <c r="W1420" s="804"/>
      <c r="X1420" s="808">
        <f>S1420</f>
        <v>8.98</v>
      </c>
      <c r="Y1420" s="809">
        <f>$S$3</f>
        <v>6855</v>
      </c>
      <c r="Z1420" s="519"/>
    </row>
    <row r="1421" spans="1:26" ht="15.75" customHeight="1">
      <c r="A1421" s="800">
        <v>45688</v>
      </c>
      <c r="B1421" s="801"/>
      <c r="C1421" s="802" t="s">
        <v>2321</v>
      </c>
      <c r="D1421" s="803"/>
      <c r="E1421" s="805">
        <v>633.20000000000005</v>
      </c>
      <c r="F1421" s="801"/>
      <c r="G1421" s="801"/>
      <c r="H1421" s="801"/>
      <c r="I1421" s="801"/>
      <c r="J1421" s="804"/>
      <c r="K1421" s="804"/>
      <c r="L1421" s="804"/>
      <c r="M1421" s="804"/>
      <c r="N1421" s="804"/>
      <c r="O1421" s="804"/>
      <c r="P1421" s="804"/>
      <c r="Q1421" s="804"/>
      <c r="R1421" s="804"/>
      <c r="S1421" s="804"/>
      <c r="T1421" s="804"/>
      <c r="U1421" s="804"/>
      <c r="V1421" s="804"/>
      <c r="W1421" s="804"/>
      <c r="X1421" s="808">
        <f>E1421</f>
        <v>633.20000000000005</v>
      </c>
      <c r="Y1421" s="809" t="s">
        <v>2304</v>
      </c>
      <c r="Z1421" s="519"/>
    </row>
    <row r="1422" spans="1:26" ht="15.75" customHeight="1">
      <c r="A1422" s="800">
        <v>45688</v>
      </c>
      <c r="B1422" s="801" t="s">
        <v>2159</v>
      </c>
      <c r="C1422" s="802" t="s">
        <v>2322</v>
      </c>
      <c r="D1422" s="803"/>
      <c r="E1422" s="805">
        <v>850</v>
      </c>
      <c r="F1422" s="801"/>
      <c r="G1422" s="801"/>
      <c r="H1422" s="801"/>
      <c r="I1422" s="801"/>
      <c r="J1422" s="804"/>
      <c r="K1422" s="804"/>
      <c r="L1422" s="804"/>
      <c r="M1422" s="804"/>
      <c r="N1422" s="804"/>
      <c r="O1422" s="804"/>
      <c r="P1422" s="804"/>
      <c r="Q1422" s="804"/>
      <c r="R1422" s="804"/>
      <c r="S1422" s="804"/>
      <c r="T1422" s="804"/>
      <c r="U1422" s="804"/>
      <c r="V1422" s="804"/>
      <c r="W1422" s="804"/>
      <c r="X1422" s="808">
        <f>E1422</f>
        <v>850</v>
      </c>
      <c r="Y1422" s="809" t="s">
        <v>2304</v>
      </c>
      <c r="Z1422" s="519"/>
    </row>
    <row r="1423" spans="1:26" ht="15.75" customHeight="1">
      <c r="A1423" s="800"/>
      <c r="B1423" s="801"/>
      <c r="C1423" s="802"/>
      <c r="D1423" s="803"/>
      <c r="E1423" s="805"/>
      <c r="F1423" s="801"/>
      <c r="G1423" s="801"/>
      <c r="H1423" s="801"/>
      <c r="I1423" s="801"/>
      <c r="J1423" s="804"/>
      <c r="K1423" s="804"/>
      <c r="L1423" s="804"/>
      <c r="M1423" s="804"/>
      <c r="N1423" s="804"/>
      <c r="O1423" s="805"/>
      <c r="P1423" s="804"/>
      <c r="Q1423" s="804"/>
      <c r="R1423" s="804"/>
      <c r="S1423" s="804"/>
      <c r="T1423" s="804"/>
      <c r="U1423" s="804"/>
      <c r="V1423" s="804"/>
      <c r="W1423" s="804"/>
      <c r="X1423" s="808"/>
      <c r="Y1423" s="809"/>
      <c r="Z1423" s="519"/>
    </row>
    <row r="1424" spans="1:26" ht="15.75" customHeight="1">
      <c r="A1424" s="795"/>
      <c r="B1424" s="796">
        <v>45689</v>
      </c>
      <c r="C1424" s="795"/>
      <c r="D1424" s="795"/>
      <c r="E1424" s="795"/>
      <c r="F1424" s="795"/>
      <c r="G1424" s="795"/>
      <c r="H1424" s="795"/>
      <c r="I1424" s="795"/>
      <c r="J1424" s="795"/>
      <c r="K1424" s="795"/>
      <c r="L1424" s="795"/>
      <c r="M1424" s="795"/>
      <c r="N1424" s="795"/>
      <c r="O1424" s="795"/>
      <c r="P1424" s="795"/>
      <c r="Q1424" s="795"/>
      <c r="R1424" s="795"/>
      <c r="S1424" s="795"/>
      <c r="T1424" s="795"/>
      <c r="U1424" s="795"/>
      <c r="V1424" s="795"/>
      <c r="W1424" s="795"/>
      <c r="X1424" s="797"/>
      <c r="Y1424" s="798"/>
      <c r="Z1424" s="519"/>
    </row>
    <row r="1425" spans="1:26" ht="15.75" customHeight="1">
      <c r="A1425" s="800">
        <v>45689</v>
      </c>
      <c r="B1425" s="801"/>
      <c r="C1425" s="802" t="s">
        <v>2295</v>
      </c>
      <c r="D1425" s="803"/>
      <c r="E1425" s="803"/>
      <c r="F1425" s="801"/>
      <c r="G1425" s="801"/>
      <c r="H1425" s="801"/>
      <c r="I1425" s="801"/>
      <c r="J1425" s="804"/>
      <c r="K1425" s="804"/>
      <c r="L1425" s="804"/>
      <c r="M1425" s="804"/>
      <c r="N1425" s="804"/>
      <c r="O1425" s="804"/>
      <c r="P1425" s="804"/>
      <c r="Q1425" s="805">
        <v>23</v>
      </c>
      <c r="R1425" s="804"/>
      <c r="S1425" s="804"/>
      <c r="T1425" s="804"/>
      <c r="U1425" s="804"/>
      <c r="V1425" s="804"/>
      <c r="W1425" s="804"/>
      <c r="X1425" s="808">
        <f>Q1425</f>
        <v>23</v>
      </c>
      <c r="Y1425" s="809" t="str">
        <f>$Q$3</f>
        <v>6495-2</v>
      </c>
      <c r="Z1425" s="519"/>
    </row>
    <row r="1426" spans="1:26" ht="15.75" customHeight="1">
      <c r="A1426" s="800">
        <v>45691</v>
      </c>
      <c r="B1426" s="801"/>
      <c r="C1426" s="802" t="s">
        <v>2296</v>
      </c>
      <c r="D1426" s="803"/>
      <c r="E1426" s="803"/>
      <c r="F1426" s="801"/>
      <c r="G1426" s="801"/>
      <c r="H1426" s="801"/>
      <c r="I1426" s="801"/>
      <c r="J1426" s="804"/>
      <c r="K1426" s="804"/>
      <c r="L1426" s="804"/>
      <c r="M1426" s="805">
        <v>58</v>
      </c>
      <c r="N1426" s="804"/>
      <c r="O1426" s="804"/>
      <c r="P1426" s="804"/>
      <c r="Q1426" s="804"/>
      <c r="R1426" s="804"/>
      <c r="S1426" s="804"/>
      <c r="T1426" s="804"/>
      <c r="U1426" s="804"/>
      <c r="V1426" s="804"/>
      <c r="W1426" s="804"/>
      <c r="X1426" s="808">
        <f>M1426</f>
        <v>58</v>
      </c>
      <c r="Y1426" s="809" t="str">
        <f>$M$3</f>
        <v>6673-2</v>
      </c>
      <c r="Z1426" s="519"/>
    </row>
    <row r="1427" spans="1:26" ht="15.75" customHeight="1">
      <c r="A1427" s="800">
        <v>45691</v>
      </c>
      <c r="B1427" s="801"/>
      <c r="C1427" s="802" t="s">
        <v>2297</v>
      </c>
      <c r="D1427" s="803"/>
      <c r="E1427" s="803"/>
      <c r="F1427" s="801"/>
      <c r="G1427" s="801"/>
      <c r="H1427" s="801"/>
      <c r="I1427" s="801"/>
      <c r="J1427" s="804"/>
      <c r="K1427" s="804"/>
      <c r="L1427" s="804"/>
      <c r="M1427" s="804"/>
      <c r="N1427" s="804"/>
      <c r="O1427" s="804"/>
      <c r="P1427" s="804"/>
      <c r="Q1427" s="804"/>
      <c r="R1427" s="804"/>
      <c r="S1427" s="804"/>
      <c r="T1427" s="805">
        <v>80</v>
      </c>
      <c r="U1427" s="804"/>
      <c r="V1427" s="804"/>
      <c r="W1427" s="804"/>
      <c r="X1427" s="808">
        <f>T1427</f>
        <v>80</v>
      </c>
      <c r="Y1427" s="809">
        <f>$T$3</f>
        <v>2300</v>
      </c>
      <c r="Z1427" s="519"/>
    </row>
    <row r="1428" spans="1:26" ht="15.75" customHeight="1">
      <c r="A1428" s="800">
        <v>45691</v>
      </c>
      <c r="B1428" s="801"/>
      <c r="C1428" s="802" t="s">
        <v>2302</v>
      </c>
      <c r="D1428" s="803"/>
      <c r="E1428" s="803"/>
      <c r="F1428" s="801"/>
      <c r="G1428" s="801"/>
      <c r="H1428" s="801"/>
      <c r="I1428" s="801"/>
      <c r="J1428" s="804"/>
      <c r="K1428" s="804"/>
      <c r="L1428" s="804"/>
      <c r="M1428" s="804"/>
      <c r="N1428" s="805">
        <v>950</v>
      </c>
      <c r="O1428" s="804"/>
      <c r="P1428" s="804"/>
      <c r="Q1428" s="804"/>
      <c r="R1428" s="804"/>
      <c r="S1428" s="804"/>
      <c r="T1428" s="804"/>
      <c r="U1428" s="804"/>
      <c r="V1428" s="804"/>
      <c r="W1428" s="804"/>
      <c r="X1428" s="808">
        <f>N1428</f>
        <v>950</v>
      </c>
      <c r="Y1428" s="809">
        <f>$N$3</f>
        <v>6680</v>
      </c>
      <c r="Z1428" s="519"/>
    </row>
    <row r="1429" spans="1:26" ht="15.75" customHeight="1">
      <c r="A1429" s="800">
        <v>45691</v>
      </c>
      <c r="B1429" s="801"/>
      <c r="C1429" s="802" t="s">
        <v>2313</v>
      </c>
      <c r="D1429" s="803"/>
      <c r="E1429" s="803"/>
      <c r="F1429" s="801"/>
      <c r="G1429" s="801"/>
      <c r="H1429" s="801"/>
      <c r="I1429" s="801"/>
      <c r="J1429" s="804"/>
      <c r="K1429" s="804"/>
      <c r="L1429" s="804"/>
      <c r="M1429" s="805">
        <v>16.600000000000001</v>
      </c>
      <c r="N1429" s="804"/>
      <c r="O1429" s="804"/>
      <c r="P1429" s="804"/>
      <c r="Q1429" s="804"/>
      <c r="R1429" s="804"/>
      <c r="S1429" s="804"/>
      <c r="T1429" s="804"/>
      <c r="U1429" s="804"/>
      <c r="V1429" s="804"/>
      <c r="W1429" s="804"/>
      <c r="X1429" s="808">
        <f>M1429</f>
        <v>16.600000000000001</v>
      </c>
      <c r="Y1429" s="809" t="str">
        <f>$M$3</f>
        <v>6673-2</v>
      </c>
      <c r="Z1429" s="519"/>
    </row>
    <row r="1430" spans="1:26" ht="15.75" customHeight="1">
      <c r="A1430" s="800">
        <v>45691</v>
      </c>
      <c r="B1430" s="801"/>
      <c r="C1430" s="802" t="s">
        <v>2298</v>
      </c>
      <c r="D1430" s="803"/>
      <c r="E1430" s="803"/>
      <c r="F1430" s="801"/>
      <c r="G1430" s="801"/>
      <c r="H1430" s="801"/>
      <c r="I1430" s="801"/>
      <c r="J1430" s="804"/>
      <c r="K1430" s="804"/>
      <c r="L1430" s="804"/>
      <c r="M1430" s="804"/>
      <c r="N1430" s="804"/>
      <c r="O1430" s="804"/>
      <c r="P1430" s="804"/>
      <c r="Q1430" s="804"/>
      <c r="R1430" s="804"/>
      <c r="S1430" s="804"/>
      <c r="T1430" s="805">
        <v>277.60000000000002</v>
      </c>
      <c r="U1430" s="804"/>
      <c r="V1430" s="804"/>
      <c r="W1430" s="804"/>
      <c r="X1430" s="808">
        <f>T1430</f>
        <v>277.60000000000002</v>
      </c>
      <c r="Y1430" s="809">
        <f>$T$3</f>
        <v>2300</v>
      </c>
      <c r="Z1430" s="519"/>
    </row>
    <row r="1431" spans="1:26" ht="15.75" customHeight="1">
      <c r="A1431" s="800">
        <v>45692</v>
      </c>
      <c r="B1431" s="801" t="s">
        <v>635</v>
      </c>
      <c r="C1431" s="802" t="s">
        <v>2323</v>
      </c>
      <c r="D1431" s="810">
        <v>1328</v>
      </c>
      <c r="E1431" s="803"/>
      <c r="F1431" s="801"/>
      <c r="G1431" s="801"/>
      <c r="H1431" s="801"/>
      <c r="I1431" s="801"/>
      <c r="J1431" s="804"/>
      <c r="K1431" s="804"/>
      <c r="L1431" s="804"/>
      <c r="M1431" s="804"/>
      <c r="N1431" s="804"/>
      <c r="O1431" s="804"/>
      <c r="P1431" s="804"/>
      <c r="Q1431" s="804"/>
      <c r="R1431" s="804"/>
      <c r="S1431" s="804"/>
      <c r="T1431" s="804"/>
      <c r="U1431" s="804"/>
      <c r="V1431" s="804"/>
      <c r="W1431" s="804"/>
      <c r="X1431" s="1034">
        <f>D1431</f>
        <v>1328</v>
      </c>
      <c r="Y1431" s="809" t="s">
        <v>2300</v>
      </c>
      <c r="Z1431" s="519"/>
    </row>
    <row r="1432" spans="1:26" ht="15.75" customHeight="1">
      <c r="A1432" s="800">
        <v>45692</v>
      </c>
      <c r="B1432" s="801"/>
      <c r="C1432" s="802" t="s">
        <v>426</v>
      </c>
      <c r="D1432" s="803"/>
      <c r="E1432" s="803"/>
      <c r="F1432" s="801"/>
      <c r="G1432" s="801"/>
      <c r="H1432" s="801"/>
      <c r="I1432" s="801"/>
      <c r="J1432" s="804"/>
      <c r="K1432" s="804"/>
      <c r="L1432" s="804"/>
      <c r="M1432" s="804"/>
      <c r="N1432" s="804"/>
      <c r="O1432" s="804"/>
      <c r="P1432" s="804"/>
      <c r="Q1432" s="805">
        <v>39.01</v>
      </c>
      <c r="R1432" s="804"/>
      <c r="S1432" s="804"/>
      <c r="T1432" s="804"/>
      <c r="U1432" s="804"/>
      <c r="V1432" s="804"/>
      <c r="W1432" s="804"/>
      <c r="X1432" s="808">
        <f>Q1432</f>
        <v>39.01</v>
      </c>
      <c r="Y1432" s="809" t="str">
        <f>$Q$3</f>
        <v>6495-2</v>
      </c>
      <c r="Z1432" s="519"/>
    </row>
    <row r="1433" spans="1:26" ht="15.75" customHeight="1">
      <c r="A1433" s="800">
        <v>45693</v>
      </c>
      <c r="B1433" s="801" t="s">
        <v>2155</v>
      </c>
      <c r="C1433" s="802" t="s">
        <v>2301</v>
      </c>
      <c r="D1433" s="810">
        <v>3100</v>
      </c>
      <c r="E1433" s="803"/>
      <c r="F1433" s="801"/>
      <c r="G1433" s="801"/>
      <c r="H1433" s="801"/>
      <c r="I1433" s="801"/>
      <c r="J1433" s="804"/>
      <c r="K1433" s="804"/>
      <c r="L1433" s="804"/>
      <c r="M1433" s="804"/>
      <c r="N1433" s="804"/>
      <c r="O1433" s="804"/>
      <c r="P1433" s="804"/>
      <c r="Q1433" s="804"/>
      <c r="R1433" s="804"/>
      <c r="S1433" s="804"/>
      <c r="T1433" s="804"/>
      <c r="U1433" s="804"/>
      <c r="V1433" s="804"/>
      <c r="W1433" s="804"/>
      <c r="X1433" s="1034">
        <f>D1433</f>
        <v>3100</v>
      </c>
      <c r="Y1433" s="809" t="s">
        <v>2300</v>
      </c>
      <c r="Z1433" s="519"/>
    </row>
    <row r="1434" spans="1:26" ht="15.75" customHeight="1">
      <c r="A1434" s="800">
        <v>45695</v>
      </c>
      <c r="B1434" s="801"/>
      <c r="C1434" s="802" t="s">
        <v>545</v>
      </c>
      <c r="D1434" s="803"/>
      <c r="E1434" s="803"/>
      <c r="F1434" s="801"/>
      <c r="G1434" s="801"/>
      <c r="H1434" s="801"/>
      <c r="I1434" s="801"/>
      <c r="J1434" s="804"/>
      <c r="K1434" s="804"/>
      <c r="L1434" s="804"/>
      <c r="M1434" s="804"/>
      <c r="N1434" s="804"/>
      <c r="O1434" s="804"/>
      <c r="P1434" s="804"/>
      <c r="Q1434" s="804"/>
      <c r="R1434" s="804"/>
      <c r="S1434" s="805">
        <v>11.09</v>
      </c>
      <c r="T1434" s="804"/>
      <c r="U1434" s="804"/>
      <c r="V1434" s="804"/>
      <c r="W1434" s="804"/>
      <c r="X1434" s="808">
        <f>S1434</f>
        <v>11.09</v>
      </c>
      <c r="Y1434" s="809">
        <f>$S$3</f>
        <v>6855</v>
      </c>
      <c r="Z1434" s="519"/>
    </row>
    <row r="1435" spans="1:26" ht="15.75" customHeight="1">
      <c r="A1435" s="800">
        <v>45695</v>
      </c>
      <c r="B1435" s="801" t="s">
        <v>2156</v>
      </c>
      <c r="C1435" s="802" t="s">
        <v>2303</v>
      </c>
      <c r="D1435" s="803"/>
      <c r="E1435" s="805">
        <v>2410</v>
      </c>
      <c r="F1435" s="801"/>
      <c r="G1435" s="801"/>
      <c r="H1435" s="801"/>
      <c r="I1435" s="801"/>
      <c r="J1435" s="804"/>
      <c r="K1435" s="804"/>
      <c r="L1435" s="804"/>
      <c r="M1435" s="804"/>
      <c r="N1435" s="804"/>
      <c r="O1435" s="804"/>
      <c r="P1435" s="804"/>
      <c r="Q1435" s="804"/>
      <c r="R1435" s="804"/>
      <c r="S1435" s="804"/>
      <c r="T1435" s="804"/>
      <c r="U1435" s="804"/>
      <c r="V1435" s="804"/>
      <c r="W1435" s="804"/>
      <c r="X1435" s="808">
        <f>E1435</f>
        <v>2410</v>
      </c>
      <c r="Y1435" s="809" t="s">
        <v>2304</v>
      </c>
      <c r="Z1435" s="519"/>
    </row>
    <row r="1436" spans="1:26" ht="15.75" customHeight="1">
      <c r="A1436" s="800">
        <v>45696</v>
      </c>
      <c r="B1436" s="801"/>
      <c r="C1436" s="802" t="s">
        <v>426</v>
      </c>
      <c r="D1436" s="803"/>
      <c r="E1436" s="803"/>
      <c r="F1436" s="801"/>
      <c r="G1436" s="801"/>
      <c r="H1436" s="801"/>
      <c r="I1436" s="801"/>
      <c r="J1436" s="804"/>
      <c r="K1436" s="804"/>
      <c r="L1436" s="804"/>
      <c r="M1436" s="804"/>
      <c r="N1436" s="804"/>
      <c r="O1436" s="804"/>
      <c r="P1436" s="804"/>
      <c r="Q1436" s="805">
        <v>38.81</v>
      </c>
      <c r="R1436" s="804"/>
      <c r="S1436" s="804"/>
      <c r="T1436" s="804"/>
      <c r="U1436" s="804"/>
      <c r="V1436" s="804"/>
      <c r="W1436" s="804"/>
      <c r="X1436" s="808">
        <f>Q1436</f>
        <v>38.81</v>
      </c>
      <c r="Y1436" s="809" t="str">
        <f>$Q$3</f>
        <v>6495-2</v>
      </c>
      <c r="Z1436" s="519"/>
    </row>
    <row r="1437" spans="1:26" ht="15.75" customHeight="1">
      <c r="A1437" s="800">
        <v>45698</v>
      </c>
      <c r="B1437" s="801"/>
      <c r="C1437" s="802" t="s">
        <v>545</v>
      </c>
      <c r="D1437" s="803"/>
      <c r="E1437" s="803"/>
      <c r="F1437" s="801"/>
      <c r="G1437" s="801"/>
      <c r="H1437" s="801"/>
      <c r="I1437" s="801"/>
      <c r="J1437" s="804"/>
      <c r="K1437" s="804"/>
      <c r="L1437" s="804"/>
      <c r="M1437" s="804"/>
      <c r="N1437" s="804"/>
      <c r="O1437" s="804"/>
      <c r="P1437" s="804"/>
      <c r="Q1437" s="804"/>
      <c r="R1437" s="804"/>
      <c r="S1437" s="805">
        <v>11.09</v>
      </c>
      <c r="T1437" s="804"/>
      <c r="U1437" s="804"/>
      <c r="V1437" s="804"/>
      <c r="W1437" s="804"/>
      <c r="X1437" s="808">
        <f>S1437</f>
        <v>11.09</v>
      </c>
      <c r="Y1437" s="809">
        <f>$S$3</f>
        <v>6855</v>
      </c>
      <c r="Z1437" s="519"/>
    </row>
    <row r="1438" spans="1:26" ht="15.75" customHeight="1">
      <c r="A1438" s="800">
        <v>45698</v>
      </c>
      <c r="B1438" s="801"/>
      <c r="C1438" s="802" t="s">
        <v>2324</v>
      </c>
      <c r="D1438" s="803"/>
      <c r="E1438" s="803"/>
      <c r="F1438" s="805">
        <v>1004</v>
      </c>
      <c r="G1438" s="801"/>
      <c r="H1438" s="801"/>
      <c r="I1438" s="801"/>
      <c r="J1438" s="804"/>
      <c r="K1438" s="804"/>
      <c r="L1438" s="804"/>
      <c r="M1438" s="804"/>
      <c r="N1438" s="804"/>
      <c r="O1438" s="804"/>
      <c r="P1438" s="804"/>
      <c r="Q1438" s="804"/>
      <c r="R1438" s="804"/>
      <c r="S1438" s="804"/>
      <c r="T1438" s="804"/>
      <c r="U1438" s="804"/>
      <c r="V1438" s="804"/>
      <c r="W1438" s="804"/>
      <c r="X1438" s="808">
        <f>F1438</f>
        <v>1004</v>
      </c>
      <c r="Y1438" s="809" t="s">
        <v>2325</v>
      </c>
      <c r="Z1438" s="519"/>
    </row>
    <row r="1439" spans="1:26" ht="15.75" customHeight="1">
      <c r="A1439" s="800">
        <v>45698</v>
      </c>
      <c r="B1439" s="801"/>
      <c r="C1439" s="802" t="s">
        <v>2324</v>
      </c>
      <c r="D1439" s="803"/>
      <c r="E1439" s="803"/>
      <c r="F1439" s="805">
        <v>1003</v>
      </c>
      <c r="G1439" s="801"/>
      <c r="H1439" s="801"/>
      <c r="I1439" s="801"/>
      <c r="J1439" s="804"/>
      <c r="K1439" s="804"/>
      <c r="L1439" s="804"/>
      <c r="M1439" s="804"/>
      <c r="N1439" s="804"/>
      <c r="O1439" s="804"/>
      <c r="P1439" s="804"/>
      <c r="Q1439" s="804"/>
      <c r="R1439" s="804"/>
      <c r="S1439" s="804"/>
      <c r="T1439" s="804"/>
      <c r="U1439" s="804"/>
      <c r="V1439" s="804"/>
      <c r="W1439" s="804"/>
      <c r="X1439" s="808">
        <f>F1439</f>
        <v>1003</v>
      </c>
      <c r="Y1439" s="809" t="s">
        <v>2325</v>
      </c>
      <c r="Z1439" s="519"/>
    </row>
    <row r="1440" spans="1:26" ht="15.75" customHeight="1">
      <c r="A1440" s="800">
        <v>45698</v>
      </c>
      <c r="B1440" s="801"/>
      <c r="C1440" s="802" t="s">
        <v>2324</v>
      </c>
      <c r="D1440" s="803"/>
      <c r="E1440" s="803"/>
      <c r="F1440" s="805">
        <v>2264.6999999999998</v>
      </c>
      <c r="G1440" s="801"/>
      <c r="H1440" s="801"/>
      <c r="I1440" s="801"/>
      <c r="J1440" s="804"/>
      <c r="K1440" s="804"/>
      <c r="L1440" s="804"/>
      <c r="M1440" s="804"/>
      <c r="N1440" s="804"/>
      <c r="O1440" s="804"/>
      <c r="P1440" s="804"/>
      <c r="Q1440" s="804"/>
      <c r="R1440" s="804"/>
      <c r="S1440" s="804"/>
      <c r="T1440" s="804"/>
      <c r="U1440" s="804"/>
      <c r="V1440" s="804"/>
      <c r="W1440" s="804"/>
      <c r="X1440" s="808">
        <f>F1440</f>
        <v>2264.6999999999998</v>
      </c>
      <c r="Y1440" s="809" t="s">
        <v>2325</v>
      </c>
      <c r="Z1440" s="519"/>
    </row>
    <row r="1441" spans="1:26" ht="15.75" customHeight="1">
      <c r="A1441" s="800">
        <v>45702</v>
      </c>
      <c r="B1441" s="801"/>
      <c r="C1441" s="802" t="s">
        <v>545</v>
      </c>
      <c r="D1441" s="803"/>
      <c r="E1441" s="803"/>
      <c r="F1441" s="801"/>
      <c r="G1441" s="801"/>
      <c r="H1441" s="801"/>
      <c r="I1441" s="801"/>
      <c r="J1441" s="804"/>
      <c r="K1441" s="804"/>
      <c r="L1441" s="804"/>
      <c r="M1441" s="804"/>
      <c r="N1441" s="804"/>
      <c r="O1441" s="804"/>
      <c r="P1441" s="804"/>
      <c r="Q1441" s="804"/>
      <c r="R1441" s="804"/>
      <c r="S1441" s="805">
        <v>11.09</v>
      </c>
      <c r="T1441" s="804"/>
      <c r="U1441" s="804"/>
      <c r="V1441" s="804"/>
      <c r="W1441" s="804"/>
      <c r="X1441" s="808">
        <f>S1441</f>
        <v>11.09</v>
      </c>
      <c r="Y1441" s="809">
        <f>$S$3</f>
        <v>6855</v>
      </c>
      <c r="Z1441" s="519"/>
    </row>
    <row r="1442" spans="1:26" ht="15.75" customHeight="1">
      <c r="A1442" s="800">
        <v>45702</v>
      </c>
      <c r="B1442" s="801"/>
      <c r="C1442" s="802" t="s">
        <v>194</v>
      </c>
      <c r="D1442" s="803"/>
      <c r="E1442" s="803"/>
      <c r="F1442" s="801"/>
      <c r="G1442" s="801"/>
      <c r="H1442" s="801"/>
      <c r="I1442" s="801"/>
      <c r="J1442" s="804"/>
      <c r="K1442" s="804"/>
      <c r="L1442" s="804"/>
      <c r="M1442" s="804"/>
      <c r="N1442" s="804"/>
      <c r="O1442" s="804"/>
      <c r="P1442" s="804"/>
      <c r="Q1442" s="804"/>
      <c r="R1442" s="804"/>
      <c r="S1442" s="805">
        <v>11.5</v>
      </c>
      <c r="T1442" s="804"/>
      <c r="U1442" s="804"/>
      <c r="V1442" s="804"/>
      <c r="W1442" s="804"/>
      <c r="X1442" s="808">
        <f>S1442</f>
        <v>11.5</v>
      </c>
      <c r="Y1442" s="809">
        <f>$S$3</f>
        <v>6855</v>
      </c>
      <c r="Z1442" s="519"/>
    </row>
    <row r="1443" spans="1:26" ht="15.75" customHeight="1">
      <c r="A1443" s="800">
        <v>45705</v>
      </c>
      <c r="B1443" s="801"/>
      <c r="C1443" s="802" t="s">
        <v>394</v>
      </c>
      <c r="D1443" s="803"/>
      <c r="E1443" s="803"/>
      <c r="F1443" s="801"/>
      <c r="G1443" s="801"/>
      <c r="H1443" s="801"/>
      <c r="I1443" s="801"/>
      <c r="J1443" s="804"/>
      <c r="K1443" s="804"/>
      <c r="L1443" s="804"/>
      <c r="M1443" s="804"/>
      <c r="N1443" s="804"/>
      <c r="O1443" s="804"/>
      <c r="P1443" s="804"/>
      <c r="Q1443" s="804"/>
      <c r="R1443" s="804"/>
      <c r="S1443" s="804"/>
      <c r="T1443" s="805">
        <v>18.36</v>
      </c>
      <c r="U1443" s="804"/>
      <c r="V1443" s="804"/>
      <c r="W1443" s="804"/>
      <c r="X1443" s="808">
        <f>T1443</f>
        <v>18.36</v>
      </c>
      <c r="Y1443" s="809">
        <f>$T$3</f>
        <v>2300</v>
      </c>
      <c r="Z1443" s="519"/>
    </row>
    <row r="1444" spans="1:26" ht="15.75" customHeight="1">
      <c r="A1444" s="800">
        <v>45705</v>
      </c>
      <c r="B1444" s="801"/>
      <c r="C1444" s="802" t="s">
        <v>2315</v>
      </c>
      <c r="D1444" s="803"/>
      <c r="E1444" s="803"/>
      <c r="F1444" s="801"/>
      <c r="G1444" s="801"/>
      <c r="H1444" s="801"/>
      <c r="I1444" s="801"/>
      <c r="J1444" s="804"/>
      <c r="K1444" s="804"/>
      <c r="L1444" s="804"/>
      <c r="M1444" s="804"/>
      <c r="N1444" s="804"/>
      <c r="O1444" s="804"/>
      <c r="P1444" s="804"/>
      <c r="Q1444" s="805">
        <v>5.39</v>
      </c>
      <c r="R1444" s="804"/>
      <c r="S1444" s="804"/>
      <c r="T1444" s="804"/>
      <c r="U1444" s="804"/>
      <c r="V1444" s="804"/>
      <c r="W1444" s="804"/>
      <c r="X1444" s="808">
        <f>Q1444</f>
        <v>5.39</v>
      </c>
      <c r="Y1444" s="809" t="str">
        <f>$Q$3</f>
        <v>6495-2</v>
      </c>
      <c r="Z1444" s="519"/>
    </row>
    <row r="1445" spans="1:26" ht="15.75" customHeight="1">
      <c r="A1445" s="800">
        <v>45705</v>
      </c>
      <c r="B1445" s="801"/>
      <c r="C1445" s="802" t="s">
        <v>2312</v>
      </c>
      <c r="D1445" s="803"/>
      <c r="E1445" s="803"/>
      <c r="F1445" s="801"/>
      <c r="G1445" s="801"/>
      <c r="H1445" s="805">
        <v>924.69</v>
      </c>
      <c r="I1445" s="804"/>
      <c r="J1445" s="804"/>
      <c r="K1445" s="804"/>
      <c r="L1445" s="804"/>
      <c r="M1445" s="804"/>
      <c r="N1445" s="804"/>
      <c r="O1445" s="804"/>
      <c r="P1445" s="804"/>
      <c r="Q1445" s="804"/>
      <c r="R1445" s="804"/>
      <c r="S1445" s="804"/>
      <c r="T1445" s="804"/>
      <c r="U1445" s="804"/>
      <c r="V1445" s="804"/>
      <c r="W1445" s="804"/>
      <c r="X1445" s="808">
        <f>H1445</f>
        <v>924.69</v>
      </c>
      <c r="Y1445" s="809">
        <f>$H$3</f>
        <v>2200</v>
      </c>
      <c r="Z1445" s="519"/>
    </row>
    <row r="1446" spans="1:26" ht="15.75" customHeight="1">
      <c r="A1446" s="800">
        <v>45706</v>
      </c>
      <c r="B1446" s="801"/>
      <c r="C1446" s="802" t="s">
        <v>2316</v>
      </c>
      <c r="D1446" s="803"/>
      <c r="E1446" s="803"/>
      <c r="F1446" s="801"/>
      <c r="G1446" s="801"/>
      <c r="H1446" s="801"/>
      <c r="I1446" s="801"/>
      <c r="J1446" s="804"/>
      <c r="K1446" s="805">
        <v>34.99</v>
      </c>
      <c r="L1446" s="804"/>
      <c r="M1446" s="804"/>
      <c r="N1446" s="804"/>
      <c r="O1446" s="804"/>
      <c r="P1446" s="804"/>
      <c r="Q1446" s="804"/>
      <c r="R1446" s="804"/>
      <c r="S1446" s="804"/>
      <c r="T1446" s="804"/>
      <c r="U1446" s="804"/>
      <c r="V1446" s="804"/>
      <c r="W1446" s="804"/>
      <c r="X1446" s="808">
        <f>K1446</f>
        <v>34.99</v>
      </c>
      <c r="Y1446" s="809" t="str">
        <f>$K$3</f>
        <v>6495-1</v>
      </c>
      <c r="Z1446" s="519"/>
    </row>
    <row r="1447" spans="1:26" ht="15.75" customHeight="1">
      <c r="A1447" s="800">
        <v>45706</v>
      </c>
      <c r="B1447" s="801"/>
      <c r="C1447" s="802" t="s">
        <v>2326</v>
      </c>
      <c r="D1447" s="803"/>
      <c r="E1447" s="803"/>
      <c r="F1447" s="801"/>
      <c r="G1447" s="801"/>
      <c r="H1447" s="801"/>
      <c r="I1447" s="801"/>
      <c r="J1447" s="804"/>
      <c r="K1447" s="804"/>
      <c r="L1447" s="805">
        <v>1020.55</v>
      </c>
      <c r="M1447" s="804"/>
      <c r="N1447" s="804"/>
      <c r="O1447" s="804"/>
      <c r="P1447" s="804"/>
      <c r="Q1447" s="804"/>
      <c r="R1447" s="804"/>
      <c r="S1447" s="804"/>
      <c r="T1447" s="804"/>
      <c r="U1447" s="804"/>
      <c r="V1447" s="804"/>
      <c r="W1447" s="804"/>
      <c r="X1447" s="808">
        <f>L1447</f>
        <v>1020.55</v>
      </c>
      <c r="Y1447" s="809" t="str">
        <f>$L$3</f>
        <v>6673-1</v>
      </c>
      <c r="Z1447" s="519"/>
    </row>
    <row r="1448" spans="1:26" ht="15.75" customHeight="1">
      <c r="A1448" s="800">
        <v>45706</v>
      </c>
      <c r="B1448" s="801"/>
      <c r="C1448" s="802" t="s">
        <v>2327</v>
      </c>
      <c r="D1448" s="803"/>
      <c r="E1448" s="803"/>
      <c r="F1448" s="805">
        <v>17.5</v>
      </c>
      <c r="G1448" s="801"/>
      <c r="H1448" s="801"/>
      <c r="I1448" s="801"/>
      <c r="J1448" s="804"/>
      <c r="K1448" s="804"/>
      <c r="L1448" s="804"/>
      <c r="M1448" s="804"/>
      <c r="N1448" s="804"/>
      <c r="O1448" s="804"/>
      <c r="P1448" s="804"/>
      <c r="Q1448" s="804"/>
      <c r="R1448" s="804"/>
      <c r="S1448" s="804"/>
      <c r="T1448" s="804"/>
      <c r="U1448" s="804"/>
      <c r="V1448" s="804"/>
      <c r="W1448" s="804"/>
      <c r="X1448" s="808">
        <f>F1448</f>
        <v>17.5</v>
      </c>
      <c r="Y1448" s="809" t="s">
        <v>2325</v>
      </c>
      <c r="Z1448" s="519"/>
    </row>
    <row r="1449" spans="1:26" ht="15.75" customHeight="1">
      <c r="A1449" s="800">
        <v>45706</v>
      </c>
      <c r="B1449" s="801"/>
      <c r="C1449" s="802" t="s">
        <v>545</v>
      </c>
      <c r="D1449" s="803"/>
      <c r="E1449" s="803"/>
      <c r="F1449" s="801"/>
      <c r="G1449" s="801"/>
      <c r="H1449" s="801"/>
      <c r="I1449" s="801"/>
      <c r="J1449" s="804"/>
      <c r="K1449" s="804"/>
      <c r="L1449" s="804"/>
      <c r="M1449" s="804"/>
      <c r="N1449" s="804"/>
      <c r="O1449" s="804"/>
      <c r="P1449" s="804"/>
      <c r="Q1449" s="804"/>
      <c r="R1449" s="804"/>
      <c r="S1449" s="805">
        <v>11.09</v>
      </c>
      <c r="T1449" s="804"/>
      <c r="U1449" s="804"/>
      <c r="V1449" s="804"/>
      <c r="W1449" s="804"/>
      <c r="X1449" s="808">
        <f>S1449</f>
        <v>11.09</v>
      </c>
      <c r="Y1449" s="809">
        <f>$S$3</f>
        <v>6855</v>
      </c>
      <c r="Z1449" s="519"/>
    </row>
    <row r="1450" spans="1:26" ht="15.75" customHeight="1">
      <c r="A1450" s="800">
        <v>45706</v>
      </c>
      <c r="B1450" s="801"/>
      <c r="C1450" s="802" t="s">
        <v>2328</v>
      </c>
      <c r="D1450" s="803"/>
      <c r="E1450" s="803"/>
      <c r="F1450" s="801"/>
      <c r="G1450" s="801"/>
      <c r="H1450" s="801"/>
      <c r="I1450" s="801"/>
      <c r="J1450" s="804"/>
      <c r="K1450" s="804"/>
      <c r="L1450" s="805">
        <v>91.08</v>
      </c>
      <c r="M1450" s="804"/>
      <c r="N1450" s="804"/>
      <c r="O1450" s="804"/>
      <c r="P1450" s="804"/>
      <c r="Q1450" s="804"/>
      <c r="R1450" s="804"/>
      <c r="S1450" s="804"/>
      <c r="T1450" s="804"/>
      <c r="U1450" s="804"/>
      <c r="V1450" s="804"/>
      <c r="W1450" s="804"/>
      <c r="X1450" s="808">
        <f>L1450</f>
        <v>91.08</v>
      </c>
      <c r="Y1450" s="809" t="str">
        <f>$L$3</f>
        <v>6673-1</v>
      </c>
      <c r="Z1450" s="519"/>
    </row>
    <row r="1451" spans="1:26" ht="15.75" customHeight="1">
      <c r="A1451" s="800">
        <v>45708</v>
      </c>
      <c r="B1451" s="801"/>
      <c r="C1451" s="802" t="s">
        <v>2319</v>
      </c>
      <c r="D1451" s="803"/>
      <c r="E1451" s="803"/>
      <c r="F1451" s="801"/>
      <c r="G1451" s="801"/>
      <c r="H1451" s="801"/>
      <c r="I1451" s="801"/>
      <c r="J1451" s="805">
        <v>24.2</v>
      </c>
      <c r="K1451" s="804"/>
      <c r="L1451" s="804"/>
      <c r="M1451" s="804"/>
      <c r="N1451" s="804"/>
      <c r="O1451" s="804"/>
      <c r="P1451" s="804"/>
      <c r="Q1451" s="804"/>
      <c r="R1451" s="804"/>
      <c r="S1451" s="804"/>
      <c r="T1451" s="804"/>
      <c r="U1451" s="804"/>
      <c r="V1451" s="804"/>
      <c r="W1451" s="804"/>
      <c r="X1451" s="808">
        <f>J1451</f>
        <v>24.2</v>
      </c>
      <c r="Y1451" s="809">
        <f>$J$3</f>
        <v>6805</v>
      </c>
      <c r="Z1451" s="519"/>
    </row>
    <row r="1452" spans="1:26" ht="15.75" customHeight="1">
      <c r="A1452" s="800">
        <v>45708</v>
      </c>
      <c r="B1452" s="801"/>
      <c r="C1452" s="802" t="s">
        <v>2318</v>
      </c>
      <c r="D1452" s="803"/>
      <c r="E1452" s="803"/>
      <c r="F1452" s="801"/>
      <c r="G1452" s="801"/>
      <c r="H1452" s="801"/>
      <c r="I1452" s="801"/>
      <c r="J1452" s="805">
        <v>21.82</v>
      </c>
      <c r="K1452" s="804"/>
      <c r="L1452" s="804"/>
      <c r="M1452" s="804"/>
      <c r="N1452" s="804"/>
      <c r="O1452" s="804"/>
      <c r="P1452" s="804"/>
      <c r="Q1452" s="804"/>
      <c r="R1452" s="804"/>
      <c r="S1452" s="804"/>
      <c r="T1452" s="804"/>
      <c r="U1452" s="804"/>
      <c r="V1452" s="804"/>
      <c r="W1452" s="804"/>
      <c r="X1452" s="808">
        <f>J1452</f>
        <v>21.82</v>
      </c>
      <c r="Y1452" s="809">
        <f>$J$3</f>
        <v>6805</v>
      </c>
      <c r="Z1452" s="519"/>
    </row>
    <row r="1453" spans="1:26" ht="15.75" customHeight="1">
      <c r="A1453" s="800">
        <v>45711</v>
      </c>
      <c r="B1453" s="801"/>
      <c r="C1453" s="802" t="s">
        <v>2319</v>
      </c>
      <c r="D1453" s="803"/>
      <c r="E1453" s="803"/>
      <c r="F1453" s="801"/>
      <c r="G1453" s="801"/>
      <c r="H1453" s="801"/>
      <c r="I1453" s="801"/>
      <c r="J1453" s="805">
        <v>12.1</v>
      </c>
      <c r="K1453" s="804"/>
      <c r="L1453" s="804"/>
      <c r="M1453" s="804"/>
      <c r="N1453" s="804"/>
      <c r="O1453" s="804"/>
      <c r="P1453" s="804"/>
      <c r="Q1453" s="804"/>
      <c r="R1453" s="804"/>
      <c r="S1453" s="804"/>
      <c r="T1453" s="804"/>
      <c r="U1453" s="804"/>
      <c r="V1453" s="804"/>
      <c r="W1453" s="804"/>
      <c r="X1453" s="808">
        <f>J1453</f>
        <v>12.1</v>
      </c>
      <c r="Y1453" s="809">
        <f>$J$3</f>
        <v>6805</v>
      </c>
      <c r="Z1453" s="519"/>
    </row>
    <row r="1454" spans="1:26" ht="15.75" customHeight="1">
      <c r="A1454" s="800">
        <v>45712</v>
      </c>
      <c r="B1454" s="801"/>
      <c r="C1454" s="802" t="s">
        <v>207</v>
      </c>
      <c r="D1454" s="803"/>
      <c r="E1454" s="803"/>
      <c r="F1454" s="801"/>
      <c r="G1454" s="801"/>
      <c r="H1454" s="801"/>
      <c r="I1454" s="801"/>
      <c r="J1454" s="804"/>
      <c r="K1454" s="804"/>
      <c r="L1454" s="804"/>
      <c r="M1454" s="805">
        <v>3.45</v>
      </c>
      <c r="N1454" s="804"/>
      <c r="O1454" s="804"/>
      <c r="P1454" s="804"/>
      <c r="Q1454" s="804"/>
      <c r="R1454" s="804"/>
      <c r="S1454" s="804"/>
      <c r="T1454" s="804"/>
      <c r="U1454" s="804"/>
      <c r="V1454" s="804"/>
      <c r="W1454" s="804"/>
      <c r="X1454" s="808">
        <f>M1454</f>
        <v>3.45</v>
      </c>
      <c r="Y1454" s="809" t="str">
        <f>$M$3</f>
        <v>6673-2</v>
      </c>
      <c r="Z1454" s="519"/>
    </row>
    <row r="1455" spans="1:26" ht="15.75" customHeight="1">
      <c r="A1455" s="800">
        <v>45712</v>
      </c>
      <c r="B1455" s="801"/>
      <c r="C1455" s="802" t="s">
        <v>207</v>
      </c>
      <c r="D1455" s="803"/>
      <c r="E1455" s="803"/>
      <c r="F1455" s="801"/>
      <c r="G1455" s="801"/>
      <c r="H1455" s="801"/>
      <c r="I1455" s="801"/>
      <c r="J1455" s="804"/>
      <c r="K1455" s="804"/>
      <c r="L1455" s="804"/>
      <c r="M1455" s="805">
        <v>27.11</v>
      </c>
      <c r="N1455" s="804"/>
      <c r="O1455" s="804"/>
      <c r="P1455" s="804"/>
      <c r="Q1455" s="804"/>
      <c r="R1455" s="804"/>
      <c r="S1455" s="804"/>
      <c r="T1455" s="804"/>
      <c r="U1455" s="804"/>
      <c r="V1455" s="804"/>
      <c r="W1455" s="804"/>
      <c r="X1455" s="808">
        <f>M1455</f>
        <v>27.11</v>
      </c>
      <c r="Y1455" s="809" t="str">
        <f>$M$3</f>
        <v>6673-2</v>
      </c>
      <c r="Z1455" s="519"/>
    </row>
    <row r="1456" spans="1:26" ht="15.75" customHeight="1">
      <c r="A1456" s="800">
        <v>45712</v>
      </c>
      <c r="B1456" s="801"/>
      <c r="C1456" s="802" t="s">
        <v>426</v>
      </c>
      <c r="D1456" s="803"/>
      <c r="E1456" s="803"/>
      <c r="F1456" s="801"/>
      <c r="G1456" s="801"/>
      <c r="H1456" s="801"/>
      <c r="I1456" s="801"/>
      <c r="J1456" s="804"/>
      <c r="K1456" s="804"/>
      <c r="L1456" s="804"/>
      <c r="M1456" s="804"/>
      <c r="N1456" s="804"/>
      <c r="O1456" s="804"/>
      <c r="P1456" s="804"/>
      <c r="Q1456" s="805">
        <v>38.549999999999997</v>
      </c>
      <c r="R1456" s="804"/>
      <c r="S1456" s="804"/>
      <c r="T1456" s="804"/>
      <c r="U1456" s="804"/>
      <c r="V1456" s="804"/>
      <c r="W1456" s="804"/>
      <c r="X1456" s="808">
        <f>Q1456</f>
        <v>38.549999999999997</v>
      </c>
      <c r="Y1456" s="809" t="str">
        <f>$Q$3</f>
        <v>6495-2</v>
      </c>
      <c r="Z1456" s="519"/>
    </row>
    <row r="1457" spans="1:26" ht="15.75" customHeight="1">
      <c r="A1457" s="800">
        <v>45713</v>
      </c>
      <c r="B1457" s="801"/>
      <c r="C1457" s="802" t="s">
        <v>2329</v>
      </c>
      <c r="D1457" s="803"/>
      <c r="E1457" s="803"/>
      <c r="F1457" s="801"/>
      <c r="G1457" s="801"/>
      <c r="H1457" s="801"/>
      <c r="I1457" s="801"/>
      <c r="J1457" s="804"/>
      <c r="K1457" s="804"/>
      <c r="L1457" s="804"/>
      <c r="M1457" s="804"/>
      <c r="N1457" s="804"/>
      <c r="O1457" s="804"/>
      <c r="P1457" s="805">
        <v>39.93</v>
      </c>
      <c r="Q1457" s="804"/>
      <c r="R1457" s="804"/>
      <c r="S1457" s="804"/>
      <c r="T1457" s="804"/>
      <c r="U1457" s="804"/>
      <c r="V1457" s="804"/>
      <c r="W1457" s="804"/>
      <c r="X1457" s="808">
        <f>P1457</f>
        <v>39.93</v>
      </c>
      <c r="Y1457" s="809">
        <f>$P$3</f>
        <v>6815</v>
      </c>
      <c r="Z1457" s="519"/>
    </row>
    <row r="1458" spans="1:26" ht="15.75" customHeight="1">
      <c r="A1458" s="800">
        <v>45713</v>
      </c>
      <c r="B1458" s="801"/>
      <c r="C1458" s="802" t="s">
        <v>2313</v>
      </c>
      <c r="D1458" s="803"/>
      <c r="E1458" s="803"/>
      <c r="F1458" s="801"/>
      <c r="G1458" s="801"/>
      <c r="H1458" s="801"/>
      <c r="I1458" s="801"/>
      <c r="J1458" s="804"/>
      <c r="K1458" s="804"/>
      <c r="L1458" s="804"/>
      <c r="M1458" s="805">
        <v>16.600000000000001</v>
      </c>
      <c r="N1458" s="804"/>
      <c r="O1458" s="804"/>
      <c r="P1458" s="804"/>
      <c r="Q1458" s="804"/>
      <c r="R1458" s="804"/>
      <c r="S1458" s="804"/>
      <c r="T1458" s="804"/>
      <c r="U1458" s="804"/>
      <c r="V1458" s="804"/>
      <c r="W1458" s="804"/>
      <c r="X1458" s="808">
        <f>M1458</f>
        <v>16.600000000000001</v>
      </c>
      <c r="Y1458" s="809" t="str">
        <f>$M$3</f>
        <v>6673-2</v>
      </c>
      <c r="Z1458" s="519"/>
    </row>
    <row r="1459" spans="1:26" ht="15.75" customHeight="1">
      <c r="A1459" s="800">
        <v>45715</v>
      </c>
      <c r="B1459" s="801" t="s">
        <v>2164</v>
      </c>
      <c r="C1459" s="802" t="s">
        <v>2307</v>
      </c>
      <c r="D1459" s="810">
        <v>550</v>
      </c>
      <c r="E1459" s="803"/>
      <c r="F1459" s="801"/>
      <c r="G1459" s="801"/>
      <c r="H1459" s="801"/>
      <c r="I1459" s="801"/>
      <c r="J1459" s="804"/>
      <c r="K1459" s="804"/>
      <c r="L1459" s="804"/>
      <c r="M1459" s="804"/>
      <c r="N1459" s="804"/>
      <c r="O1459" s="804"/>
      <c r="P1459" s="804"/>
      <c r="Q1459" s="804"/>
      <c r="R1459" s="804"/>
      <c r="S1459" s="804"/>
      <c r="T1459" s="804"/>
      <c r="U1459" s="804"/>
      <c r="V1459" s="804"/>
      <c r="W1459" s="804"/>
      <c r="X1459" s="1034">
        <f>D1459</f>
        <v>550</v>
      </c>
      <c r="Y1459" s="809" t="s">
        <v>2300</v>
      </c>
      <c r="Z1459" s="519"/>
    </row>
    <row r="1460" spans="1:26" ht="15.75" customHeight="1">
      <c r="A1460" s="800">
        <v>45716</v>
      </c>
      <c r="B1460" s="801"/>
      <c r="C1460" s="802" t="s">
        <v>2320</v>
      </c>
      <c r="D1460" s="803"/>
      <c r="E1460" s="803"/>
      <c r="F1460" s="801"/>
      <c r="G1460" s="801"/>
      <c r="H1460" s="801"/>
      <c r="I1460" s="801"/>
      <c r="J1460" s="804"/>
      <c r="K1460" s="804"/>
      <c r="L1460" s="804"/>
      <c r="M1460" s="804"/>
      <c r="N1460" s="804"/>
      <c r="O1460" s="804"/>
      <c r="P1460" s="804"/>
      <c r="Q1460" s="804"/>
      <c r="R1460" s="804"/>
      <c r="S1460" s="805">
        <v>6.3</v>
      </c>
      <c r="T1460" s="804"/>
      <c r="U1460" s="804"/>
      <c r="V1460" s="804"/>
      <c r="W1460" s="804"/>
      <c r="X1460" s="808">
        <f>S1460</f>
        <v>6.3</v>
      </c>
      <c r="Y1460" s="809">
        <f>$S$3</f>
        <v>6855</v>
      </c>
      <c r="Z1460" s="519"/>
    </row>
    <row r="1461" spans="1:26" ht="15.75" customHeight="1">
      <c r="A1461" s="800">
        <v>45716</v>
      </c>
      <c r="B1461" s="801"/>
      <c r="C1461" s="802" t="s">
        <v>2321</v>
      </c>
      <c r="D1461" s="803"/>
      <c r="E1461" s="805">
        <v>633.20000000000005</v>
      </c>
      <c r="F1461" s="801"/>
      <c r="G1461" s="801"/>
      <c r="H1461" s="801"/>
      <c r="I1461" s="801"/>
      <c r="J1461" s="804"/>
      <c r="K1461" s="804"/>
      <c r="L1461" s="804"/>
      <c r="M1461" s="804"/>
      <c r="N1461" s="804"/>
      <c r="O1461" s="804"/>
      <c r="P1461" s="804"/>
      <c r="Q1461" s="804"/>
      <c r="R1461" s="804"/>
      <c r="S1461" s="804"/>
      <c r="T1461" s="804"/>
      <c r="U1461" s="804"/>
      <c r="V1461" s="804"/>
      <c r="W1461" s="804"/>
      <c r="X1461" s="808">
        <f>E1461</f>
        <v>633.20000000000005</v>
      </c>
      <c r="Y1461" s="809" t="s">
        <v>2304</v>
      </c>
      <c r="Z1461" s="519"/>
    </row>
    <row r="1462" spans="1:26" ht="15.75" customHeight="1">
      <c r="A1462" s="800">
        <v>45716</v>
      </c>
      <c r="B1462" s="801"/>
      <c r="C1462" s="802" t="s">
        <v>207</v>
      </c>
      <c r="D1462" s="803"/>
      <c r="E1462" s="803"/>
      <c r="F1462" s="801"/>
      <c r="G1462" s="801"/>
      <c r="H1462" s="801"/>
      <c r="I1462" s="801"/>
      <c r="J1462" s="804"/>
      <c r="K1462" s="804"/>
      <c r="L1462" s="804"/>
      <c r="M1462" s="805">
        <v>28.51</v>
      </c>
      <c r="N1462" s="804"/>
      <c r="O1462" s="804"/>
      <c r="P1462" s="804"/>
      <c r="Q1462" s="804"/>
      <c r="R1462" s="804"/>
      <c r="S1462" s="804"/>
      <c r="T1462" s="804"/>
      <c r="U1462" s="804"/>
      <c r="V1462" s="804"/>
      <c r="W1462" s="804"/>
      <c r="X1462" s="808">
        <f>M1462</f>
        <v>28.51</v>
      </c>
      <c r="Y1462" s="809" t="str">
        <f>$M$3</f>
        <v>6673-2</v>
      </c>
      <c r="Z1462" s="519"/>
    </row>
    <row r="1463" spans="1:26" ht="15.75" customHeight="1">
      <c r="A1463" s="800">
        <v>45716</v>
      </c>
      <c r="B1463" s="801"/>
      <c r="C1463" s="802" t="s">
        <v>207</v>
      </c>
      <c r="D1463" s="803"/>
      <c r="E1463" s="803"/>
      <c r="F1463" s="801"/>
      <c r="G1463" s="801"/>
      <c r="H1463" s="801"/>
      <c r="I1463" s="801"/>
      <c r="J1463" s="804"/>
      <c r="K1463" s="804"/>
      <c r="L1463" s="804"/>
      <c r="M1463" s="805">
        <v>2.25</v>
      </c>
      <c r="N1463" s="804"/>
      <c r="O1463" s="804"/>
      <c r="P1463" s="804"/>
      <c r="Q1463" s="804"/>
      <c r="R1463" s="804"/>
      <c r="S1463" s="804"/>
      <c r="T1463" s="804"/>
      <c r="U1463" s="804"/>
      <c r="V1463" s="804"/>
      <c r="W1463" s="804"/>
      <c r="X1463" s="808">
        <f>M1463</f>
        <v>2.25</v>
      </c>
      <c r="Y1463" s="809" t="str">
        <f>$M$3</f>
        <v>6673-2</v>
      </c>
      <c r="Z1463" s="519"/>
    </row>
    <row r="1464" spans="1:26" ht="15.75" customHeight="1">
      <c r="A1464" s="800">
        <v>45716</v>
      </c>
      <c r="B1464" s="801" t="s">
        <v>2165</v>
      </c>
      <c r="C1464" s="802" t="s">
        <v>2322</v>
      </c>
      <c r="D1464" s="803"/>
      <c r="E1464" s="805">
        <v>850</v>
      </c>
      <c r="F1464" s="801"/>
      <c r="G1464" s="801"/>
      <c r="H1464" s="801"/>
      <c r="I1464" s="801"/>
      <c r="J1464" s="804"/>
      <c r="K1464" s="804"/>
      <c r="L1464" s="804"/>
      <c r="M1464" s="804"/>
      <c r="N1464" s="804"/>
      <c r="O1464" s="804"/>
      <c r="P1464" s="804"/>
      <c r="Q1464" s="804"/>
      <c r="R1464" s="804"/>
      <c r="S1464" s="804"/>
      <c r="T1464" s="804"/>
      <c r="U1464" s="804"/>
      <c r="V1464" s="804"/>
      <c r="W1464" s="804"/>
      <c r="X1464" s="808">
        <f>E1464</f>
        <v>850</v>
      </c>
      <c r="Y1464" s="809" t="s">
        <v>2304</v>
      </c>
      <c r="Z1464" s="519"/>
    </row>
    <row r="1465" spans="1:26" ht="15.75" customHeight="1">
      <c r="A1465" s="800"/>
      <c r="B1465" s="801"/>
      <c r="C1465" s="802"/>
      <c r="D1465" s="803"/>
      <c r="E1465" s="805"/>
      <c r="F1465" s="801"/>
      <c r="G1465" s="801"/>
      <c r="H1465" s="801"/>
      <c r="I1465" s="801"/>
      <c r="J1465" s="804"/>
      <c r="K1465" s="804"/>
      <c r="L1465" s="804"/>
      <c r="M1465" s="804"/>
      <c r="N1465" s="804"/>
      <c r="O1465" s="804"/>
      <c r="P1465" s="804"/>
      <c r="Q1465" s="804"/>
      <c r="R1465" s="804"/>
      <c r="S1465" s="804"/>
      <c r="T1465" s="804"/>
      <c r="U1465" s="804"/>
      <c r="V1465" s="804"/>
      <c r="W1465" s="804"/>
      <c r="X1465" s="811"/>
      <c r="Y1465" s="809"/>
      <c r="Z1465" s="519"/>
    </row>
    <row r="1466" spans="1:26" ht="15.75" customHeight="1">
      <c r="A1466" s="795"/>
      <c r="B1466" s="796">
        <v>45717</v>
      </c>
      <c r="C1466" s="795"/>
      <c r="D1466" s="795"/>
      <c r="E1466" s="795"/>
      <c r="F1466" s="795"/>
      <c r="G1466" s="795"/>
      <c r="H1466" s="795"/>
      <c r="I1466" s="795"/>
      <c r="J1466" s="795"/>
      <c r="K1466" s="795"/>
      <c r="L1466" s="795"/>
      <c r="M1466" s="795"/>
      <c r="N1466" s="795"/>
      <c r="O1466" s="795"/>
      <c r="P1466" s="795"/>
      <c r="Q1466" s="795"/>
      <c r="R1466" s="795"/>
      <c r="S1466" s="795"/>
      <c r="T1466" s="795"/>
      <c r="U1466" s="795"/>
      <c r="V1466" s="795"/>
      <c r="W1466" s="795"/>
      <c r="X1466" s="797"/>
      <c r="Y1466" s="798"/>
      <c r="Z1466" s="519"/>
    </row>
    <row r="1467" spans="1:26" ht="15.75" customHeight="1">
      <c r="A1467" s="800">
        <v>45717</v>
      </c>
      <c r="B1467" s="801"/>
      <c r="C1467" s="802" t="s">
        <v>2295</v>
      </c>
      <c r="D1467" s="803"/>
      <c r="E1467" s="803"/>
      <c r="F1467" s="801"/>
      <c r="G1467" s="801"/>
      <c r="H1467" s="801"/>
      <c r="I1467" s="801"/>
      <c r="J1467" s="804"/>
      <c r="K1467" s="804"/>
      <c r="L1467" s="804"/>
      <c r="M1467" s="804"/>
      <c r="N1467" s="804"/>
      <c r="O1467" s="804"/>
      <c r="P1467" s="804"/>
      <c r="Q1467" s="805">
        <v>23</v>
      </c>
      <c r="R1467" s="804"/>
      <c r="S1467" s="804"/>
      <c r="T1467" s="804"/>
      <c r="U1467" s="804"/>
      <c r="V1467" s="804"/>
      <c r="W1467" s="804"/>
      <c r="X1467" s="808">
        <f>Q1467</f>
        <v>23</v>
      </c>
      <c r="Y1467" s="809" t="str">
        <f>$Q$3</f>
        <v>6495-2</v>
      </c>
      <c r="Z1467" s="519"/>
    </row>
    <row r="1468" spans="1:26" ht="15.75" customHeight="1">
      <c r="A1468" s="800">
        <v>45718</v>
      </c>
      <c r="B1468" s="801"/>
      <c r="C1468" s="802" t="s">
        <v>2330</v>
      </c>
      <c r="D1468" s="803"/>
      <c r="E1468" s="803"/>
      <c r="F1468" s="801"/>
      <c r="G1468" s="801"/>
      <c r="H1468" s="801"/>
      <c r="I1468" s="801"/>
      <c r="J1468" s="804"/>
      <c r="K1468" s="804"/>
      <c r="L1468" s="804"/>
      <c r="M1468" s="804"/>
      <c r="N1468" s="804"/>
      <c r="O1468" s="805">
        <v>115.58</v>
      </c>
      <c r="P1468" s="804"/>
      <c r="Q1468" s="804"/>
      <c r="R1468" s="804"/>
      <c r="S1468" s="804"/>
      <c r="T1468" s="804"/>
      <c r="U1468" s="804"/>
      <c r="V1468" s="804"/>
      <c r="W1468" s="804"/>
      <c r="X1468" s="808">
        <f>O1468</f>
        <v>115.58</v>
      </c>
      <c r="Y1468" s="809">
        <f>$O$3</f>
        <v>6530</v>
      </c>
      <c r="Z1468" s="519"/>
    </row>
    <row r="1469" spans="1:26" ht="15.75" customHeight="1">
      <c r="A1469" s="800">
        <v>45719</v>
      </c>
      <c r="B1469" s="801"/>
      <c r="C1469" s="802" t="s">
        <v>2296</v>
      </c>
      <c r="D1469" s="803"/>
      <c r="E1469" s="803"/>
      <c r="F1469" s="801"/>
      <c r="G1469" s="801"/>
      <c r="H1469" s="801"/>
      <c r="I1469" s="801"/>
      <c r="J1469" s="804"/>
      <c r="K1469" s="804"/>
      <c r="L1469" s="804"/>
      <c r="M1469" s="805">
        <v>58</v>
      </c>
      <c r="N1469" s="804"/>
      <c r="O1469" s="804"/>
      <c r="P1469" s="804"/>
      <c r="Q1469" s="804"/>
      <c r="R1469" s="804"/>
      <c r="S1469" s="804"/>
      <c r="T1469" s="804"/>
      <c r="U1469" s="804"/>
      <c r="V1469" s="804"/>
      <c r="W1469" s="804"/>
      <c r="X1469" s="808">
        <f>M1469</f>
        <v>58</v>
      </c>
      <c r="Y1469" s="809" t="str">
        <f>$M$3</f>
        <v>6673-2</v>
      </c>
      <c r="Z1469" s="519"/>
    </row>
    <row r="1470" spans="1:26" ht="15.75" customHeight="1">
      <c r="A1470" s="800">
        <v>45719</v>
      </c>
      <c r="B1470" s="801"/>
      <c r="C1470" s="802" t="s">
        <v>2297</v>
      </c>
      <c r="D1470" s="803"/>
      <c r="E1470" s="803"/>
      <c r="F1470" s="801"/>
      <c r="G1470" s="801"/>
      <c r="H1470" s="801"/>
      <c r="I1470" s="801"/>
      <c r="J1470" s="804"/>
      <c r="K1470" s="804"/>
      <c r="L1470" s="804"/>
      <c r="M1470" s="804"/>
      <c r="N1470" s="804"/>
      <c r="O1470" s="804"/>
      <c r="P1470" s="804"/>
      <c r="Q1470" s="804"/>
      <c r="R1470" s="804"/>
      <c r="S1470" s="804"/>
      <c r="T1470" s="805">
        <v>80</v>
      </c>
      <c r="U1470" s="804"/>
      <c r="V1470" s="804"/>
      <c r="W1470" s="804"/>
      <c r="X1470" s="808">
        <f>T1470</f>
        <v>80</v>
      </c>
      <c r="Y1470" s="809">
        <f>$T$3</f>
        <v>2300</v>
      </c>
      <c r="Z1470" s="519"/>
    </row>
    <row r="1471" spans="1:26" ht="15.75" customHeight="1">
      <c r="A1471" s="800">
        <v>45719</v>
      </c>
      <c r="B1471" s="801"/>
      <c r="C1471" s="802" t="s">
        <v>545</v>
      </c>
      <c r="D1471" s="803"/>
      <c r="E1471" s="803"/>
      <c r="F1471" s="801"/>
      <c r="G1471" s="801"/>
      <c r="H1471" s="801"/>
      <c r="I1471" s="801"/>
      <c r="J1471" s="804"/>
      <c r="K1471" s="804"/>
      <c r="L1471" s="804"/>
      <c r="M1471" s="804"/>
      <c r="N1471" s="804"/>
      <c r="O1471" s="804"/>
      <c r="P1471" s="804"/>
      <c r="Q1471" s="804"/>
      <c r="R1471" s="804"/>
      <c r="S1471" s="805">
        <v>11.09</v>
      </c>
      <c r="T1471" s="804"/>
      <c r="U1471" s="804"/>
      <c r="V1471" s="804"/>
      <c r="W1471" s="804"/>
      <c r="X1471" s="808">
        <f>S1471</f>
        <v>11.09</v>
      </c>
      <c r="Y1471" s="809">
        <f>$S$3</f>
        <v>6855</v>
      </c>
      <c r="Z1471" s="519"/>
    </row>
    <row r="1472" spans="1:26" ht="15.75" customHeight="1">
      <c r="A1472" s="800">
        <v>45719</v>
      </c>
      <c r="B1472" s="801"/>
      <c r="C1472" s="802" t="s">
        <v>2331</v>
      </c>
      <c r="D1472" s="803"/>
      <c r="E1472" s="803"/>
      <c r="F1472" s="805">
        <v>2733</v>
      </c>
      <c r="G1472" s="801"/>
      <c r="H1472" s="801"/>
      <c r="I1472" s="801"/>
      <c r="J1472" s="804"/>
      <c r="K1472" s="804"/>
      <c r="L1472" s="804"/>
      <c r="M1472" s="804"/>
      <c r="N1472" s="804"/>
      <c r="O1472" s="804"/>
      <c r="P1472" s="804"/>
      <c r="Q1472" s="804"/>
      <c r="R1472" s="804"/>
      <c r="S1472" s="804"/>
      <c r="T1472" s="804"/>
      <c r="U1472" s="804"/>
      <c r="V1472" s="804"/>
      <c r="W1472" s="804"/>
      <c r="X1472" s="808">
        <f>F1472</f>
        <v>2733</v>
      </c>
      <c r="Y1472" s="809" t="s">
        <v>2325</v>
      </c>
      <c r="Z1472" s="519"/>
    </row>
    <row r="1473" spans="1:26" ht="15.75" customHeight="1">
      <c r="A1473" s="800">
        <v>45719</v>
      </c>
      <c r="B1473" s="801"/>
      <c r="C1473" s="802" t="s">
        <v>2298</v>
      </c>
      <c r="D1473" s="803"/>
      <c r="E1473" s="803"/>
      <c r="F1473" s="801"/>
      <c r="G1473" s="801"/>
      <c r="H1473" s="801"/>
      <c r="I1473" s="801"/>
      <c r="J1473" s="804"/>
      <c r="K1473" s="804"/>
      <c r="L1473" s="804"/>
      <c r="M1473" s="804"/>
      <c r="N1473" s="804"/>
      <c r="O1473" s="804"/>
      <c r="P1473" s="804"/>
      <c r="Q1473" s="804"/>
      <c r="R1473" s="804"/>
      <c r="S1473" s="804"/>
      <c r="T1473" s="805">
        <v>277.60000000000002</v>
      </c>
      <c r="U1473" s="804"/>
      <c r="V1473" s="804"/>
      <c r="W1473" s="804"/>
      <c r="X1473" s="808">
        <f>T1473</f>
        <v>277.60000000000002</v>
      </c>
      <c r="Y1473" s="809">
        <f>$T$3</f>
        <v>2300</v>
      </c>
      <c r="Z1473" s="519"/>
    </row>
    <row r="1474" spans="1:26" ht="15.75" customHeight="1">
      <c r="A1474" s="800">
        <v>45722</v>
      </c>
      <c r="B1474" s="801"/>
      <c r="C1474" s="802" t="s">
        <v>2332</v>
      </c>
      <c r="D1474" s="803"/>
      <c r="E1474" s="803"/>
      <c r="F1474" s="801"/>
      <c r="G1474" s="801"/>
      <c r="H1474" s="801"/>
      <c r="I1474" s="801"/>
      <c r="J1474" s="804"/>
      <c r="K1474" s="804"/>
      <c r="L1474" s="804"/>
      <c r="M1474" s="804"/>
      <c r="N1474" s="804"/>
      <c r="O1474" s="804"/>
      <c r="P1474" s="804"/>
      <c r="Q1474" s="805">
        <v>370</v>
      </c>
      <c r="R1474" s="804"/>
      <c r="S1474" s="804"/>
      <c r="T1474" s="804"/>
      <c r="U1474" s="804"/>
      <c r="V1474" s="804"/>
      <c r="W1474" s="804"/>
      <c r="X1474" s="808">
        <f>Q1474</f>
        <v>370</v>
      </c>
      <c r="Y1474" s="809" t="str">
        <f>$Q$3</f>
        <v>6495-2</v>
      </c>
      <c r="Z1474" s="519"/>
    </row>
    <row r="1475" spans="1:26" ht="15.75" customHeight="1">
      <c r="A1475" s="800">
        <v>45722</v>
      </c>
      <c r="B1475" s="801"/>
      <c r="C1475" s="802" t="s">
        <v>2302</v>
      </c>
      <c r="D1475" s="803"/>
      <c r="E1475" s="803"/>
      <c r="F1475" s="801"/>
      <c r="G1475" s="801"/>
      <c r="H1475" s="801"/>
      <c r="I1475" s="801"/>
      <c r="J1475" s="804"/>
      <c r="K1475" s="804"/>
      <c r="L1475" s="804"/>
      <c r="M1475" s="804"/>
      <c r="N1475" s="805">
        <v>950</v>
      </c>
      <c r="O1475" s="804"/>
      <c r="P1475" s="804"/>
      <c r="Q1475" s="804"/>
      <c r="R1475" s="804"/>
      <c r="S1475" s="804"/>
      <c r="T1475" s="804"/>
      <c r="U1475" s="804"/>
      <c r="V1475" s="804"/>
      <c r="W1475" s="804"/>
      <c r="X1475" s="808">
        <f>N1475</f>
        <v>950</v>
      </c>
      <c r="Y1475" s="809">
        <f>$N$3</f>
        <v>6680</v>
      </c>
      <c r="Z1475" s="519"/>
    </row>
    <row r="1476" spans="1:26" ht="15.75" customHeight="1">
      <c r="A1476" s="800">
        <v>45722</v>
      </c>
      <c r="B1476" s="801" t="s">
        <v>2157</v>
      </c>
      <c r="C1476" s="802" t="s">
        <v>2323</v>
      </c>
      <c r="D1476" s="810">
        <v>1000</v>
      </c>
      <c r="E1476" s="803"/>
      <c r="F1476" s="801"/>
      <c r="G1476" s="801"/>
      <c r="H1476" s="801"/>
      <c r="I1476" s="801"/>
      <c r="J1476" s="804"/>
      <c r="K1476" s="804"/>
      <c r="L1476" s="804"/>
      <c r="M1476" s="804"/>
      <c r="N1476" s="804"/>
      <c r="O1476" s="804"/>
      <c r="P1476" s="804"/>
      <c r="Q1476" s="804"/>
      <c r="R1476" s="804"/>
      <c r="S1476" s="804"/>
      <c r="T1476" s="804"/>
      <c r="U1476" s="804"/>
      <c r="V1476" s="804"/>
      <c r="W1476" s="804"/>
      <c r="X1476" s="1034">
        <f>D1476</f>
        <v>1000</v>
      </c>
      <c r="Y1476" s="809" t="s">
        <v>2300</v>
      </c>
      <c r="Z1476" s="519"/>
    </row>
    <row r="1477" spans="1:26" ht="15.75" customHeight="1">
      <c r="A1477" s="800">
        <v>45723</v>
      </c>
      <c r="B1477" s="801"/>
      <c r="C1477" s="802" t="s">
        <v>545</v>
      </c>
      <c r="D1477" s="803"/>
      <c r="E1477" s="803"/>
      <c r="F1477" s="801"/>
      <c r="G1477" s="801"/>
      <c r="H1477" s="801"/>
      <c r="I1477" s="801"/>
      <c r="J1477" s="804"/>
      <c r="K1477" s="804"/>
      <c r="L1477" s="804"/>
      <c r="M1477" s="804"/>
      <c r="N1477" s="804"/>
      <c r="O1477" s="804"/>
      <c r="P1477" s="804"/>
      <c r="Q1477" s="804"/>
      <c r="R1477" s="804"/>
      <c r="S1477" s="805">
        <v>11.09</v>
      </c>
      <c r="T1477" s="804"/>
      <c r="U1477" s="804"/>
      <c r="V1477" s="804"/>
      <c r="W1477" s="804"/>
      <c r="X1477" s="808">
        <f>S1477</f>
        <v>11.09</v>
      </c>
      <c r="Y1477" s="809">
        <f>$S$3</f>
        <v>6855</v>
      </c>
      <c r="Z1477" s="519"/>
    </row>
    <row r="1478" spans="1:26" ht="15.75" customHeight="1">
      <c r="A1478" s="800">
        <v>45723</v>
      </c>
      <c r="B1478" s="801" t="s">
        <v>2161</v>
      </c>
      <c r="C1478" s="802" t="s">
        <v>2301</v>
      </c>
      <c r="D1478" s="810">
        <v>3100</v>
      </c>
      <c r="E1478" s="803"/>
      <c r="F1478" s="801"/>
      <c r="G1478" s="801"/>
      <c r="H1478" s="801"/>
      <c r="I1478" s="801"/>
      <c r="J1478" s="804"/>
      <c r="K1478" s="804"/>
      <c r="L1478" s="804"/>
      <c r="M1478" s="804"/>
      <c r="N1478" s="804"/>
      <c r="O1478" s="804"/>
      <c r="P1478" s="804"/>
      <c r="Q1478" s="804"/>
      <c r="R1478" s="804"/>
      <c r="S1478" s="804"/>
      <c r="T1478" s="804"/>
      <c r="U1478" s="804"/>
      <c r="V1478" s="804"/>
      <c r="W1478" s="804"/>
      <c r="X1478" s="1034">
        <f>D1478</f>
        <v>3100</v>
      </c>
      <c r="Y1478" s="809" t="s">
        <v>2300</v>
      </c>
      <c r="Z1478" s="519"/>
    </row>
    <row r="1479" spans="1:26" ht="15.75" customHeight="1">
      <c r="A1479" s="800">
        <v>45724</v>
      </c>
      <c r="B1479" s="801"/>
      <c r="C1479" s="802" t="s">
        <v>426</v>
      </c>
      <c r="D1479" s="803"/>
      <c r="E1479" s="803"/>
      <c r="F1479" s="801"/>
      <c r="G1479" s="801"/>
      <c r="H1479" s="801"/>
      <c r="I1479" s="801"/>
      <c r="J1479" s="804"/>
      <c r="K1479" s="804"/>
      <c r="L1479" s="804"/>
      <c r="M1479" s="804"/>
      <c r="N1479" s="804"/>
      <c r="O1479" s="804"/>
      <c r="P1479" s="804"/>
      <c r="Q1479" s="805">
        <v>37.24</v>
      </c>
      <c r="R1479" s="804"/>
      <c r="S1479" s="804"/>
      <c r="T1479" s="804"/>
      <c r="U1479" s="804"/>
      <c r="V1479" s="804"/>
      <c r="W1479" s="804"/>
      <c r="X1479" s="808">
        <f>Q1479</f>
        <v>37.24</v>
      </c>
      <c r="Y1479" s="809" t="str">
        <f>$Q$3</f>
        <v>6495-2</v>
      </c>
      <c r="Z1479" s="519"/>
    </row>
    <row r="1480" spans="1:26" ht="15.75" customHeight="1">
      <c r="A1480" s="800">
        <v>45726</v>
      </c>
      <c r="B1480" s="801"/>
      <c r="C1480" s="802" t="s">
        <v>178</v>
      </c>
      <c r="D1480" s="803"/>
      <c r="E1480" s="803"/>
      <c r="F1480" s="801"/>
      <c r="G1480" s="801"/>
      <c r="H1480" s="801"/>
      <c r="I1480" s="801"/>
      <c r="J1480" s="804"/>
      <c r="K1480" s="804"/>
      <c r="L1480" s="804"/>
      <c r="M1480" s="804"/>
      <c r="N1480" s="804"/>
      <c r="O1480" s="805">
        <v>25.56</v>
      </c>
      <c r="P1480" s="804"/>
      <c r="Q1480" s="804"/>
      <c r="R1480" s="804"/>
      <c r="S1480" s="804"/>
      <c r="T1480" s="804"/>
      <c r="U1480" s="804"/>
      <c r="V1480" s="804"/>
      <c r="W1480" s="804"/>
      <c r="X1480" s="808">
        <f>O1480</f>
        <v>25.56</v>
      </c>
      <c r="Y1480" s="809">
        <f>$O$3</f>
        <v>6530</v>
      </c>
      <c r="Z1480" s="519"/>
    </row>
    <row r="1481" spans="1:26" ht="15.75" customHeight="1">
      <c r="A1481" s="800">
        <v>45726</v>
      </c>
      <c r="B1481" s="801"/>
      <c r="C1481" s="802" t="s">
        <v>545</v>
      </c>
      <c r="D1481" s="803"/>
      <c r="E1481" s="803"/>
      <c r="F1481" s="801"/>
      <c r="G1481" s="801"/>
      <c r="H1481" s="801"/>
      <c r="I1481" s="801"/>
      <c r="J1481" s="804"/>
      <c r="K1481" s="804"/>
      <c r="L1481" s="804"/>
      <c r="M1481" s="804"/>
      <c r="N1481" s="804"/>
      <c r="O1481" s="804"/>
      <c r="P1481" s="804"/>
      <c r="Q1481" s="804"/>
      <c r="R1481" s="804"/>
      <c r="S1481" s="805">
        <v>11.09</v>
      </c>
      <c r="T1481" s="804"/>
      <c r="U1481" s="804"/>
      <c r="V1481" s="804"/>
      <c r="W1481" s="804"/>
      <c r="X1481" s="808">
        <f>S1481</f>
        <v>11.09</v>
      </c>
      <c r="Y1481" s="809">
        <f>$S$3</f>
        <v>6855</v>
      </c>
      <c r="Z1481" s="519"/>
    </row>
    <row r="1482" spans="1:26" ht="15.75" customHeight="1">
      <c r="A1482" s="800">
        <v>45726</v>
      </c>
      <c r="B1482" s="801" t="s">
        <v>2162</v>
      </c>
      <c r="C1482" s="802" t="s">
        <v>2303</v>
      </c>
      <c r="D1482" s="803"/>
      <c r="E1482" s="805">
        <v>2410</v>
      </c>
      <c r="F1482" s="801"/>
      <c r="G1482" s="801"/>
      <c r="H1482" s="801"/>
      <c r="I1482" s="801"/>
      <c r="J1482" s="804"/>
      <c r="K1482" s="804"/>
      <c r="L1482" s="804"/>
      <c r="M1482" s="804"/>
      <c r="N1482" s="804"/>
      <c r="O1482" s="804"/>
      <c r="P1482" s="804"/>
      <c r="Q1482" s="804"/>
      <c r="R1482" s="804"/>
      <c r="S1482" s="804"/>
      <c r="T1482" s="804"/>
      <c r="U1482" s="804"/>
      <c r="V1482" s="804"/>
      <c r="W1482" s="804"/>
      <c r="X1482" s="808">
        <f>E1482</f>
        <v>2410</v>
      </c>
      <c r="Y1482" s="809" t="s">
        <v>2304</v>
      </c>
      <c r="Z1482" s="519"/>
    </row>
    <row r="1483" spans="1:26" ht="15.75" customHeight="1">
      <c r="A1483" s="800">
        <v>45726</v>
      </c>
      <c r="B1483" s="801"/>
      <c r="C1483" s="802" t="s">
        <v>2333</v>
      </c>
      <c r="D1483" s="803"/>
      <c r="E1483" s="803"/>
      <c r="F1483" s="801"/>
      <c r="G1483" s="801"/>
      <c r="H1483" s="801"/>
      <c r="I1483" s="801"/>
      <c r="J1483" s="804"/>
      <c r="K1483" s="804"/>
      <c r="L1483" s="804"/>
      <c r="M1483" s="804"/>
      <c r="N1483" s="805">
        <v>57.62</v>
      </c>
      <c r="O1483" s="804"/>
      <c r="P1483" s="804"/>
      <c r="Q1483" s="804"/>
      <c r="R1483" s="804"/>
      <c r="S1483" s="804"/>
      <c r="T1483" s="804"/>
      <c r="U1483" s="804"/>
      <c r="V1483" s="804"/>
      <c r="W1483" s="804"/>
      <c r="X1483" s="808">
        <f>N1483</f>
        <v>57.62</v>
      </c>
      <c r="Y1483" s="809">
        <f>$N$3</f>
        <v>6680</v>
      </c>
      <c r="Z1483" s="519"/>
    </row>
    <row r="1484" spans="1:26" ht="15.75" customHeight="1">
      <c r="A1484" s="800">
        <v>45727</v>
      </c>
      <c r="B1484" s="801"/>
      <c r="C1484" s="802" t="s">
        <v>2334</v>
      </c>
      <c r="D1484" s="803"/>
      <c r="E1484" s="803"/>
      <c r="F1484" s="801"/>
      <c r="G1484" s="801"/>
      <c r="H1484" s="801"/>
      <c r="I1484" s="801"/>
      <c r="J1484" s="804"/>
      <c r="K1484" s="804"/>
      <c r="L1484" s="805">
        <v>238.41</v>
      </c>
      <c r="M1484" s="804"/>
      <c r="N1484" s="804"/>
      <c r="O1484" s="804"/>
      <c r="P1484" s="804"/>
      <c r="Q1484" s="804"/>
      <c r="R1484" s="804"/>
      <c r="S1484" s="804"/>
      <c r="T1484" s="804"/>
      <c r="U1484" s="804"/>
      <c r="V1484" s="804"/>
      <c r="W1484" s="804"/>
      <c r="X1484" s="808">
        <f>L1484</f>
        <v>238.41</v>
      </c>
      <c r="Y1484" s="809" t="str">
        <f>$L$3</f>
        <v>6673-1</v>
      </c>
      <c r="Z1484" s="519"/>
    </row>
    <row r="1485" spans="1:26" ht="15.75" customHeight="1">
      <c r="A1485" s="800">
        <v>45727</v>
      </c>
      <c r="B1485" s="801"/>
      <c r="C1485" s="802" t="s">
        <v>2335</v>
      </c>
      <c r="D1485" s="803"/>
      <c r="E1485" s="803"/>
      <c r="F1485" s="801"/>
      <c r="G1485" s="801"/>
      <c r="H1485" s="801"/>
      <c r="I1485" s="801"/>
      <c r="J1485" s="804"/>
      <c r="K1485" s="804"/>
      <c r="L1485" s="804"/>
      <c r="M1485" s="804"/>
      <c r="N1485" s="804"/>
      <c r="O1485" s="805">
        <v>60.88</v>
      </c>
      <c r="P1485" s="804"/>
      <c r="Q1485" s="804"/>
      <c r="R1485" s="804"/>
      <c r="S1485" s="804"/>
      <c r="T1485" s="804"/>
      <c r="U1485" s="804"/>
      <c r="V1485" s="804"/>
      <c r="W1485" s="804"/>
      <c r="X1485" s="808">
        <f>O1485</f>
        <v>60.88</v>
      </c>
      <c r="Y1485" s="809">
        <f>$O$3</f>
        <v>6530</v>
      </c>
      <c r="Z1485" s="519"/>
    </row>
    <row r="1486" spans="1:26" ht="15.75" customHeight="1">
      <c r="A1486" s="800">
        <v>45730</v>
      </c>
      <c r="B1486" s="801" t="s">
        <v>2163</v>
      </c>
      <c r="C1486" s="802" t="s">
        <v>2323</v>
      </c>
      <c r="D1486" s="810">
        <v>1000</v>
      </c>
      <c r="E1486" s="803"/>
      <c r="F1486" s="801"/>
      <c r="G1486" s="801"/>
      <c r="H1486" s="801"/>
      <c r="I1486" s="801"/>
      <c r="J1486" s="804"/>
      <c r="K1486" s="804"/>
      <c r="L1486" s="804"/>
      <c r="M1486" s="804"/>
      <c r="N1486" s="804"/>
      <c r="O1486" s="804"/>
      <c r="P1486" s="804"/>
      <c r="Q1486" s="804"/>
      <c r="R1486" s="804"/>
      <c r="S1486" s="804"/>
      <c r="T1486" s="804"/>
      <c r="U1486" s="804"/>
      <c r="V1486" s="804"/>
      <c r="W1486" s="804"/>
      <c r="X1486" s="1034">
        <f>D1486</f>
        <v>1000</v>
      </c>
      <c r="Y1486" s="809" t="s">
        <v>2300</v>
      </c>
      <c r="Z1486" s="519"/>
    </row>
    <row r="1487" spans="1:26" ht="15.75" customHeight="1">
      <c r="A1487" s="800">
        <v>45730</v>
      </c>
      <c r="B1487" s="801"/>
      <c r="C1487" s="802" t="s">
        <v>194</v>
      </c>
      <c r="D1487" s="803"/>
      <c r="E1487" s="803"/>
      <c r="F1487" s="801"/>
      <c r="G1487" s="801"/>
      <c r="H1487" s="801"/>
      <c r="I1487" s="801"/>
      <c r="J1487" s="804"/>
      <c r="K1487" s="804"/>
      <c r="L1487" s="804"/>
      <c r="M1487" s="804"/>
      <c r="N1487" s="804"/>
      <c r="O1487" s="804"/>
      <c r="P1487" s="804"/>
      <c r="Q1487" s="804"/>
      <c r="R1487" s="804"/>
      <c r="S1487" s="805">
        <v>11.5</v>
      </c>
      <c r="T1487" s="804"/>
      <c r="U1487" s="804"/>
      <c r="V1487" s="804"/>
      <c r="W1487" s="804"/>
      <c r="X1487" s="808">
        <f>S1487</f>
        <v>11.5</v>
      </c>
      <c r="Y1487" s="809">
        <f>$S$3</f>
        <v>6855</v>
      </c>
      <c r="Z1487" s="519"/>
    </row>
    <row r="1488" spans="1:26" ht="15.75" customHeight="1">
      <c r="A1488" s="800">
        <v>45730</v>
      </c>
      <c r="B1488" s="801"/>
      <c r="C1488" s="802" t="s">
        <v>207</v>
      </c>
      <c r="D1488" s="803"/>
      <c r="E1488" s="803"/>
      <c r="F1488" s="801"/>
      <c r="G1488" s="801"/>
      <c r="H1488" s="801"/>
      <c r="I1488" s="801"/>
      <c r="J1488" s="804"/>
      <c r="K1488" s="804"/>
      <c r="L1488" s="804"/>
      <c r="M1488" s="805">
        <v>28.31</v>
      </c>
      <c r="N1488" s="804"/>
      <c r="O1488" s="804"/>
      <c r="P1488" s="804"/>
      <c r="Q1488" s="804"/>
      <c r="R1488" s="804"/>
      <c r="S1488" s="804"/>
      <c r="T1488" s="804"/>
      <c r="U1488" s="804"/>
      <c r="V1488" s="804"/>
      <c r="W1488" s="804"/>
      <c r="X1488" s="808">
        <f>M1488</f>
        <v>28.31</v>
      </c>
      <c r="Y1488" s="809" t="str">
        <f>$M$3</f>
        <v>6673-2</v>
      </c>
      <c r="Z1488" s="519"/>
    </row>
    <row r="1489" spans="1:26" ht="15.75" customHeight="1">
      <c r="A1489" s="800">
        <v>45732</v>
      </c>
      <c r="B1489" s="801"/>
      <c r="C1489" s="802" t="s">
        <v>2315</v>
      </c>
      <c r="D1489" s="803"/>
      <c r="E1489" s="803"/>
      <c r="F1489" s="801"/>
      <c r="G1489" s="801"/>
      <c r="H1489" s="801"/>
      <c r="I1489" s="801"/>
      <c r="J1489" s="804"/>
      <c r="K1489" s="804"/>
      <c r="L1489" s="804"/>
      <c r="M1489" s="804"/>
      <c r="N1489" s="804"/>
      <c r="O1489" s="804"/>
      <c r="P1489" s="804"/>
      <c r="Q1489" s="805">
        <v>5.39</v>
      </c>
      <c r="R1489" s="804"/>
      <c r="S1489" s="804"/>
      <c r="T1489" s="804"/>
      <c r="U1489" s="804"/>
      <c r="V1489" s="804"/>
      <c r="W1489" s="804"/>
      <c r="X1489" s="808">
        <f>Q1489</f>
        <v>5.39</v>
      </c>
      <c r="Y1489" s="809" t="str">
        <f>$Q$3</f>
        <v>6495-2</v>
      </c>
      <c r="Z1489" s="519"/>
    </row>
    <row r="1490" spans="1:26" ht="15.75" customHeight="1">
      <c r="A1490" s="800">
        <v>45733</v>
      </c>
      <c r="B1490" s="801"/>
      <c r="C1490" s="802" t="s">
        <v>394</v>
      </c>
      <c r="D1490" s="803"/>
      <c r="E1490" s="803"/>
      <c r="F1490" s="801"/>
      <c r="G1490" s="801"/>
      <c r="H1490" s="801"/>
      <c r="I1490" s="801"/>
      <c r="J1490" s="804"/>
      <c r="K1490" s="804"/>
      <c r="L1490" s="804"/>
      <c r="M1490" s="804"/>
      <c r="N1490" s="804"/>
      <c r="O1490" s="804"/>
      <c r="P1490" s="804"/>
      <c r="Q1490" s="804"/>
      <c r="R1490" s="804"/>
      <c r="S1490" s="804"/>
      <c r="T1490" s="805">
        <v>18.36</v>
      </c>
      <c r="U1490" s="804"/>
      <c r="V1490" s="804"/>
      <c r="W1490" s="804"/>
      <c r="X1490" s="808">
        <f>T1490</f>
        <v>18.36</v>
      </c>
      <c r="Y1490" s="809">
        <f>$T$3</f>
        <v>2300</v>
      </c>
      <c r="Z1490" s="519"/>
    </row>
    <row r="1491" spans="1:26" ht="15.75" customHeight="1">
      <c r="A1491" s="800">
        <v>45733</v>
      </c>
      <c r="B1491" s="801"/>
      <c r="C1491" s="802" t="s">
        <v>2312</v>
      </c>
      <c r="D1491" s="803"/>
      <c r="E1491" s="803"/>
      <c r="F1491" s="801"/>
      <c r="G1491" s="801"/>
      <c r="H1491" s="805">
        <v>924.69</v>
      </c>
      <c r="I1491" s="804"/>
      <c r="J1491" s="804"/>
      <c r="K1491" s="804"/>
      <c r="L1491" s="804"/>
      <c r="M1491" s="804"/>
      <c r="N1491" s="804"/>
      <c r="O1491" s="804"/>
      <c r="P1491" s="804"/>
      <c r="Q1491" s="804"/>
      <c r="R1491" s="804"/>
      <c r="S1491" s="804"/>
      <c r="T1491" s="804"/>
      <c r="U1491" s="804"/>
      <c r="V1491" s="804"/>
      <c r="W1491" s="804"/>
      <c r="X1491" s="808">
        <f>H1491</f>
        <v>924.69</v>
      </c>
      <c r="Y1491" s="809">
        <f>$H$3</f>
        <v>2200</v>
      </c>
      <c r="Z1491" s="519"/>
    </row>
    <row r="1492" spans="1:26" ht="15.75" customHeight="1">
      <c r="A1492" s="800">
        <v>45733</v>
      </c>
      <c r="B1492" s="801"/>
      <c r="C1492" s="802" t="s">
        <v>2313</v>
      </c>
      <c r="D1492" s="803"/>
      <c r="E1492" s="803"/>
      <c r="F1492" s="801"/>
      <c r="G1492" s="801"/>
      <c r="H1492" s="801"/>
      <c r="I1492" s="801"/>
      <c r="J1492" s="804"/>
      <c r="K1492" s="804"/>
      <c r="L1492" s="804"/>
      <c r="M1492" s="805">
        <v>16.600000000000001</v>
      </c>
      <c r="N1492" s="804"/>
      <c r="O1492" s="804"/>
      <c r="P1492" s="804"/>
      <c r="Q1492" s="804"/>
      <c r="R1492" s="804"/>
      <c r="S1492" s="804"/>
      <c r="T1492" s="804"/>
      <c r="U1492" s="804"/>
      <c r="V1492" s="804"/>
      <c r="W1492" s="804"/>
      <c r="X1492" s="808">
        <f>M1492</f>
        <v>16.600000000000001</v>
      </c>
      <c r="Y1492" s="809" t="str">
        <f>$M$3</f>
        <v>6673-2</v>
      </c>
      <c r="Z1492" s="519"/>
    </row>
    <row r="1493" spans="1:26" ht="15.75" customHeight="1">
      <c r="A1493" s="800">
        <v>45734</v>
      </c>
      <c r="B1493" s="801"/>
      <c r="C1493" s="802" t="s">
        <v>2316</v>
      </c>
      <c r="D1493" s="803"/>
      <c r="E1493" s="803"/>
      <c r="F1493" s="801"/>
      <c r="G1493" s="801"/>
      <c r="H1493" s="801"/>
      <c r="I1493" s="801"/>
      <c r="J1493" s="804"/>
      <c r="K1493" s="805">
        <v>34.99</v>
      </c>
      <c r="L1493" s="804"/>
      <c r="M1493" s="804"/>
      <c r="N1493" s="804"/>
      <c r="O1493" s="804"/>
      <c r="P1493" s="804"/>
      <c r="Q1493" s="804"/>
      <c r="R1493" s="804"/>
      <c r="S1493" s="804"/>
      <c r="T1493" s="804"/>
      <c r="U1493" s="804"/>
      <c r="V1493" s="804"/>
      <c r="W1493" s="804"/>
      <c r="X1493" s="808">
        <f>K1493</f>
        <v>34.99</v>
      </c>
      <c r="Y1493" s="809" t="str">
        <f>$K$3</f>
        <v>6495-1</v>
      </c>
      <c r="Z1493" s="519"/>
    </row>
    <row r="1494" spans="1:26" ht="15.75" customHeight="1">
      <c r="A1494" s="800">
        <v>45736</v>
      </c>
      <c r="B1494" s="801"/>
      <c r="C1494" s="802" t="s">
        <v>2336</v>
      </c>
      <c r="D1494" s="803"/>
      <c r="E1494" s="803"/>
      <c r="F1494" s="801"/>
      <c r="G1494" s="801"/>
      <c r="H1494" s="801"/>
      <c r="I1494" s="801"/>
      <c r="J1494" s="804"/>
      <c r="K1494" s="804"/>
      <c r="L1494" s="804"/>
      <c r="M1494" s="804"/>
      <c r="N1494" s="804"/>
      <c r="O1494" s="804"/>
      <c r="P1494" s="804"/>
      <c r="Q1494" s="805">
        <v>619.19000000000005</v>
      </c>
      <c r="R1494" s="804"/>
      <c r="S1494" s="804"/>
      <c r="T1494" s="804"/>
      <c r="U1494" s="804"/>
      <c r="V1494" s="804"/>
      <c r="W1494" s="804"/>
      <c r="X1494" s="808">
        <f>Q1494</f>
        <v>619.19000000000005</v>
      </c>
      <c r="Y1494" s="809" t="str">
        <f>$Q$3</f>
        <v>6495-2</v>
      </c>
      <c r="Z1494" s="519"/>
    </row>
    <row r="1495" spans="1:26" ht="15.75" customHeight="1">
      <c r="A1495" s="800">
        <v>45736</v>
      </c>
      <c r="B1495" s="801"/>
      <c r="C1495" s="802" t="s">
        <v>2318</v>
      </c>
      <c r="D1495" s="803"/>
      <c r="E1495" s="803"/>
      <c r="F1495" s="801"/>
      <c r="G1495" s="801"/>
      <c r="H1495" s="801"/>
      <c r="I1495" s="801"/>
      <c r="J1495" s="805">
        <v>31.2</v>
      </c>
      <c r="K1495" s="804"/>
      <c r="L1495" s="804"/>
      <c r="M1495" s="804"/>
      <c r="N1495" s="804"/>
      <c r="O1495" s="804"/>
      <c r="P1495" s="804"/>
      <c r="Q1495" s="804"/>
      <c r="R1495" s="804"/>
      <c r="S1495" s="804"/>
      <c r="T1495" s="804"/>
      <c r="U1495" s="804"/>
      <c r="V1495" s="804"/>
      <c r="W1495" s="804"/>
      <c r="X1495" s="808">
        <f>J1495</f>
        <v>31.2</v>
      </c>
      <c r="Y1495" s="809">
        <f>$J$3</f>
        <v>6805</v>
      </c>
      <c r="Z1495" s="519"/>
    </row>
    <row r="1496" spans="1:26" ht="15.75" customHeight="1">
      <c r="A1496" s="800">
        <v>45736</v>
      </c>
      <c r="B1496" s="801"/>
      <c r="C1496" s="802" t="s">
        <v>2337</v>
      </c>
      <c r="D1496" s="803"/>
      <c r="E1496" s="803"/>
      <c r="F1496" s="801"/>
      <c r="G1496" s="801"/>
      <c r="H1496" s="801"/>
      <c r="I1496" s="801"/>
      <c r="J1496" s="804"/>
      <c r="K1496" s="804"/>
      <c r="L1496" s="804"/>
      <c r="M1496" s="805">
        <v>5</v>
      </c>
      <c r="N1496" s="804"/>
      <c r="O1496" s="804"/>
      <c r="P1496" s="804"/>
      <c r="Q1496" s="804"/>
      <c r="R1496" s="804"/>
      <c r="S1496" s="804"/>
      <c r="T1496" s="804"/>
      <c r="U1496" s="804"/>
      <c r="V1496" s="804"/>
      <c r="W1496" s="804"/>
      <c r="X1496" s="808">
        <f>M1496</f>
        <v>5</v>
      </c>
      <c r="Y1496" s="809" t="str">
        <f>$M$3</f>
        <v>6673-2</v>
      </c>
      <c r="Z1496" s="519"/>
    </row>
    <row r="1497" spans="1:26" ht="15.75" customHeight="1">
      <c r="A1497" s="800">
        <v>45736</v>
      </c>
      <c r="B1497" s="801"/>
      <c r="C1497" s="802" t="s">
        <v>2337</v>
      </c>
      <c r="D1497" s="803"/>
      <c r="E1497" s="803"/>
      <c r="F1497" s="801"/>
      <c r="G1497" s="801"/>
      <c r="H1497" s="801"/>
      <c r="I1497" s="801"/>
      <c r="J1497" s="804"/>
      <c r="K1497" s="804"/>
      <c r="L1497" s="804"/>
      <c r="M1497" s="805">
        <v>26.6</v>
      </c>
      <c r="N1497" s="804"/>
      <c r="O1497" s="804"/>
      <c r="P1497" s="804"/>
      <c r="Q1497" s="804"/>
      <c r="R1497" s="804"/>
      <c r="S1497" s="804"/>
      <c r="T1497" s="804"/>
      <c r="U1497" s="804"/>
      <c r="V1497" s="804"/>
      <c r="W1497" s="804"/>
      <c r="X1497" s="808">
        <f>M1497</f>
        <v>26.6</v>
      </c>
      <c r="Y1497" s="809" t="str">
        <f>$M$3</f>
        <v>6673-2</v>
      </c>
      <c r="Z1497" s="519"/>
    </row>
    <row r="1498" spans="1:26" ht="15.75" customHeight="1">
      <c r="A1498" s="800">
        <v>45737</v>
      </c>
      <c r="B1498" s="801"/>
      <c r="C1498" s="802" t="s">
        <v>545</v>
      </c>
      <c r="D1498" s="803"/>
      <c r="E1498" s="803"/>
      <c r="F1498" s="801"/>
      <c r="G1498" s="801"/>
      <c r="H1498" s="801"/>
      <c r="I1498" s="801"/>
      <c r="J1498" s="804"/>
      <c r="K1498" s="804"/>
      <c r="L1498" s="804"/>
      <c r="M1498" s="804"/>
      <c r="N1498" s="804"/>
      <c r="O1498" s="804"/>
      <c r="P1498" s="804"/>
      <c r="Q1498" s="804"/>
      <c r="R1498" s="804"/>
      <c r="S1498" s="805">
        <v>11.09</v>
      </c>
      <c r="T1498" s="804"/>
      <c r="U1498" s="804"/>
      <c r="V1498" s="804"/>
      <c r="W1498" s="804"/>
      <c r="X1498" s="808">
        <f>S1498</f>
        <v>11.09</v>
      </c>
      <c r="Y1498" s="809">
        <f>$S$3</f>
        <v>6855</v>
      </c>
      <c r="Z1498" s="519"/>
    </row>
    <row r="1499" spans="1:26" ht="15.75" customHeight="1">
      <c r="A1499" s="800">
        <v>45739</v>
      </c>
      <c r="B1499" s="801"/>
      <c r="C1499" s="802" t="s">
        <v>2319</v>
      </c>
      <c r="D1499" s="803"/>
      <c r="E1499" s="803"/>
      <c r="F1499" s="801"/>
      <c r="G1499" s="801"/>
      <c r="H1499" s="801"/>
      <c r="I1499" s="801"/>
      <c r="J1499" s="805">
        <v>11.96</v>
      </c>
      <c r="K1499" s="804"/>
      <c r="L1499" s="804"/>
      <c r="M1499" s="804"/>
      <c r="N1499" s="804"/>
      <c r="O1499" s="804"/>
      <c r="P1499" s="804"/>
      <c r="Q1499" s="804"/>
      <c r="R1499" s="804"/>
      <c r="S1499" s="804"/>
      <c r="T1499" s="804"/>
      <c r="U1499" s="804"/>
      <c r="V1499" s="804"/>
      <c r="W1499" s="804"/>
      <c r="X1499" s="808">
        <f>J1499</f>
        <v>11.96</v>
      </c>
      <c r="Y1499" s="809">
        <f>$J$3</f>
        <v>6805</v>
      </c>
      <c r="Z1499" s="519"/>
    </row>
    <row r="1500" spans="1:26" ht="15.75" customHeight="1">
      <c r="A1500" s="800">
        <v>45739</v>
      </c>
      <c r="B1500" s="801"/>
      <c r="C1500" s="802" t="s">
        <v>426</v>
      </c>
      <c r="D1500" s="803"/>
      <c r="E1500" s="803"/>
      <c r="F1500" s="801"/>
      <c r="G1500" s="801"/>
      <c r="H1500" s="801"/>
      <c r="I1500" s="801"/>
      <c r="J1500" s="804"/>
      <c r="K1500" s="804"/>
      <c r="L1500" s="804"/>
      <c r="M1500" s="804"/>
      <c r="N1500" s="804"/>
      <c r="O1500" s="804"/>
      <c r="P1500" s="804"/>
      <c r="Q1500" s="805">
        <v>37.26</v>
      </c>
      <c r="R1500" s="804"/>
      <c r="S1500" s="804"/>
      <c r="T1500" s="804"/>
      <c r="U1500" s="804"/>
      <c r="V1500" s="804"/>
      <c r="W1500" s="804"/>
      <c r="X1500" s="808">
        <f>Q1500</f>
        <v>37.26</v>
      </c>
      <c r="Y1500" s="809" t="str">
        <f>$Q$3</f>
        <v>6495-2</v>
      </c>
      <c r="Z1500" s="519"/>
    </row>
    <row r="1501" spans="1:26" ht="15.75" customHeight="1">
      <c r="A1501" s="800">
        <v>45742</v>
      </c>
      <c r="B1501" s="801" t="s">
        <v>2169</v>
      </c>
      <c r="C1501" s="802" t="s">
        <v>2322</v>
      </c>
      <c r="D1501" s="803"/>
      <c r="E1501" s="805">
        <v>850</v>
      </c>
      <c r="F1501" s="801"/>
      <c r="G1501" s="801"/>
      <c r="H1501" s="801"/>
      <c r="I1501" s="801"/>
      <c r="J1501" s="804"/>
      <c r="K1501" s="804"/>
      <c r="L1501" s="804"/>
      <c r="M1501" s="804"/>
      <c r="N1501" s="804"/>
      <c r="O1501" s="804"/>
      <c r="P1501" s="804"/>
      <c r="Q1501" s="804"/>
      <c r="R1501" s="804"/>
      <c r="S1501" s="804"/>
      <c r="T1501" s="804"/>
      <c r="U1501" s="804"/>
      <c r="V1501" s="804"/>
      <c r="W1501" s="804"/>
      <c r="X1501" s="808">
        <f>E1501</f>
        <v>850</v>
      </c>
      <c r="Y1501" s="809" t="s">
        <v>2304</v>
      </c>
      <c r="Z1501" s="519"/>
    </row>
    <row r="1502" spans="1:26" ht="15.75" customHeight="1">
      <c r="A1502" s="800">
        <v>45743</v>
      </c>
      <c r="B1502" s="801"/>
      <c r="C1502" s="802" t="s">
        <v>2320</v>
      </c>
      <c r="D1502" s="803"/>
      <c r="E1502" s="803"/>
      <c r="F1502" s="801"/>
      <c r="G1502" s="801"/>
      <c r="H1502" s="801"/>
      <c r="I1502" s="801"/>
      <c r="J1502" s="804"/>
      <c r="K1502" s="804"/>
      <c r="L1502" s="804"/>
      <c r="M1502" s="804"/>
      <c r="N1502" s="804"/>
      <c r="O1502" s="804"/>
      <c r="P1502" s="804"/>
      <c r="Q1502" s="804"/>
      <c r="R1502" s="804"/>
      <c r="S1502" s="805">
        <v>19.420000000000002</v>
      </c>
      <c r="T1502" s="804"/>
      <c r="U1502" s="804"/>
      <c r="V1502" s="804"/>
      <c r="W1502" s="804"/>
      <c r="X1502" s="808">
        <f>S1502</f>
        <v>19.420000000000002</v>
      </c>
      <c r="Y1502" s="809">
        <f>$S$3</f>
        <v>6855</v>
      </c>
      <c r="Z1502" s="519"/>
    </row>
    <row r="1503" spans="1:26" ht="15.75" customHeight="1">
      <c r="A1503" s="800">
        <v>45744</v>
      </c>
      <c r="B1503" s="801"/>
      <c r="C1503" s="802" t="s">
        <v>2338</v>
      </c>
      <c r="D1503" s="803"/>
      <c r="E1503" s="803"/>
      <c r="F1503" s="801"/>
      <c r="G1503" s="801"/>
      <c r="H1503" s="801"/>
      <c r="I1503" s="801"/>
      <c r="J1503" s="804"/>
      <c r="K1503" s="804"/>
      <c r="L1503" s="804"/>
      <c r="M1503" s="804"/>
      <c r="N1503" s="805">
        <v>219.96</v>
      </c>
      <c r="O1503" s="804"/>
      <c r="P1503" s="804"/>
      <c r="Q1503" s="804"/>
      <c r="R1503" s="804"/>
      <c r="S1503" s="804"/>
      <c r="T1503" s="804"/>
      <c r="U1503" s="804"/>
      <c r="V1503" s="804"/>
      <c r="W1503" s="804"/>
      <c r="X1503" s="808">
        <f>N1503</f>
        <v>219.96</v>
      </c>
      <c r="Y1503" s="809">
        <f>$N$3</f>
        <v>6680</v>
      </c>
      <c r="Z1503" s="519"/>
    </row>
    <row r="1504" spans="1:26" ht="15.75" customHeight="1">
      <c r="A1504" s="800">
        <v>45744</v>
      </c>
      <c r="B1504" s="801"/>
      <c r="C1504" s="802" t="s">
        <v>2338</v>
      </c>
      <c r="D1504" s="803"/>
      <c r="E1504" s="803"/>
      <c r="F1504" s="801"/>
      <c r="G1504" s="801"/>
      <c r="H1504" s="801"/>
      <c r="I1504" s="801"/>
      <c r="J1504" s="804"/>
      <c r="K1504" s="804"/>
      <c r="L1504" s="804"/>
      <c r="M1504" s="804"/>
      <c r="N1504" s="805">
        <v>219.96</v>
      </c>
      <c r="O1504" s="804"/>
      <c r="P1504" s="804"/>
      <c r="Q1504" s="804"/>
      <c r="R1504" s="804"/>
      <c r="S1504" s="804"/>
      <c r="T1504" s="804"/>
      <c r="U1504" s="804"/>
      <c r="V1504" s="804"/>
      <c r="W1504" s="804"/>
      <c r="X1504" s="808">
        <f>N1504</f>
        <v>219.96</v>
      </c>
      <c r="Y1504" s="809">
        <f>$N$3</f>
        <v>6680</v>
      </c>
      <c r="Z1504" s="519"/>
    </row>
    <row r="1505" spans="1:26" ht="15.75" customHeight="1">
      <c r="A1505" s="800">
        <v>45747</v>
      </c>
      <c r="B1505" s="801"/>
      <c r="C1505" s="802" t="s">
        <v>48</v>
      </c>
      <c r="D1505" s="803"/>
      <c r="E1505" s="803"/>
      <c r="F1505" s="801"/>
      <c r="G1505" s="801"/>
      <c r="H1505" s="801"/>
      <c r="I1505" s="801"/>
      <c r="J1505" s="804"/>
      <c r="K1505" s="804"/>
      <c r="L1505" s="804"/>
      <c r="M1505" s="804"/>
      <c r="N1505" s="804"/>
      <c r="O1505" s="804"/>
      <c r="P1505" s="804"/>
      <c r="Q1505" s="804"/>
      <c r="R1505" s="804"/>
      <c r="S1505" s="805">
        <v>20.7</v>
      </c>
      <c r="T1505" s="804"/>
      <c r="U1505" s="804"/>
      <c r="V1505" s="804"/>
      <c r="W1505" s="804"/>
      <c r="X1505" s="808">
        <f>S1505</f>
        <v>20.7</v>
      </c>
      <c r="Y1505" s="809">
        <f>$S$3</f>
        <v>6855</v>
      </c>
      <c r="Z1505" s="519"/>
    </row>
    <row r="1506" spans="1:26" ht="15.75" customHeight="1">
      <c r="A1506" s="800">
        <v>45747</v>
      </c>
      <c r="B1506" s="801"/>
      <c r="C1506" s="802" t="s">
        <v>2321</v>
      </c>
      <c r="D1506" s="803"/>
      <c r="E1506" s="805">
        <v>636.87</v>
      </c>
      <c r="F1506" s="801"/>
      <c r="G1506" s="801"/>
      <c r="H1506" s="801"/>
      <c r="I1506" s="801"/>
      <c r="J1506" s="804"/>
      <c r="K1506" s="804"/>
      <c r="L1506" s="804"/>
      <c r="M1506" s="804"/>
      <c r="N1506" s="804"/>
      <c r="O1506" s="804"/>
      <c r="P1506" s="804"/>
      <c r="Q1506" s="804"/>
      <c r="R1506" s="804"/>
      <c r="S1506" s="804"/>
      <c r="T1506" s="804"/>
      <c r="U1506" s="804"/>
      <c r="V1506" s="804"/>
      <c r="W1506" s="804"/>
      <c r="X1506" s="808">
        <f>E1506</f>
        <v>636.87</v>
      </c>
      <c r="Y1506" s="809" t="s">
        <v>2304</v>
      </c>
      <c r="Z1506" s="519"/>
    </row>
    <row r="1507" spans="1:26" ht="15.75" customHeight="1">
      <c r="A1507" s="800">
        <v>45747</v>
      </c>
      <c r="B1507" s="801"/>
      <c r="C1507" s="802" t="s">
        <v>545</v>
      </c>
      <c r="D1507" s="803"/>
      <c r="E1507" s="803"/>
      <c r="F1507" s="801"/>
      <c r="G1507" s="801"/>
      <c r="H1507" s="801"/>
      <c r="I1507" s="801"/>
      <c r="J1507" s="804"/>
      <c r="K1507" s="804"/>
      <c r="L1507" s="804"/>
      <c r="M1507" s="804"/>
      <c r="N1507" s="804"/>
      <c r="O1507" s="804"/>
      <c r="P1507" s="804"/>
      <c r="Q1507" s="804"/>
      <c r="R1507" s="804"/>
      <c r="S1507" s="805">
        <v>11.09</v>
      </c>
      <c r="T1507" s="804"/>
      <c r="U1507" s="804"/>
      <c r="V1507" s="804"/>
      <c r="W1507" s="804"/>
      <c r="X1507" s="808">
        <f>S1507</f>
        <v>11.09</v>
      </c>
      <c r="Y1507" s="809">
        <f>$S$3</f>
        <v>6855</v>
      </c>
      <c r="Z1507" s="519"/>
    </row>
    <row r="1508" spans="1:26" ht="15.75" customHeight="1">
      <c r="A1508" s="800"/>
      <c r="B1508" s="801"/>
      <c r="C1508" s="802"/>
      <c r="D1508" s="803"/>
      <c r="E1508" s="803"/>
      <c r="F1508" s="801"/>
      <c r="G1508" s="801"/>
      <c r="H1508" s="801"/>
      <c r="I1508" s="801"/>
      <c r="J1508" s="804"/>
      <c r="K1508" s="804"/>
      <c r="L1508" s="804"/>
      <c r="M1508" s="804"/>
      <c r="N1508" s="804"/>
      <c r="O1508" s="804"/>
      <c r="P1508" s="804"/>
      <c r="Q1508" s="804"/>
      <c r="R1508" s="804"/>
      <c r="S1508" s="804"/>
      <c r="T1508" s="804"/>
      <c r="U1508" s="804"/>
      <c r="V1508" s="804"/>
      <c r="W1508" s="804"/>
      <c r="X1508" s="811"/>
      <c r="Y1508" s="809"/>
      <c r="Z1508" s="519"/>
    </row>
    <row r="1509" spans="1:26" ht="15.75" customHeight="1">
      <c r="A1509" s="795"/>
      <c r="B1509" s="796">
        <v>45748</v>
      </c>
      <c r="C1509" s="795"/>
      <c r="D1509" s="795"/>
      <c r="E1509" s="795"/>
      <c r="F1509" s="795"/>
      <c r="G1509" s="795"/>
      <c r="H1509" s="795"/>
      <c r="I1509" s="795"/>
      <c r="J1509" s="795"/>
      <c r="K1509" s="795"/>
      <c r="L1509" s="795"/>
      <c r="M1509" s="795"/>
      <c r="N1509" s="795"/>
      <c r="O1509" s="795"/>
      <c r="P1509" s="795"/>
      <c r="Q1509" s="795"/>
      <c r="R1509" s="795"/>
      <c r="S1509" s="795"/>
      <c r="T1509" s="795"/>
      <c r="U1509" s="795"/>
      <c r="V1509" s="795"/>
      <c r="W1509" s="795"/>
      <c r="X1509" s="797"/>
      <c r="Y1509" s="798"/>
      <c r="Z1509" s="519"/>
    </row>
    <row r="1510" spans="1:26" ht="15.75" customHeight="1">
      <c r="A1510" s="800">
        <v>45748</v>
      </c>
      <c r="B1510" s="801"/>
      <c r="C1510" s="802" t="s">
        <v>2296</v>
      </c>
      <c r="D1510" s="803"/>
      <c r="E1510" s="803"/>
      <c r="F1510" s="801"/>
      <c r="G1510" s="801"/>
      <c r="H1510" s="801"/>
      <c r="I1510" s="801"/>
      <c r="J1510" s="804"/>
      <c r="K1510" s="804"/>
      <c r="L1510" s="804"/>
      <c r="M1510" s="805">
        <v>58</v>
      </c>
      <c r="N1510" s="804"/>
      <c r="O1510" s="804"/>
      <c r="P1510" s="804"/>
      <c r="Q1510" s="804"/>
      <c r="R1510" s="804"/>
      <c r="S1510" s="804"/>
      <c r="T1510" s="804"/>
      <c r="U1510" s="804"/>
      <c r="V1510" s="804"/>
      <c r="W1510" s="804"/>
      <c r="X1510" s="808">
        <f>M1510</f>
        <v>58</v>
      </c>
      <c r="Y1510" s="809" t="str">
        <f>$M$3</f>
        <v>6673-2</v>
      </c>
      <c r="Z1510" s="519"/>
    </row>
    <row r="1511" spans="1:26" ht="15.75" customHeight="1">
      <c r="A1511" s="800">
        <v>45748</v>
      </c>
      <c r="B1511" s="801"/>
      <c r="C1511" s="802" t="s">
        <v>2295</v>
      </c>
      <c r="D1511" s="803"/>
      <c r="E1511" s="803"/>
      <c r="F1511" s="801"/>
      <c r="G1511" s="801"/>
      <c r="H1511" s="801"/>
      <c r="I1511" s="801"/>
      <c r="J1511" s="804"/>
      <c r="K1511" s="804"/>
      <c r="L1511" s="804"/>
      <c r="M1511" s="804"/>
      <c r="N1511" s="804"/>
      <c r="O1511" s="804"/>
      <c r="P1511" s="804"/>
      <c r="Q1511" s="805">
        <v>23</v>
      </c>
      <c r="R1511" s="804"/>
      <c r="S1511" s="804"/>
      <c r="T1511" s="804"/>
      <c r="U1511" s="804"/>
      <c r="V1511" s="804"/>
      <c r="W1511" s="804"/>
      <c r="X1511" s="808">
        <f>Q1511</f>
        <v>23</v>
      </c>
      <c r="Y1511" s="809" t="str">
        <f>$Q$3</f>
        <v>6495-2</v>
      </c>
      <c r="Z1511" s="519"/>
    </row>
    <row r="1512" spans="1:26" ht="15.75" customHeight="1">
      <c r="A1512" s="800">
        <v>45748</v>
      </c>
      <c r="B1512" s="801"/>
      <c r="C1512" s="802" t="s">
        <v>2298</v>
      </c>
      <c r="D1512" s="803"/>
      <c r="E1512" s="803"/>
      <c r="F1512" s="801"/>
      <c r="G1512" s="801"/>
      <c r="H1512" s="801"/>
      <c r="I1512" s="801"/>
      <c r="J1512" s="804"/>
      <c r="K1512" s="804"/>
      <c r="L1512" s="804"/>
      <c r="M1512" s="804"/>
      <c r="N1512" s="804"/>
      <c r="O1512" s="804"/>
      <c r="P1512" s="804"/>
      <c r="Q1512" s="804"/>
      <c r="R1512" s="804"/>
      <c r="S1512" s="804"/>
      <c r="T1512" s="805">
        <v>277.60000000000002</v>
      </c>
      <c r="U1512" s="804"/>
      <c r="V1512" s="804"/>
      <c r="W1512" s="804"/>
      <c r="X1512" s="808">
        <f>T1512</f>
        <v>277.60000000000002</v>
      </c>
      <c r="Y1512" s="809">
        <f>$T$3</f>
        <v>2300</v>
      </c>
      <c r="Z1512" s="519"/>
    </row>
    <row r="1513" spans="1:26" ht="15.75" customHeight="1">
      <c r="A1513" s="800">
        <v>45749</v>
      </c>
      <c r="B1513" s="801"/>
      <c r="C1513" s="802" t="s">
        <v>2297</v>
      </c>
      <c r="D1513" s="803"/>
      <c r="E1513" s="803"/>
      <c r="F1513" s="801"/>
      <c r="G1513" s="801"/>
      <c r="H1513" s="801"/>
      <c r="I1513" s="801"/>
      <c r="J1513" s="804"/>
      <c r="K1513" s="804"/>
      <c r="L1513" s="804"/>
      <c r="M1513" s="804"/>
      <c r="N1513" s="804"/>
      <c r="O1513" s="804"/>
      <c r="P1513" s="804"/>
      <c r="Q1513" s="804"/>
      <c r="R1513" s="804"/>
      <c r="S1513" s="804"/>
      <c r="T1513" s="805">
        <v>80</v>
      </c>
      <c r="U1513" s="804"/>
      <c r="V1513" s="804"/>
      <c r="W1513" s="804"/>
      <c r="X1513" s="808">
        <f>T1513</f>
        <v>80</v>
      </c>
      <c r="Y1513" s="809">
        <f>$T$3</f>
        <v>2300</v>
      </c>
      <c r="Z1513" s="519"/>
    </row>
    <row r="1514" spans="1:26" ht="15.75" customHeight="1" thickBot="1">
      <c r="A1514" s="825">
        <v>45751</v>
      </c>
      <c r="B1514" s="826"/>
      <c r="C1514" s="827" t="s">
        <v>2339</v>
      </c>
      <c r="D1514" s="828"/>
      <c r="E1514" s="828"/>
      <c r="F1514" s="826"/>
      <c r="G1514" s="826"/>
      <c r="H1514" s="826"/>
      <c r="I1514" s="826"/>
      <c r="J1514" s="829"/>
      <c r="K1514" s="829"/>
      <c r="L1514" s="830">
        <v>272</v>
      </c>
      <c r="M1514" s="829"/>
      <c r="N1514" s="829"/>
      <c r="O1514" s="829"/>
      <c r="P1514" s="829"/>
      <c r="Q1514" s="829"/>
      <c r="R1514" s="829"/>
      <c r="S1514" s="829"/>
      <c r="T1514" s="829"/>
      <c r="U1514" s="829"/>
      <c r="V1514" s="829"/>
      <c r="W1514" s="829"/>
      <c r="X1514" s="831">
        <f>L1514</f>
        <v>272</v>
      </c>
      <c r="Y1514" s="814" t="str">
        <f>$L$3</f>
        <v>6673-1</v>
      </c>
      <c r="Z1514" s="832"/>
    </row>
    <row r="1515" spans="1:26" ht="15.75" customHeight="1">
      <c r="A1515" s="833"/>
      <c r="B1515" s="834"/>
      <c r="C1515" s="835"/>
      <c r="D1515" s="836"/>
      <c r="E1515" s="836"/>
      <c r="F1515" s="834"/>
      <c r="G1515" s="834"/>
      <c r="H1515" s="834"/>
      <c r="I1515" s="834"/>
      <c r="J1515" s="837"/>
      <c r="K1515" s="837"/>
      <c r="L1515" s="838"/>
      <c r="M1515" s="837"/>
      <c r="N1515" s="837"/>
      <c r="O1515" s="837"/>
      <c r="P1515" s="837"/>
      <c r="Q1515" s="837"/>
      <c r="R1515" s="837"/>
      <c r="S1515" s="837"/>
      <c r="T1515" s="837"/>
      <c r="U1515" s="837"/>
      <c r="V1515" s="837"/>
      <c r="W1515" s="837"/>
      <c r="X1515" s="839"/>
      <c r="Y1515" s="840"/>
      <c r="Z1515" s="841"/>
    </row>
    <row r="1516" spans="1:26" ht="15.75" customHeight="1">
      <c r="A1516" s="800">
        <v>45753</v>
      </c>
      <c r="B1516" s="801"/>
      <c r="C1516" s="802" t="s">
        <v>2340</v>
      </c>
      <c r="D1516" s="803"/>
      <c r="E1516" s="803"/>
      <c r="F1516" s="801"/>
      <c r="G1516" s="801"/>
      <c r="H1516" s="801"/>
      <c r="I1516" s="801"/>
      <c r="J1516" s="804"/>
      <c r="K1516" s="804"/>
      <c r="L1516" s="805">
        <v>50</v>
      </c>
      <c r="M1516" s="804"/>
      <c r="N1516" s="804"/>
      <c r="O1516" s="804"/>
      <c r="P1516" s="804"/>
      <c r="Q1516" s="804"/>
      <c r="R1516" s="804"/>
      <c r="S1516" s="804"/>
      <c r="T1516" s="804"/>
      <c r="U1516" s="804"/>
      <c r="V1516" s="804"/>
      <c r="W1516" s="804"/>
      <c r="X1516" s="808">
        <f>L1516</f>
        <v>50</v>
      </c>
      <c r="Y1516" s="809" t="str">
        <f>$L$3</f>
        <v>6673-1</v>
      </c>
      <c r="Z1516" s="519"/>
    </row>
    <row r="1517" spans="1:26" ht="15.75" customHeight="1">
      <c r="A1517" s="800">
        <v>45754</v>
      </c>
      <c r="B1517" s="801" t="s">
        <v>2166</v>
      </c>
      <c r="C1517" s="802" t="s">
        <v>2301</v>
      </c>
      <c r="D1517" s="810">
        <v>3100</v>
      </c>
      <c r="E1517" s="803"/>
      <c r="F1517" s="801"/>
      <c r="G1517" s="801"/>
      <c r="H1517" s="801"/>
      <c r="I1517" s="801"/>
      <c r="J1517" s="804"/>
      <c r="K1517" s="804"/>
      <c r="L1517" s="804"/>
      <c r="M1517" s="804"/>
      <c r="N1517" s="804"/>
      <c r="O1517" s="804"/>
      <c r="P1517" s="804"/>
      <c r="Q1517" s="804"/>
      <c r="R1517" s="804"/>
      <c r="S1517" s="804"/>
      <c r="T1517" s="804"/>
      <c r="U1517" s="804"/>
      <c r="V1517" s="804"/>
      <c r="W1517" s="804"/>
      <c r="X1517" s="1034">
        <f>D1517</f>
        <v>3100</v>
      </c>
      <c r="Y1517" s="809" t="s">
        <v>2300</v>
      </c>
      <c r="Z1517" s="519"/>
    </row>
    <row r="1518" spans="1:26" ht="15.75" customHeight="1">
      <c r="A1518" s="800">
        <v>45754</v>
      </c>
      <c r="B1518" s="801"/>
      <c r="C1518" s="802" t="s">
        <v>207</v>
      </c>
      <c r="D1518" s="803"/>
      <c r="E1518" s="803"/>
      <c r="F1518" s="801"/>
      <c r="G1518" s="801"/>
      <c r="H1518" s="801"/>
      <c r="I1518" s="801"/>
      <c r="J1518" s="804"/>
      <c r="K1518" s="804"/>
      <c r="L1518" s="804"/>
      <c r="M1518" s="805">
        <v>27.67</v>
      </c>
      <c r="N1518" s="804"/>
      <c r="O1518" s="804"/>
      <c r="P1518" s="804"/>
      <c r="Q1518" s="804"/>
      <c r="R1518" s="804"/>
      <c r="S1518" s="804"/>
      <c r="T1518" s="804"/>
      <c r="U1518" s="804"/>
      <c r="V1518" s="804"/>
      <c r="W1518" s="804"/>
      <c r="X1518" s="808">
        <f>M1518</f>
        <v>27.67</v>
      </c>
      <c r="Y1518" s="809" t="str">
        <f>$M$3</f>
        <v>6673-2</v>
      </c>
      <c r="Z1518" s="519"/>
    </row>
    <row r="1519" spans="1:26" ht="15.75" customHeight="1">
      <c r="A1519" s="800">
        <v>45755</v>
      </c>
      <c r="B1519" s="801"/>
      <c r="C1519" s="802" t="s">
        <v>545</v>
      </c>
      <c r="D1519" s="803"/>
      <c r="E1519" s="803"/>
      <c r="F1519" s="801"/>
      <c r="G1519" s="801"/>
      <c r="H1519" s="801"/>
      <c r="I1519" s="801"/>
      <c r="J1519" s="804"/>
      <c r="K1519" s="804"/>
      <c r="L1519" s="804"/>
      <c r="M1519" s="804"/>
      <c r="N1519" s="804"/>
      <c r="O1519" s="804"/>
      <c r="P1519" s="804"/>
      <c r="Q1519" s="804"/>
      <c r="R1519" s="804"/>
      <c r="S1519" s="805">
        <v>11.09</v>
      </c>
      <c r="T1519" s="804"/>
      <c r="U1519" s="804"/>
      <c r="V1519" s="804"/>
      <c r="W1519" s="804"/>
      <c r="X1519" s="808">
        <f>S1519</f>
        <v>11.09</v>
      </c>
      <c r="Y1519" s="809">
        <f>$S$3</f>
        <v>6855</v>
      </c>
      <c r="Z1519" s="519"/>
    </row>
    <row r="1520" spans="1:26" ht="15.75" customHeight="1">
      <c r="A1520" s="800">
        <v>45755</v>
      </c>
      <c r="B1520" s="801"/>
      <c r="C1520" s="802" t="s">
        <v>2302</v>
      </c>
      <c r="D1520" s="803"/>
      <c r="E1520" s="803"/>
      <c r="F1520" s="801"/>
      <c r="G1520" s="801"/>
      <c r="H1520" s="801"/>
      <c r="I1520" s="801"/>
      <c r="J1520" s="804"/>
      <c r="K1520" s="804"/>
      <c r="L1520" s="804"/>
      <c r="M1520" s="804"/>
      <c r="N1520" s="805">
        <v>950</v>
      </c>
      <c r="O1520" s="804"/>
      <c r="P1520" s="804"/>
      <c r="Q1520" s="804"/>
      <c r="R1520" s="804"/>
      <c r="S1520" s="804"/>
      <c r="T1520" s="804"/>
      <c r="U1520" s="804"/>
      <c r="V1520" s="804"/>
      <c r="W1520" s="804"/>
      <c r="X1520" s="808">
        <f>N1520</f>
        <v>950</v>
      </c>
      <c r="Y1520" s="809">
        <f>$N$3</f>
        <v>6680</v>
      </c>
      <c r="Z1520" s="519"/>
    </row>
    <row r="1521" spans="1:26" ht="15.75" customHeight="1">
      <c r="A1521" s="800">
        <v>45755</v>
      </c>
      <c r="B1521" s="801" t="s">
        <v>2171</v>
      </c>
      <c r="C1521" s="802" t="s">
        <v>2341</v>
      </c>
      <c r="D1521" s="803"/>
      <c r="E1521" s="805">
        <v>2700</v>
      </c>
      <c r="F1521" s="801"/>
      <c r="G1521" s="801"/>
      <c r="H1521" s="801"/>
      <c r="I1521" s="804"/>
      <c r="J1521" s="804"/>
      <c r="K1521" s="804"/>
      <c r="L1521" s="804"/>
      <c r="M1521" s="804"/>
      <c r="N1521" s="804"/>
      <c r="O1521" s="804"/>
      <c r="P1521" s="804"/>
      <c r="Q1521" s="804"/>
      <c r="R1521" s="804"/>
      <c r="S1521" s="804"/>
      <c r="T1521" s="804"/>
      <c r="U1521" s="804"/>
      <c r="V1521" s="804"/>
      <c r="W1521" s="804"/>
      <c r="X1521" s="808">
        <f>E1521</f>
        <v>2700</v>
      </c>
      <c r="Y1521" s="809" t="s">
        <v>2304</v>
      </c>
      <c r="Z1521" s="519"/>
    </row>
    <row r="1522" spans="1:26" ht="15.75" customHeight="1">
      <c r="A1522" s="800">
        <v>45755</v>
      </c>
      <c r="B1522" s="801"/>
      <c r="C1522" s="802" t="s">
        <v>544</v>
      </c>
      <c r="D1522" s="803"/>
      <c r="E1522" s="803"/>
      <c r="F1522" s="801"/>
      <c r="G1522" s="801"/>
      <c r="H1522" s="801"/>
      <c r="I1522" s="801"/>
      <c r="J1522" s="804"/>
      <c r="K1522" s="804"/>
      <c r="L1522" s="804"/>
      <c r="M1522" s="805">
        <v>16.63</v>
      </c>
      <c r="N1522" s="804"/>
      <c r="O1522" s="804"/>
      <c r="P1522" s="804"/>
      <c r="Q1522" s="804"/>
      <c r="R1522" s="804"/>
      <c r="S1522" s="804"/>
      <c r="T1522" s="804"/>
      <c r="U1522" s="804"/>
      <c r="V1522" s="804"/>
      <c r="W1522" s="804"/>
      <c r="X1522" s="808">
        <f>M1522</f>
        <v>16.63</v>
      </c>
      <c r="Y1522" s="809" t="str">
        <f>$M$3</f>
        <v>6673-2</v>
      </c>
      <c r="Z1522" s="519"/>
    </row>
    <row r="1523" spans="1:26" ht="15.75" customHeight="1">
      <c r="A1523" s="800">
        <v>45757</v>
      </c>
      <c r="B1523" s="801"/>
      <c r="C1523" s="802" t="s">
        <v>2342</v>
      </c>
      <c r="D1523" s="803"/>
      <c r="E1523" s="803"/>
      <c r="F1523" s="801"/>
      <c r="G1523" s="801"/>
      <c r="H1523" s="801"/>
      <c r="I1523" s="801"/>
      <c r="J1523" s="804"/>
      <c r="K1523" s="804"/>
      <c r="L1523" s="805">
        <v>404.8</v>
      </c>
      <c r="M1523" s="804"/>
      <c r="N1523" s="804"/>
      <c r="O1523" s="804"/>
      <c r="P1523" s="804"/>
      <c r="Q1523" s="804"/>
      <c r="R1523" s="804"/>
      <c r="S1523" s="804"/>
      <c r="T1523" s="804"/>
      <c r="U1523" s="804"/>
      <c r="V1523" s="804"/>
      <c r="W1523" s="804"/>
      <c r="X1523" s="808">
        <f>L1523</f>
        <v>404.8</v>
      </c>
      <c r="Y1523" s="809" t="str">
        <f>$L$3</f>
        <v>6673-1</v>
      </c>
      <c r="Z1523" s="519"/>
    </row>
    <row r="1524" spans="1:26" ht="15.75" customHeight="1">
      <c r="A1524" s="800">
        <v>45759</v>
      </c>
      <c r="B1524" s="801"/>
      <c r="C1524" s="802" t="s">
        <v>207</v>
      </c>
      <c r="D1524" s="803"/>
      <c r="E1524" s="803"/>
      <c r="F1524" s="801"/>
      <c r="G1524" s="801"/>
      <c r="H1524" s="801"/>
      <c r="I1524" s="801"/>
      <c r="J1524" s="804"/>
      <c r="K1524" s="804"/>
      <c r="L1524" s="804"/>
      <c r="M1524" s="805">
        <v>72.53</v>
      </c>
      <c r="N1524" s="804"/>
      <c r="O1524" s="804"/>
      <c r="P1524" s="804"/>
      <c r="Q1524" s="804"/>
      <c r="R1524" s="804"/>
      <c r="S1524" s="804"/>
      <c r="T1524" s="804"/>
      <c r="U1524" s="804"/>
      <c r="V1524" s="804"/>
      <c r="W1524" s="804"/>
      <c r="X1524" s="808">
        <f>M1524</f>
        <v>72.53</v>
      </c>
      <c r="Y1524" s="809" t="str">
        <f>$M$3</f>
        <v>6673-2</v>
      </c>
      <c r="Z1524" s="519"/>
    </row>
    <row r="1525" spans="1:26" ht="15.75" customHeight="1">
      <c r="A1525" s="800">
        <v>45760</v>
      </c>
      <c r="B1525" s="801"/>
      <c r="C1525" s="802" t="s">
        <v>2311</v>
      </c>
      <c r="D1525" s="803"/>
      <c r="E1525" s="803"/>
      <c r="F1525" s="801"/>
      <c r="G1525" s="801"/>
      <c r="H1525" s="801"/>
      <c r="I1525" s="801"/>
      <c r="J1525" s="804"/>
      <c r="K1525" s="804"/>
      <c r="L1525" s="810">
        <v>3.62</v>
      </c>
      <c r="M1525" s="804"/>
      <c r="N1525" s="804"/>
      <c r="O1525" s="804"/>
      <c r="P1525" s="804"/>
      <c r="Q1525" s="804"/>
      <c r="R1525" s="804"/>
      <c r="S1525" s="804"/>
      <c r="T1525" s="804"/>
      <c r="U1525" s="804"/>
      <c r="V1525" s="804"/>
      <c r="W1525" s="804"/>
      <c r="X1525" s="808">
        <f>L1525</f>
        <v>3.62</v>
      </c>
      <c r="Y1525" s="809" t="str">
        <f>$L$3</f>
        <v>6673-1</v>
      </c>
      <c r="Z1525" s="519"/>
    </row>
    <row r="1526" spans="1:26" ht="15.75" customHeight="1">
      <c r="A1526" s="800">
        <v>45761</v>
      </c>
      <c r="B1526" s="801"/>
      <c r="C1526" s="802" t="s">
        <v>545</v>
      </c>
      <c r="D1526" s="803"/>
      <c r="E1526" s="803"/>
      <c r="F1526" s="801"/>
      <c r="G1526" s="801"/>
      <c r="H1526" s="801"/>
      <c r="I1526" s="801"/>
      <c r="J1526" s="804"/>
      <c r="K1526" s="804"/>
      <c r="L1526" s="804"/>
      <c r="M1526" s="804"/>
      <c r="N1526" s="804"/>
      <c r="O1526" s="804"/>
      <c r="P1526" s="804"/>
      <c r="Q1526" s="804"/>
      <c r="R1526" s="804"/>
      <c r="S1526" s="805">
        <v>11.09</v>
      </c>
      <c r="T1526" s="804"/>
      <c r="U1526" s="804"/>
      <c r="V1526" s="804"/>
      <c r="W1526" s="804"/>
      <c r="X1526" s="808">
        <f>S1526</f>
        <v>11.09</v>
      </c>
      <c r="Y1526" s="809">
        <f>$S$3</f>
        <v>6855</v>
      </c>
      <c r="Z1526" s="519"/>
    </row>
    <row r="1527" spans="1:26" ht="15.75" customHeight="1">
      <c r="A1527" s="800">
        <v>45761</v>
      </c>
      <c r="B1527" s="801"/>
      <c r="C1527" s="802" t="s">
        <v>194</v>
      </c>
      <c r="D1527" s="803"/>
      <c r="E1527" s="803"/>
      <c r="F1527" s="801"/>
      <c r="G1527" s="801"/>
      <c r="H1527" s="801"/>
      <c r="I1527" s="801"/>
      <c r="J1527" s="804"/>
      <c r="K1527" s="804"/>
      <c r="L1527" s="804"/>
      <c r="M1527" s="804"/>
      <c r="N1527" s="804"/>
      <c r="O1527" s="804"/>
      <c r="P1527" s="804"/>
      <c r="Q1527" s="804"/>
      <c r="R1527" s="804"/>
      <c r="S1527" s="805">
        <v>11.5</v>
      </c>
      <c r="T1527" s="804"/>
      <c r="U1527" s="804"/>
      <c r="V1527" s="804"/>
      <c r="W1527" s="804"/>
      <c r="X1527" s="808">
        <f>S1527</f>
        <v>11.5</v>
      </c>
      <c r="Y1527" s="809">
        <f>$S$3</f>
        <v>6855</v>
      </c>
      <c r="Z1527" s="519"/>
    </row>
    <row r="1528" spans="1:26" ht="15.75" customHeight="1">
      <c r="A1528" s="800">
        <v>45761</v>
      </c>
      <c r="B1528" s="801" t="s">
        <v>2167</v>
      </c>
      <c r="C1528" s="802" t="s">
        <v>2303</v>
      </c>
      <c r="D1528" s="803"/>
      <c r="E1528" s="805">
        <v>2410</v>
      </c>
      <c r="F1528" s="801"/>
      <c r="G1528" s="801"/>
      <c r="H1528" s="801"/>
      <c r="I1528" s="801"/>
      <c r="J1528" s="804"/>
      <c r="K1528" s="804"/>
      <c r="L1528" s="804"/>
      <c r="M1528" s="804"/>
      <c r="N1528" s="804"/>
      <c r="O1528" s="804"/>
      <c r="P1528" s="804"/>
      <c r="Q1528" s="804"/>
      <c r="R1528" s="804"/>
      <c r="S1528" s="804"/>
      <c r="T1528" s="804"/>
      <c r="U1528" s="804"/>
      <c r="V1528" s="804"/>
      <c r="W1528" s="804"/>
      <c r="X1528" s="808">
        <f>E1528</f>
        <v>2410</v>
      </c>
      <c r="Y1528" s="809" t="s">
        <v>2304</v>
      </c>
      <c r="Z1528" s="519"/>
    </row>
    <row r="1529" spans="1:26" ht="15.75" customHeight="1">
      <c r="A1529" s="800">
        <v>45761</v>
      </c>
      <c r="B1529" s="801"/>
      <c r="C1529" s="802" t="s">
        <v>426</v>
      </c>
      <c r="D1529" s="803"/>
      <c r="E1529" s="803"/>
      <c r="F1529" s="801"/>
      <c r="G1529" s="801"/>
      <c r="H1529" s="801"/>
      <c r="I1529" s="801"/>
      <c r="J1529" s="804"/>
      <c r="K1529" s="804"/>
      <c r="L1529" s="804"/>
      <c r="M1529" s="804"/>
      <c r="N1529" s="804"/>
      <c r="O1529" s="804"/>
      <c r="P1529" s="804"/>
      <c r="Q1529" s="805">
        <v>35.53</v>
      </c>
      <c r="R1529" s="804"/>
      <c r="S1529" s="804"/>
      <c r="T1529" s="804"/>
      <c r="U1529" s="804"/>
      <c r="V1529" s="804"/>
      <c r="W1529" s="804"/>
      <c r="X1529" s="808">
        <f>Q1529</f>
        <v>35.53</v>
      </c>
      <c r="Y1529" s="809" t="str">
        <f>$Q$3</f>
        <v>6495-2</v>
      </c>
      <c r="Z1529" s="519"/>
    </row>
    <row r="1530" spans="1:26" ht="15.75" customHeight="1">
      <c r="A1530" s="800">
        <v>45762</v>
      </c>
      <c r="B1530" s="801"/>
      <c r="C1530" s="802" t="s">
        <v>394</v>
      </c>
      <c r="D1530" s="803"/>
      <c r="E1530" s="803"/>
      <c r="F1530" s="801"/>
      <c r="G1530" s="801"/>
      <c r="H1530" s="801"/>
      <c r="I1530" s="801"/>
      <c r="J1530" s="804"/>
      <c r="K1530" s="804"/>
      <c r="L1530" s="804"/>
      <c r="M1530" s="804"/>
      <c r="N1530" s="804"/>
      <c r="O1530" s="804"/>
      <c r="P1530" s="804"/>
      <c r="Q1530" s="804"/>
      <c r="R1530" s="804"/>
      <c r="S1530" s="804"/>
      <c r="T1530" s="805">
        <v>18.36</v>
      </c>
      <c r="U1530" s="804"/>
      <c r="V1530" s="804"/>
      <c r="W1530" s="804"/>
      <c r="X1530" s="808">
        <f>T1530</f>
        <v>18.36</v>
      </c>
      <c r="Y1530" s="809">
        <f>$T$3</f>
        <v>2300</v>
      </c>
      <c r="Z1530" s="519"/>
    </row>
    <row r="1531" spans="1:26" ht="15.75" customHeight="1">
      <c r="A1531" s="800">
        <v>45762</v>
      </c>
      <c r="B1531" s="801"/>
      <c r="C1531" s="802" t="s">
        <v>2312</v>
      </c>
      <c r="D1531" s="803"/>
      <c r="E1531" s="803"/>
      <c r="F1531" s="801"/>
      <c r="G1531" s="801"/>
      <c r="H1531" s="805">
        <v>924.69</v>
      </c>
      <c r="I1531" s="804"/>
      <c r="J1531" s="804"/>
      <c r="K1531" s="804"/>
      <c r="L1531" s="804"/>
      <c r="M1531" s="804"/>
      <c r="N1531" s="804"/>
      <c r="O1531" s="804"/>
      <c r="P1531" s="804"/>
      <c r="Q1531" s="804"/>
      <c r="R1531" s="804"/>
      <c r="S1531" s="804"/>
      <c r="T1531" s="804"/>
      <c r="U1531" s="804"/>
      <c r="V1531" s="804"/>
      <c r="W1531" s="804"/>
      <c r="X1531" s="808">
        <f>H1531</f>
        <v>924.69</v>
      </c>
      <c r="Y1531" s="809">
        <f>$H$3</f>
        <v>2200</v>
      </c>
      <c r="Z1531" s="519"/>
    </row>
    <row r="1532" spans="1:26" ht="15.75" customHeight="1">
      <c r="A1532" s="800">
        <v>45763</v>
      </c>
      <c r="B1532" s="801"/>
      <c r="C1532" s="802" t="s">
        <v>2315</v>
      </c>
      <c r="D1532" s="803"/>
      <c r="E1532" s="803"/>
      <c r="F1532" s="801"/>
      <c r="G1532" s="801"/>
      <c r="H1532" s="801"/>
      <c r="I1532" s="801"/>
      <c r="J1532" s="804"/>
      <c r="K1532" s="804"/>
      <c r="L1532" s="804"/>
      <c r="M1532" s="804"/>
      <c r="N1532" s="804"/>
      <c r="O1532" s="804"/>
      <c r="P1532" s="804"/>
      <c r="Q1532" s="805">
        <v>5.39</v>
      </c>
      <c r="R1532" s="804"/>
      <c r="S1532" s="804"/>
      <c r="T1532" s="804"/>
      <c r="U1532" s="804"/>
      <c r="V1532" s="804"/>
      <c r="W1532" s="804"/>
      <c r="X1532" s="808">
        <f>Q1532</f>
        <v>5.39</v>
      </c>
      <c r="Y1532" s="809" t="str">
        <f>$Q$3</f>
        <v>6495-2</v>
      </c>
      <c r="Z1532" s="519"/>
    </row>
    <row r="1533" spans="1:26" ht="15.75" customHeight="1">
      <c r="A1533" s="800">
        <v>45764</v>
      </c>
      <c r="B1533" s="801"/>
      <c r="C1533" s="802" t="s">
        <v>2316</v>
      </c>
      <c r="D1533" s="803"/>
      <c r="E1533" s="803"/>
      <c r="F1533" s="801"/>
      <c r="G1533" s="801"/>
      <c r="H1533" s="801"/>
      <c r="I1533" s="801"/>
      <c r="J1533" s="804"/>
      <c r="K1533" s="805">
        <v>34.99</v>
      </c>
      <c r="L1533" s="804"/>
      <c r="M1533" s="804"/>
      <c r="N1533" s="804"/>
      <c r="O1533" s="804"/>
      <c r="P1533" s="804"/>
      <c r="Q1533" s="804"/>
      <c r="R1533" s="804"/>
      <c r="S1533" s="804"/>
      <c r="T1533" s="804"/>
      <c r="U1533" s="804"/>
      <c r="V1533" s="804"/>
      <c r="W1533" s="804"/>
      <c r="X1533" s="808">
        <f>K1533</f>
        <v>34.99</v>
      </c>
      <c r="Y1533" s="809" t="str">
        <f>$K$3</f>
        <v>6495-1</v>
      </c>
      <c r="Z1533" s="519"/>
    </row>
    <row r="1534" spans="1:26" ht="15.75" customHeight="1">
      <c r="A1534" s="800">
        <v>45764</v>
      </c>
      <c r="B1534" s="801"/>
      <c r="C1534" s="802" t="s">
        <v>207</v>
      </c>
      <c r="D1534" s="803"/>
      <c r="E1534" s="803"/>
      <c r="F1534" s="801"/>
      <c r="G1534" s="801"/>
      <c r="H1534" s="801"/>
      <c r="I1534" s="801"/>
      <c r="J1534" s="804"/>
      <c r="K1534" s="804"/>
      <c r="L1534" s="804"/>
      <c r="M1534" s="805">
        <v>38.19</v>
      </c>
      <c r="N1534" s="804"/>
      <c r="O1534" s="804"/>
      <c r="P1534" s="804"/>
      <c r="Q1534" s="804"/>
      <c r="R1534" s="804"/>
      <c r="S1534" s="804"/>
      <c r="T1534" s="804"/>
      <c r="U1534" s="804"/>
      <c r="V1534" s="804"/>
      <c r="W1534" s="804"/>
      <c r="X1534" s="808">
        <f>M1534</f>
        <v>38.19</v>
      </c>
      <c r="Y1534" s="809" t="str">
        <f>$M$3</f>
        <v>6673-2</v>
      </c>
      <c r="Z1534" s="519"/>
    </row>
    <row r="1535" spans="1:26" ht="15.75" customHeight="1">
      <c r="A1535" s="800">
        <v>45764</v>
      </c>
      <c r="B1535" s="801"/>
      <c r="C1535" s="802" t="s">
        <v>544</v>
      </c>
      <c r="D1535" s="803"/>
      <c r="E1535" s="803"/>
      <c r="F1535" s="801"/>
      <c r="G1535" s="801"/>
      <c r="H1535" s="801"/>
      <c r="I1535" s="801"/>
      <c r="J1535" s="804"/>
      <c r="K1535" s="804"/>
      <c r="L1535" s="804"/>
      <c r="M1535" s="805">
        <v>16.63</v>
      </c>
      <c r="N1535" s="804"/>
      <c r="O1535" s="804"/>
      <c r="P1535" s="804"/>
      <c r="Q1535" s="804"/>
      <c r="R1535" s="804"/>
      <c r="S1535" s="804"/>
      <c r="T1535" s="804"/>
      <c r="U1535" s="804"/>
      <c r="V1535" s="804"/>
      <c r="W1535" s="804"/>
      <c r="X1535" s="808">
        <f>M1535</f>
        <v>16.63</v>
      </c>
      <c r="Y1535" s="809" t="str">
        <f>$M$3</f>
        <v>6673-2</v>
      </c>
      <c r="Z1535" s="519"/>
    </row>
    <row r="1536" spans="1:26" ht="15.75" customHeight="1">
      <c r="A1536" s="800">
        <v>45769</v>
      </c>
      <c r="B1536" s="801"/>
      <c r="C1536" s="802" t="s">
        <v>545</v>
      </c>
      <c r="D1536" s="803"/>
      <c r="E1536" s="803"/>
      <c r="F1536" s="801"/>
      <c r="G1536" s="801"/>
      <c r="H1536" s="801"/>
      <c r="I1536" s="801"/>
      <c r="J1536" s="804"/>
      <c r="K1536" s="804"/>
      <c r="L1536" s="804"/>
      <c r="M1536" s="804"/>
      <c r="N1536" s="804"/>
      <c r="O1536" s="804"/>
      <c r="P1536" s="804"/>
      <c r="Q1536" s="804"/>
      <c r="R1536" s="804"/>
      <c r="S1536" s="805">
        <v>11.09</v>
      </c>
      <c r="T1536" s="804"/>
      <c r="U1536" s="804"/>
      <c r="V1536" s="804"/>
      <c r="W1536" s="804"/>
      <c r="X1536" s="808">
        <f>S1536</f>
        <v>11.09</v>
      </c>
      <c r="Y1536" s="809">
        <f>$S$3</f>
        <v>6855</v>
      </c>
      <c r="Z1536" s="519"/>
    </row>
    <row r="1537" spans="1:26" ht="15.75" customHeight="1">
      <c r="A1537" s="800">
        <v>45769</v>
      </c>
      <c r="B1537" s="801"/>
      <c r="C1537" s="802" t="s">
        <v>2318</v>
      </c>
      <c r="D1537" s="803"/>
      <c r="E1537" s="803"/>
      <c r="F1537" s="801"/>
      <c r="G1537" s="801"/>
      <c r="H1537" s="801"/>
      <c r="I1537" s="801"/>
      <c r="J1537" s="805">
        <v>30.73</v>
      </c>
      <c r="K1537" s="804"/>
      <c r="L1537" s="804"/>
      <c r="M1537" s="804"/>
      <c r="N1537" s="804"/>
      <c r="O1537" s="804"/>
      <c r="P1537" s="804"/>
      <c r="Q1537" s="804"/>
      <c r="R1537" s="804"/>
      <c r="S1537" s="804"/>
      <c r="T1537" s="804"/>
      <c r="U1537" s="804"/>
      <c r="V1537" s="804"/>
      <c r="W1537" s="804"/>
      <c r="X1537" s="808">
        <f>J1537</f>
        <v>30.73</v>
      </c>
      <c r="Y1537" s="809">
        <f>$J$3</f>
        <v>6805</v>
      </c>
      <c r="Z1537" s="519"/>
    </row>
    <row r="1538" spans="1:26" ht="15.75" customHeight="1">
      <c r="A1538" s="800">
        <v>45770</v>
      </c>
      <c r="B1538" s="801"/>
      <c r="C1538" s="802" t="s">
        <v>2319</v>
      </c>
      <c r="D1538" s="803"/>
      <c r="E1538" s="803"/>
      <c r="F1538" s="801"/>
      <c r="G1538" s="801"/>
      <c r="H1538" s="801"/>
      <c r="I1538" s="801"/>
      <c r="J1538" s="805">
        <v>11.73</v>
      </c>
      <c r="K1538" s="804"/>
      <c r="L1538" s="804"/>
      <c r="M1538" s="804"/>
      <c r="N1538" s="804"/>
      <c r="O1538" s="804"/>
      <c r="P1538" s="804"/>
      <c r="Q1538" s="804"/>
      <c r="R1538" s="804"/>
      <c r="S1538" s="804"/>
      <c r="T1538" s="804"/>
      <c r="U1538" s="804"/>
      <c r="V1538" s="804"/>
      <c r="W1538" s="804"/>
      <c r="X1538" s="808">
        <f>J1538</f>
        <v>11.73</v>
      </c>
      <c r="Y1538" s="809">
        <f>$J$3</f>
        <v>6805</v>
      </c>
      <c r="Z1538" s="519"/>
    </row>
    <row r="1539" spans="1:26" ht="15.75" customHeight="1">
      <c r="A1539" s="800">
        <v>45772</v>
      </c>
      <c r="B1539" s="801"/>
      <c r="C1539" s="802" t="s">
        <v>2320</v>
      </c>
      <c r="D1539" s="803"/>
      <c r="E1539" s="803"/>
      <c r="F1539" s="801"/>
      <c r="G1539" s="801"/>
      <c r="H1539" s="801"/>
      <c r="I1539" s="801"/>
      <c r="J1539" s="804"/>
      <c r="K1539" s="804"/>
      <c r="L1539" s="804"/>
      <c r="M1539" s="804"/>
      <c r="N1539" s="804"/>
      <c r="O1539" s="804"/>
      <c r="P1539" s="804"/>
      <c r="Q1539" s="804"/>
      <c r="R1539" s="804"/>
      <c r="S1539" s="805">
        <v>12.47</v>
      </c>
      <c r="T1539" s="804"/>
      <c r="U1539" s="804"/>
      <c r="V1539" s="804"/>
      <c r="W1539" s="804"/>
      <c r="X1539" s="808">
        <f>S1539</f>
        <v>12.47</v>
      </c>
      <c r="Y1539" s="809">
        <f>$S$3</f>
        <v>6855</v>
      </c>
      <c r="Z1539" s="519"/>
    </row>
    <row r="1540" spans="1:26" ht="15.75" customHeight="1">
      <c r="A1540" s="800">
        <v>45772</v>
      </c>
      <c r="B1540" s="801" t="s">
        <v>2168</v>
      </c>
      <c r="C1540" s="802" t="s">
        <v>2323</v>
      </c>
      <c r="D1540" s="810">
        <v>1000</v>
      </c>
      <c r="E1540" s="803"/>
      <c r="F1540" s="801"/>
      <c r="G1540" s="801"/>
      <c r="H1540" s="801"/>
      <c r="I1540" s="801"/>
      <c r="J1540" s="804"/>
      <c r="K1540" s="804"/>
      <c r="L1540" s="804"/>
      <c r="M1540" s="804"/>
      <c r="N1540" s="804"/>
      <c r="O1540" s="804"/>
      <c r="P1540" s="804"/>
      <c r="Q1540" s="804"/>
      <c r="R1540" s="804"/>
      <c r="S1540" s="804"/>
      <c r="T1540" s="804"/>
      <c r="U1540" s="804"/>
      <c r="V1540" s="804"/>
      <c r="W1540" s="804"/>
      <c r="X1540" s="1034">
        <f>D1540</f>
        <v>1000</v>
      </c>
      <c r="Y1540" s="809" t="s">
        <v>2300</v>
      </c>
      <c r="Z1540" s="519"/>
    </row>
    <row r="1541" spans="1:26" ht="15.75" customHeight="1">
      <c r="A1541" s="800">
        <v>45772</v>
      </c>
      <c r="B1541" s="801"/>
      <c r="C1541" s="802" t="s">
        <v>207</v>
      </c>
      <c r="D1541" s="803"/>
      <c r="E1541" s="803"/>
      <c r="F1541" s="801"/>
      <c r="G1541" s="801"/>
      <c r="H1541" s="801"/>
      <c r="I1541" s="801"/>
      <c r="J1541" s="804"/>
      <c r="K1541" s="804"/>
      <c r="L1541" s="804"/>
      <c r="M1541" s="805">
        <v>27.78</v>
      </c>
      <c r="N1541" s="804"/>
      <c r="O1541" s="804"/>
      <c r="P1541" s="804"/>
      <c r="Q1541" s="804"/>
      <c r="R1541" s="804"/>
      <c r="S1541" s="804"/>
      <c r="T1541" s="804"/>
      <c r="U1541" s="804"/>
      <c r="V1541" s="804"/>
      <c r="W1541" s="804"/>
      <c r="X1541" s="808">
        <f>M1541</f>
        <v>27.78</v>
      </c>
      <c r="Y1541" s="809" t="str">
        <f>$M$3</f>
        <v>6673-2</v>
      </c>
      <c r="Z1541" s="519"/>
    </row>
    <row r="1542" spans="1:26" ht="15.75" customHeight="1">
      <c r="A1542" s="800">
        <v>45772</v>
      </c>
      <c r="B1542" s="801"/>
      <c r="C1542" s="802" t="s">
        <v>544</v>
      </c>
      <c r="D1542" s="803"/>
      <c r="E1542" s="803"/>
      <c r="F1542" s="801"/>
      <c r="G1542" s="801"/>
      <c r="H1542" s="801"/>
      <c r="I1542" s="801"/>
      <c r="J1542" s="804"/>
      <c r="K1542" s="804"/>
      <c r="L1542" s="804"/>
      <c r="M1542" s="805">
        <v>16.63</v>
      </c>
      <c r="N1542" s="804"/>
      <c r="O1542" s="804"/>
      <c r="P1542" s="804"/>
      <c r="Q1542" s="804"/>
      <c r="R1542" s="804"/>
      <c r="S1542" s="804"/>
      <c r="T1542" s="804"/>
      <c r="U1542" s="804"/>
      <c r="V1542" s="804"/>
      <c r="W1542" s="804"/>
      <c r="X1542" s="808">
        <f>M1542</f>
        <v>16.63</v>
      </c>
      <c r="Y1542" s="809" t="str">
        <f>$M$3</f>
        <v>6673-2</v>
      </c>
      <c r="Z1542" s="519"/>
    </row>
    <row r="1543" spans="1:26" ht="15.75" customHeight="1">
      <c r="A1543" s="800">
        <v>45776</v>
      </c>
      <c r="B1543" s="801"/>
      <c r="C1543" s="802" t="s">
        <v>545</v>
      </c>
      <c r="D1543" s="803"/>
      <c r="E1543" s="803"/>
      <c r="F1543" s="801"/>
      <c r="G1543" s="801"/>
      <c r="H1543" s="801"/>
      <c r="I1543" s="801"/>
      <c r="J1543" s="804"/>
      <c r="K1543" s="804"/>
      <c r="L1543" s="804"/>
      <c r="M1543" s="804"/>
      <c r="N1543" s="804"/>
      <c r="O1543" s="804"/>
      <c r="P1543" s="804"/>
      <c r="Q1543" s="804"/>
      <c r="R1543" s="804"/>
      <c r="S1543" s="805">
        <v>11.09</v>
      </c>
      <c r="T1543" s="804"/>
      <c r="U1543" s="804"/>
      <c r="V1543" s="804"/>
      <c r="W1543" s="804"/>
      <c r="X1543" s="808">
        <f>S1543</f>
        <v>11.09</v>
      </c>
      <c r="Y1543" s="809">
        <f>$S$3</f>
        <v>6855</v>
      </c>
      <c r="Z1543" s="519"/>
    </row>
    <row r="1544" spans="1:26" ht="15.75" customHeight="1">
      <c r="A1544" s="800">
        <v>45777</v>
      </c>
      <c r="B1544" s="801"/>
      <c r="C1544" s="802" t="s">
        <v>2321</v>
      </c>
      <c r="D1544" s="803"/>
      <c r="E1544" s="805">
        <v>636.87</v>
      </c>
      <c r="F1544" s="801"/>
      <c r="G1544" s="801"/>
      <c r="H1544" s="801"/>
      <c r="I1544" s="801"/>
      <c r="J1544" s="804"/>
      <c r="K1544" s="804"/>
      <c r="L1544" s="804"/>
      <c r="M1544" s="804"/>
      <c r="N1544" s="804"/>
      <c r="O1544" s="804"/>
      <c r="P1544" s="804"/>
      <c r="Q1544" s="804"/>
      <c r="R1544" s="804"/>
      <c r="S1544" s="804"/>
      <c r="T1544" s="804"/>
      <c r="U1544" s="804"/>
      <c r="V1544" s="804"/>
      <c r="W1544" s="804"/>
      <c r="X1544" s="808">
        <f>E1544</f>
        <v>636.87</v>
      </c>
      <c r="Y1544" s="809" t="s">
        <v>2304</v>
      </c>
      <c r="Z1544" s="519"/>
    </row>
    <row r="1545" spans="1:26" ht="15.75" customHeight="1">
      <c r="A1545" s="800">
        <v>45777</v>
      </c>
      <c r="B1545" s="801"/>
      <c r="C1545" s="802" t="s">
        <v>440</v>
      </c>
      <c r="D1545" s="803"/>
      <c r="E1545" s="803"/>
      <c r="F1545" s="801"/>
      <c r="G1545" s="801"/>
      <c r="H1545" s="801"/>
      <c r="I1545" s="801"/>
      <c r="J1545" s="804"/>
      <c r="K1545" s="804"/>
      <c r="L1545" s="805">
        <v>82.88</v>
      </c>
      <c r="M1545" s="804"/>
      <c r="N1545" s="804"/>
      <c r="O1545" s="804"/>
      <c r="P1545" s="804"/>
      <c r="Q1545" s="804"/>
      <c r="R1545" s="804"/>
      <c r="S1545" s="804"/>
      <c r="T1545" s="804"/>
      <c r="U1545" s="804"/>
      <c r="V1545" s="804"/>
      <c r="W1545" s="804"/>
      <c r="X1545" s="808">
        <f>L1545</f>
        <v>82.88</v>
      </c>
      <c r="Y1545" s="809" t="str">
        <f>$L$3</f>
        <v>6673-1</v>
      </c>
      <c r="Z1545" s="519"/>
    </row>
    <row r="1546" spans="1:26" ht="15.75" customHeight="1">
      <c r="A1546" s="800"/>
      <c r="B1546" s="801"/>
      <c r="C1546" s="802"/>
      <c r="D1546" s="803"/>
      <c r="E1546" s="803"/>
      <c r="F1546" s="801"/>
      <c r="G1546" s="801"/>
      <c r="H1546" s="801"/>
      <c r="I1546" s="801"/>
      <c r="J1546" s="804"/>
      <c r="K1546" s="804"/>
      <c r="L1546" s="812"/>
      <c r="M1546" s="804"/>
      <c r="N1546" s="804"/>
      <c r="O1546" s="804"/>
      <c r="P1546" s="804"/>
      <c r="Q1546" s="804"/>
      <c r="R1546" s="804"/>
      <c r="S1546" s="804"/>
      <c r="T1546" s="804"/>
      <c r="U1546" s="804"/>
      <c r="V1546" s="804"/>
      <c r="W1546" s="804"/>
      <c r="X1546" s="811"/>
      <c r="Y1546" s="809"/>
      <c r="Z1546" s="519"/>
    </row>
    <row r="1547" spans="1:26" ht="15.75" customHeight="1">
      <c r="A1547" s="795"/>
      <c r="B1547" s="796">
        <v>45778</v>
      </c>
      <c r="C1547" s="795"/>
      <c r="D1547" s="795"/>
      <c r="E1547" s="795"/>
      <c r="F1547" s="795"/>
      <c r="G1547" s="795"/>
      <c r="H1547" s="795"/>
      <c r="I1547" s="795"/>
      <c r="J1547" s="795"/>
      <c r="K1547" s="795"/>
      <c r="L1547" s="795"/>
      <c r="M1547" s="795"/>
      <c r="N1547" s="795"/>
      <c r="O1547" s="795"/>
      <c r="P1547" s="795"/>
      <c r="Q1547" s="795"/>
      <c r="R1547" s="795"/>
      <c r="S1547" s="795"/>
      <c r="T1547" s="795"/>
      <c r="U1547" s="795"/>
      <c r="V1547" s="795"/>
      <c r="W1547" s="795"/>
      <c r="X1547" s="797"/>
      <c r="Y1547" s="798"/>
      <c r="Z1547" s="519"/>
    </row>
    <row r="1548" spans="1:26" ht="15.75" customHeight="1">
      <c r="A1548" s="800">
        <v>45778</v>
      </c>
      <c r="B1548" s="801"/>
      <c r="C1548" s="802" t="s">
        <v>2295</v>
      </c>
      <c r="D1548" s="803"/>
      <c r="E1548" s="803"/>
      <c r="F1548" s="801"/>
      <c r="G1548" s="801"/>
      <c r="H1548" s="801"/>
      <c r="I1548" s="801"/>
      <c r="J1548" s="804"/>
      <c r="K1548" s="804"/>
      <c r="L1548" s="804"/>
      <c r="M1548" s="804"/>
      <c r="N1548" s="804"/>
      <c r="O1548" s="804"/>
      <c r="P1548" s="804"/>
      <c r="Q1548" s="805">
        <v>23</v>
      </c>
      <c r="R1548" s="804"/>
      <c r="S1548" s="804"/>
      <c r="T1548" s="804"/>
      <c r="U1548" s="804"/>
      <c r="V1548" s="804"/>
      <c r="W1548" s="804"/>
      <c r="X1548" s="808">
        <f>Q1548</f>
        <v>23</v>
      </c>
      <c r="Y1548" s="809" t="str">
        <f>$Q$3</f>
        <v>6495-2</v>
      </c>
      <c r="Z1548" s="519"/>
    </row>
    <row r="1549" spans="1:26" ht="15.75" customHeight="1">
      <c r="A1549" s="800">
        <v>45778</v>
      </c>
      <c r="B1549" s="801" t="s">
        <v>2170</v>
      </c>
      <c r="C1549" s="802" t="s">
        <v>2307</v>
      </c>
      <c r="D1549" s="810">
        <v>550</v>
      </c>
      <c r="E1549" s="803"/>
      <c r="F1549" s="801"/>
      <c r="G1549" s="801"/>
      <c r="H1549" s="801"/>
      <c r="I1549" s="801"/>
      <c r="J1549" s="804"/>
      <c r="K1549" s="804"/>
      <c r="L1549" s="804"/>
      <c r="M1549" s="804"/>
      <c r="N1549" s="804"/>
      <c r="O1549" s="804"/>
      <c r="P1549" s="804"/>
      <c r="Q1549" s="804"/>
      <c r="R1549" s="804"/>
      <c r="S1549" s="804"/>
      <c r="T1549" s="804"/>
      <c r="U1549" s="804"/>
      <c r="V1549" s="804"/>
      <c r="W1549" s="804"/>
      <c r="X1549" s="1034">
        <f>D1549</f>
        <v>550</v>
      </c>
      <c r="Y1549" s="809" t="s">
        <v>2300</v>
      </c>
      <c r="Z1549" s="519"/>
    </row>
    <row r="1550" spans="1:26" ht="15.75" customHeight="1">
      <c r="A1550" s="800">
        <v>45779</v>
      </c>
      <c r="B1550" s="801"/>
      <c r="C1550" s="802" t="s">
        <v>2343</v>
      </c>
      <c r="D1550" s="803"/>
      <c r="E1550" s="803"/>
      <c r="F1550" s="801"/>
      <c r="G1550" s="801"/>
      <c r="H1550" s="801"/>
      <c r="I1550" s="801"/>
      <c r="J1550" s="804"/>
      <c r="K1550" s="804"/>
      <c r="L1550" s="804"/>
      <c r="M1550" s="804"/>
      <c r="N1550" s="804"/>
      <c r="O1550" s="804"/>
      <c r="P1550" s="804"/>
      <c r="Q1550" s="805">
        <v>12.68</v>
      </c>
      <c r="R1550" s="804"/>
      <c r="S1550" s="804"/>
      <c r="T1550" s="804"/>
      <c r="U1550" s="804"/>
      <c r="V1550" s="804"/>
      <c r="W1550" s="804"/>
      <c r="X1550" s="808">
        <f>Q1550</f>
        <v>12.68</v>
      </c>
      <c r="Y1550" s="809" t="str">
        <f>$Q$3</f>
        <v>6495-2</v>
      </c>
      <c r="Z1550" s="519"/>
    </row>
    <row r="1551" spans="1:26" ht="15.75" customHeight="1">
      <c r="A1551" s="800">
        <v>45779</v>
      </c>
      <c r="B1551" s="801"/>
      <c r="C1551" s="802" t="s">
        <v>2296</v>
      </c>
      <c r="D1551" s="803"/>
      <c r="E1551" s="803"/>
      <c r="F1551" s="801"/>
      <c r="G1551" s="801"/>
      <c r="H1551" s="801"/>
      <c r="I1551" s="801"/>
      <c r="J1551" s="804"/>
      <c r="K1551" s="804"/>
      <c r="L1551" s="804"/>
      <c r="M1551" s="805">
        <v>58</v>
      </c>
      <c r="N1551" s="804"/>
      <c r="O1551" s="804"/>
      <c r="P1551" s="804"/>
      <c r="Q1551" s="804"/>
      <c r="R1551" s="804"/>
      <c r="S1551" s="804"/>
      <c r="T1551" s="804"/>
      <c r="U1551" s="804"/>
      <c r="V1551" s="804"/>
      <c r="W1551" s="804"/>
      <c r="X1551" s="808">
        <f>M1551</f>
        <v>58</v>
      </c>
      <c r="Y1551" s="809" t="str">
        <f>$M$3</f>
        <v>6673-2</v>
      </c>
      <c r="Z1551" s="519"/>
    </row>
    <row r="1552" spans="1:26" ht="15.75" customHeight="1">
      <c r="A1552" s="800">
        <v>45779</v>
      </c>
      <c r="B1552" s="801"/>
      <c r="C1552" s="802" t="s">
        <v>2297</v>
      </c>
      <c r="D1552" s="803"/>
      <c r="E1552" s="803"/>
      <c r="F1552" s="801"/>
      <c r="G1552" s="801"/>
      <c r="H1552" s="801"/>
      <c r="I1552" s="801"/>
      <c r="J1552" s="804"/>
      <c r="K1552" s="804"/>
      <c r="L1552" s="804"/>
      <c r="M1552" s="804"/>
      <c r="N1552" s="804"/>
      <c r="O1552" s="804"/>
      <c r="P1552" s="804"/>
      <c r="Q1552" s="804"/>
      <c r="R1552" s="804"/>
      <c r="S1552" s="804"/>
      <c r="T1552" s="805">
        <v>80</v>
      </c>
      <c r="U1552" s="804"/>
      <c r="V1552" s="804"/>
      <c r="W1552" s="804"/>
      <c r="X1552" s="808">
        <f>T1552</f>
        <v>80</v>
      </c>
      <c r="Y1552" s="809">
        <f>$T$3</f>
        <v>2300</v>
      </c>
      <c r="Z1552" s="519"/>
    </row>
    <row r="1553" spans="1:26" ht="15.75" customHeight="1">
      <c r="A1553" s="800">
        <v>45779</v>
      </c>
      <c r="B1553" s="801"/>
      <c r="C1553" s="802" t="s">
        <v>2298</v>
      </c>
      <c r="D1553" s="803"/>
      <c r="E1553" s="803"/>
      <c r="F1553" s="801"/>
      <c r="G1553" s="801"/>
      <c r="H1553" s="801"/>
      <c r="I1553" s="801"/>
      <c r="J1553" s="804"/>
      <c r="K1553" s="804"/>
      <c r="L1553" s="804"/>
      <c r="M1553" s="804"/>
      <c r="N1553" s="804"/>
      <c r="O1553" s="804"/>
      <c r="P1553" s="804"/>
      <c r="Q1553" s="804"/>
      <c r="R1553" s="804"/>
      <c r="S1553" s="804"/>
      <c r="T1553" s="805">
        <v>277.60000000000002</v>
      </c>
      <c r="U1553" s="804"/>
      <c r="V1553" s="804"/>
      <c r="W1553" s="804"/>
      <c r="X1553" s="808">
        <f>T1553</f>
        <v>277.60000000000002</v>
      </c>
      <c r="Y1553" s="809">
        <f>$T$3</f>
        <v>2300</v>
      </c>
      <c r="Z1553" s="519"/>
    </row>
    <row r="1554" spans="1:26" ht="15.75" customHeight="1">
      <c r="A1554" s="800">
        <v>45782</v>
      </c>
      <c r="B1554" s="801" t="s">
        <v>2288</v>
      </c>
      <c r="C1554" s="802" t="s">
        <v>2322</v>
      </c>
      <c r="D1554" s="803"/>
      <c r="E1554" s="805">
        <v>2000</v>
      </c>
      <c r="F1554" s="801"/>
      <c r="G1554" s="801"/>
      <c r="H1554" s="801"/>
      <c r="I1554" s="801"/>
      <c r="J1554" s="804"/>
      <c r="K1554" s="804"/>
      <c r="L1554" s="804"/>
      <c r="M1554" s="804"/>
      <c r="N1554" s="804"/>
      <c r="O1554" s="804"/>
      <c r="P1554" s="804"/>
      <c r="Q1554" s="804"/>
      <c r="R1554" s="804"/>
      <c r="S1554" s="804"/>
      <c r="T1554" s="804"/>
      <c r="U1554" s="804"/>
      <c r="V1554" s="804"/>
      <c r="W1554" s="804"/>
      <c r="X1554" s="808">
        <f>E1554</f>
        <v>2000</v>
      </c>
      <c r="Y1554" s="809" t="s">
        <v>2304</v>
      </c>
      <c r="Z1554" s="519"/>
    </row>
    <row r="1555" spans="1:26" ht="15.75" customHeight="1">
      <c r="A1555" s="800">
        <v>45784</v>
      </c>
      <c r="B1555" s="801"/>
      <c r="C1555" s="802" t="s">
        <v>426</v>
      </c>
      <c r="D1555" s="803"/>
      <c r="E1555" s="803"/>
      <c r="F1555" s="801"/>
      <c r="G1555" s="801"/>
      <c r="H1555" s="801"/>
      <c r="I1555" s="801"/>
      <c r="J1555" s="804"/>
      <c r="K1555" s="804"/>
      <c r="L1555" s="804"/>
      <c r="M1555" s="804"/>
      <c r="N1555" s="804"/>
      <c r="O1555" s="804"/>
      <c r="P1555" s="804"/>
      <c r="Q1555" s="805">
        <v>35.85</v>
      </c>
      <c r="R1555" s="804"/>
      <c r="S1555" s="804"/>
      <c r="T1555" s="804"/>
      <c r="U1555" s="804"/>
      <c r="V1555" s="804"/>
      <c r="W1555" s="804"/>
      <c r="X1555" s="808">
        <f>Q1555</f>
        <v>35.85</v>
      </c>
      <c r="Y1555" s="809" t="str">
        <f>$Q$3</f>
        <v>6495-2</v>
      </c>
      <c r="Z1555" s="519"/>
    </row>
    <row r="1556" spans="1:26" ht="15.75" customHeight="1">
      <c r="A1556" s="800">
        <v>45786</v>
      </c>
      <c r="B1556" s="801" t="s">
        <v>2344</v>
      </c>
      <c r="C1556" s="802" t="s">
        <v>2299</v>
      </c>
      <c r="D1556" s="810">
        <v>31657</v>
      </c>
      <c r="E1556" s="803"/>
      <c r="F1556" s="801"/>
      <c r="G1556" s="801"/>
      <c r="H1556" s="801"/>
      <c r="I1556" s="801"/>
      <c r="J1556" s="804"/>
      <c r="K1556" s="804"/>
      <c r="L1556" s="804"/>
      <c r="M1556" s="804"/>
      <c r="N1556" s="804"/>
      <c r="O1556" s="804"/>
      <c r="P1556" s="804"/>
      <c r="Q1556" s="804"/>
      <c r="R1556" s="804"/>
      <c r="S1556" s="804"/>
      <c r="T1556" s="804"/>
      <c r="U1556" s="804"/>
      <c r="V1556" s="804"/>
      <c r="W1556" s="804"/>
      <c r="X1556" s="1034">
        <f>D1556</f>
        <v>31657</v>
      </c>
      <c r="Y1556" s="809" t="s">
        <v>2300</v>
      </c>
      <c r="Z1556" s="519"/>
    </row>
    <row r="1557" spans="1:26" ht="15.75" customHeight="1">
      <c r="A1557" s="800">
        <v>45791</v>
      </c>
      <c r="B1557" s="801"/>
      <c r="C1557" s="802" t="s">
        <v>194</v>
      </c>
      <c r="D1557" s="803"/>
      <c r="E1557" s="803"/>
      <c r="F1557" s="801"/>
      <c r="G1557" s="801"/>
      <c r="H1557" s="801"/>
      <c r="I1557" s="801"/>
      <c r="J1557" s="804"/>
      <c r="K1557" s="804"/>
      <c r="L1557" s="804"/>
      <c r="M1557" s="804"/>
      <c r="N1557" s="804"/>
      <c r="O1557" s="804"/>
      <c r="P1557" s="804"/>
      <c r="Q1557" s="804"/>
      <c r="R1557" s="804"/>
      <c r="S1557" s="805">
        <v>11.5</v>
      </c>
      <c r="T1557" s="804"/>
      <c r="U1557" s="804"/>
      <c r="V1557" s="804"/>
      <c r="W1557" s="804"/>
      <c r="X1557" s="808">
        <f>S1557</f>
        <v>11.5</v>
      </c>
      <c r="Y1557" s="809">
        <f>$S$3</f>
        <v>6855</v>
      </c>
      <c r="Z1557" s="519"/>
    </row>
    <row r="1558" spans="1:26" ht="15.75" customHeight="1">
      <c r="A1558" s="800">
        <v>45791</v>
      </c>
      <c r="B1558" s="801"/>
      <c r="C1558" s="802" t="s">
        <v>2345</v>
      </c>
      <c r="D1558" s="803"/>
      <c r="E1558" s="803"/>
      <c r="F1558" s="801"/>
      <c r="G1558" s="801"/>
      <c r="H1558" s="801"/>
      <c r="I1558" s="801"/>
      <c r="J1558" s="804"/>
      <c r="K1558" s="804"/>
      <c r="L1558" s="805">
        <v>432.84</v>
      </c>
      <c r="M1558" s="804"/>
      <c r="N1558" s="804"/>
      <c r="O1558" s="804"/>
      <c r="P1558" s="804"/>
      <c r="Q1558" s="804"/>
      <c r="R1558" s="804"/>
      <c r="S1558" s="804"/>
      <c r="T1558" s="804"/>
      <c r="U1558" s="804"/>
      <c r="V1558" s="804"/>
      <c r="W1558" s="804"/>
      <c r="X1558" s="808">
        <f>L1558</f>
        <v>432.84</v>
      </c>
      <c r="Y1558" s="809" t="str">
        <f>$L$3</f>
        <v>6673-1</v>
      </c>
      <c r="Z1558" s="519"/>
    </row>
    <row r="1559" spans="1:26" ht="15.75" customHeight="1">
      <c r="A1559" s="800">
        <v>45792</v>
      </c>
      <c r="B1559" s="801"/>
      <c r="C1559" s="802" t="s">
        <v>394</v>
      </c>
      <c r="D1559" s="803"/>
      <c r="E1559" s="803"/>
      <c r="F1559" s="801"/>
      <c r="G1559" s="801"/>
      <c r="H1559" s="801"/>
      <c r="I1559" s="801"/>
      <c r="J1559" s="804"/>
      <c r="K1559" s="804"/>
      <c r="L1559" s="804"/>
      <c r="M1559" s="804"/>
      <c r="N1559" s="804"/>
      <c r="O1559" s="804"/>
      <c r="P1559" s="804"/>
      <c r="Q1559" s="804"/>
      <c r="R1559" s="804"/>
      <c r="S1559" s="804"/>
      <c r="T1559" s="805">
        <v>18.36</v>
      </c>
      <c r="U1559" s="804"/>
      <c r="V1559" s="804"/>
      <c r="W1559" s="804"/>
      <c r="X1559" s="808">
        <f>T1559</f>
        <v>18.36</v>
      </c>
      <c r="Y1559" s="809">
        <f>$T$3</f>
        <v>2300</v>
      </c>
      <c r="Z1559" s="519"/>
    </row>
    <row r="1560" spans="1:26" ht="15.75" customHeight="1">
      <c r="A1560" s="800">
        <v>45792</v>
      </c>
      <c r="B1560" s="801"/>
      <c r="C1560" s="802" t="s">
        <v>2312</v>
      </c>
      <c r="D1560" s="803"/>
      <c r="E1560" s="803"/>
      <c r="F1560" s="801"/>
      <c r="G1560" s="801"/>
      <c r="H1560" s="805">
        <v>924.69</v>
      </c>
      <c r="I1560" s="804"/>
      <c r="J1560" s="804"/>
      <c r="K1560" s="804"/>
      <c r="L1560" s="804"/>
      <c r="M1560" s="804"/>
      <c r="N1560" s="804"/>
      <c r="O1560" s="804"/>
      <c r="P1560" s="804"/>
      <c r="Q1560" s="804"/>
      <c r="R1560" s="804"/>
      <c r="S1560" s="804"/>
      <c r="T1560" s="804"/>
      <c r="U1560" s="804"/>
      <c r="V1560" s="804"/>
      <c r="W1560" s="804"/>
      <c r="X1560" s="808">
        <f>H1560</f>
        <v>924.69</v>
      </c>
      <c r="Y1560" s="809">
        <f>$H$3</f>
        <v>2200</v>
      </c>
      <c r="Z1560" s="519"/>
    </row>
    <row r="1561" spans="1:26" ht="15.75" customHeight="1">
      <c r="A1561" s="800">
        <v>45793</v>
      </c>
      <c r="B1561" s="801"/>
      <c r="C1561" s="802" t="s">
        <v>2327</v>
      </c>
      <c r="D1561" s="803"/>
      <c r="E1561" s="803"/>
      <c r="F1561" s="805">
        <v>17.5</v>
      </c>
      <c r="G1561" s="801"/>
      <c r="H1561" s="801"/>
      <c r="I1561" s="801"/>
      <c r="J1561" s="804"/>
      <c r="K1561" s="804"/>
      <c r="L1561" s="804"/>
      <c r="M1561" s="804"/>
      <c r="N1561" s="804"/>
      <c r="O1561" s="804"/>
      <c r="P1561" s="804"/>
      <c r="Q1561" s="804"/>
      <c r="R1561" s="804"/>
      <c r="S1561" s="804"/>
      <c r="T1561" s="804"/>
      <c r="U1561" s="804"/>
      <c r="V1561" s="804"/>
      <c r="W1561" s="804"/>
      <c r="X1561" s="808">
        <f>F1561</f>
        <v>17.5</v>
      </c>
      <c r="Y1561" s="809" t="s">
        <v>2325</v>
      </c>
      <c r="Z1561" s="519"/>
    </row>
    <row r="1562" spans="1:26" ht="15.75" customHeight="1">
      <c r="A1562" s="800">
        <v>45793</v>
      </c>
      <c r="B1562" s="801"/>
      <c r="C1562" s="802" t="s">
        <v>2315</v>
      </c>
      <c r="D1562" s="803"/>
      <c r="E1562" s="803"/>
      <c r="F1562" s="801"/>
      <c r="G1562" s="801"/>
      <c r="H1562" s="801"/>
      <c r="I1562" s="801"/>
      <c r="J1562" s="804"/>
      <c r="K1562" s="804"/>
      <c r="L1562" s="804"/>
      <c r="M1562" s="804"/>
      <c r="N1562" s="804"/>
      <c r="O1562" s="804"/>
      <c r="P1562" s="804"/>
      <c r="Q1562" s="805">
        <v>5.39</v>
      </c>
      <c r="R1562" s="804"/>
      <c r="S1562" s="804"/>
      <c r="T1562" s="804"/>
      <c r="U1562" s="804"/>
      <c r="V1562" s="804"/>
      <c r="W1562" s="804"/>
      <c r="X1562" s="808">
        <f>Q1562</f>
        <v>5.39</v>
      </c>
      <c r="Y1562" s="809" t="str">
        <f>$Q$3</f>
        <v>6495-2</v>
      </c>
      <c r="Z1562" s="519"/>
    </row>
    <row r="1563" spans="1:26" ht="15.75" customHeight="1">
      <c r="A1563" s="800">
        <v>45793</v>
      </c>
      <c r="B1563" s="801" t="s">
        <v>2172</v>
      </c>
      <c r="C1563" s="802" t="s">
        <v>2341</v>
      </c>
      <c r="D1563" s="803"/>
      <c r="E1563" s="805">
        <v>3900</v>
      </c>
      <c r="F1563" s="801"/>
      <c r="G1563" s="801"/>
      <c r="H1563" s="801"/>
      <c r="I1563" s="801"/>
      <c r="J1563" s="804"/>
      <c r="K1563" s="804"/>
      <c r="L1563" s="804"/>
      <c r="M1563" s="804"/>
      <c r="N1563" s="804"/>
      <c r="O1563" s="804"/>
      <c r="P1563" s="804"/>
      <c r="Q1563" s="804"/>
      <c r="R1563" s="804"/>
      <c r="S1563" s="804"/>
      <c r="T1563" s="804"/>
      <c r="U1563" s="804"/>
      <c r="V1563" s="804"/>
      <c r="W1563" s="804"/>
      <c r="X1563" s="808">
        <f>E1563</f>
        <v>3900</v>
      </c>
      <c r="Y1563" s="809" t="s">
        <v>2304</v>
      </c>
      <c r="Z1563" s="519"/>
    </row>
    <row r="1564" spans="1:26" ht="15.75" customHeight="1">
      <c r="A1564" s="800">
        <v>45796</v>
      </c>
      <c r="B1564" s="801"/>
      <c r="C1564" s="802" t="s">
        <v>2316</v>
      </c>
      <c r="D1564" s="803"/>
      <c r="E1564" s="803"/>
      <c r="F1564" s="801"/>
      <c r="G1564" s="801"/>
      <c r="H1564" s="801"/>
      <c r="I1564" s="801"/>
      <c r="J1564" s="804"/>
      <c r="K1564" s="805">
        <v>34.99</v>
      </c>
      <c r="L1564" s="804"/>
      <c r="M1564" s="804"/>
      <c r="N1564" s="804"/>
      <c r="O1564" s="804"/>
      <c r="P1564" s="804"/>
      <c r="Q1564" s="804"/>
      <c r="R1564" s="804"/>
      <c r="S1564" s="804"/>
      <c r="T1564" s="804"/>
      <c r="U1564" s="804"/>
      <c r="V1564" s="804"/>
      <c r="W1564" s="804"/>
      <c r="X1564" s="808">
        <f>K1564</f>
        <v>34.99</v>
      </c>
      <c r="Y1564" s="809" t="str">
        <f>$K$3</f>
        <v>6495-1</v>
      </c>
      <c r="Z1564" s="519"/>
    </row>
    <row r="1565" spans="1:26" ht="15.75" customHeight="1">
      <c r="A1565" s="800">
        <v>45796</v>
      </c>
      <c r="B1565" s="801"/>
      <c r="C1565" s="802" t="s">
        <v>2346</v>
      </c>
      <c r="D1565" s="803"/>
      <c r="E1565" s="803"/>
      <c r="F1565" s="805">
        <v>3000</v>
      </c>
      <c r="G1565" s="801"/>
      <c r="H1565" s="801"/>
      <c r="I1565" s="801"/>
      <c r="J1565" s="804"/>
      <c r="K1565" s="804"/>
      <c r="L1565" s="804"/>
      <c r="M1565" s="804"/>
      <c r="N1565" s="804"/>
      <c r="O1565" s="804"/>
      <c r="P1565" s="804"/>
      <c r="Q1565" s="804"/>
      <c r="R1565" s="804"/>
      <c r="S1565" s="804"/>
      <c r="T1565" s="804"/>
      <c r="U1565" s="804"/>
      <c r="V1565" s="804"/>
      <c r="W1565" s="804"/>
      <c r="X1565" s="808">
        <f>F1565</f>
        <v>3000</v>
      </c>
      <c r="Y1565" s="809" t="s">
        <v>2325</v>
      </c>
      <c r="Z1565" s="519"/>
    </row>
    <row r="1566" spans="1:26" ht="15.75" customHeight="1">
      <c r="A1566" s="800">
        <v>45796</v>
      </c>
      <c r="B1566" s="801"/>
      <c r="C1566" s="802" t="s">
        <v>2347</v>
      </c>
      <c r="D1566" s="803"/>
      <c r="E1566" s="803"/>
      <c r="F1566" s="801"/>
      <c r="G1566" s="810">
        <v>5550</v>
      </c>
      <c r="H1566" s="801"/>
      <c r="I1566" s="801"/>
      <c r="J1566" s="804"/>
      <c r="K1566" s="804"/>
      <c r="L1566" s="804"/>
      <c r="M1566" s="804"/>
      <c r="N1566" s="804"/>
      <c r="O1566" s="804"/>
      <c r="P1566" s="804"/>
      <c r="Q1566" s="804"/>
      <c r="R1566" s="804"/>
      <c r="S1566" s="804"/>
      <c r="T1566" s="804"/>
      <c r="U1566" s="804"/>
      <c r="V1566" s="804"/>
      <c r="W1566" s="804"/>
      <c r="X1566" s="808">
        <f>G1566</f>
        <v>5550</v>
      </c>
      <c r="Y1566" s="809" t="s">
        <v>2348</v>
      </c>
      <c r="Z1566" s="519"/>
    </row>
    <row r="1567" spans="1:26" ht="15.75" customHeight="1">
      <c r="A1567" s="800">
        <v>45796</v>
      </c>
      <c r="B1567" s="801"/>
      <c r="C1567" s="802" t="s">
        <v>2302</v>
      </c>
      <c r="D1567" s="803"/>
      <c r="E1567" s="803"/>
      <c r="F1567" s="801"/>
      <c r="G1567" s="801"/>
      <c r="H1567" s="801"/>
      <c r="I1567" s="801"/>
      <c r="J1567" s="804"/>
      <c r="K1567" s="804"/>
      <c r="L1567" s="804"/>
      <c r="M1567" s="804"/>
      <c r="N1567" s="805">
        <v>950</v>
      </c>
      <c r="O1567" s="804"/>
      <c r="P1567" s="804"/>
      <c r="Q1567" s="804"/>
      <c r="R1567" s="804"/>
      <c r="S1567" s="804"/>
      <c r="T1567" s="804"/>
      <c r="U1567" s="804"/>
      <c r="V1567" s="804"/>
      <c r="W1567" s="804"/>
      <c r="X1567" s="808">
        <f>N1567</f>
        <v>950</v>
      </c>
      <c r="Y1567" s="809">
        <f>$N$3</f>
        <v>6680</v>
      </c>
      <c r="Z1567" s="519"/>
    </row>
    <row r="1568" spans="1:26" ht="15.75" customHeight="1">
      <c r="A1568" s="800">
        <v>45796</v>
      </c>
      <c r="B1568" s="801"/>
      <c r="C1568" s="802" t="s">
        <v>2324</v>
      </c>
      <c r="D1568" s="803"/>
      <c r="E1568" s="803"/>
      <c r="F1568" s="805">
        <v>1100</v>
      </c>
      <c r="G1568" s="801"/>
      <c r="H1568" s="801"/>
      <c r="I1568" s="801"/>
      <c r="J1568" s="804"/>
      <c r="K1568" s="804"/>
      <c r="L1568" s="804"/>
      <c r="M1568" s="804"/>
      <c r="N1568" s="804"/>
      <c r="O1568" s="804"/>
      <c r="P1568" s="804"/>
      <c r="Q1568" s="804"/>
      <c r="R1568" s="804"/>
      <c r="S1568" s="804"/>
      <c r="T1568" s="804"/>
      <c r="U1568" s="804"/>
      <c r="V1568" s="804"/>
      <c r="W1568" s="804"/>
      <c r="X1568" s="808">
        <f>F1568</f>
        <v>1100</v>
      </c>
      <c r="Y1568" s="809" t="s">
        <v>2325</v>
      </c>
      <c r="Z1568" s="519"/>
    </row>
    <row r="1569" spans="1:26" ht="15.75" customHeight="1">
      <c r="A1569" s="800">
        <v>45797</v>
      </c>
      <c r="B1569" s="801"/>
      <c r="C1569" s="802" t="s">
        <v>2318</v>
      </c>
      <c r="D1569" s="803"/>
      <c r="E1569" s="803"/>
      <c r="F1569" s="801"/>
      <c r="G1569" s="801"/>
      <c r="H1569" s="801"/>
      <c r="I1569" s="801"/>
      <c r="J1569" s="805">
        <v>20.2</v>
      </c>
      <c r="K1569" s="804"/>
      <c r="L1569" s="804"/>
      <c r="M1569" s="804"/>
      <c r="N1569" s="804"/>
      <c r="O1569" s="804"/>
      <c r="P1569" s="804"/>
      <c r="Q1569" s="804"/>
      <c r="R1569" s="804"/>
      <c r="S1569" s="804"/>
      <c r="T1569" s="804"/>
      <c r="U1569" s="804"/>
      <c r="V1569" s="804"/>
      <c r="W1569" s="804"/>
      <c r="X1569" s="808">
        <f>J1569</f>
        <v>20.2</v>
      </c>
      <c r="Y1569" s="809">
        <f>$J$3</f>
        <v>6805</v>
      </c>
      <c r="Z1569" s="519"/>
    </row>
    <row r="1570" spans="1:26" ht="15.75" customHeight="1">
      <c r="A1570" s="800">
        <v>45800</v>
      </c>
      <c r="B1570" s="801"/>
      <c r="C1570" s="802" t="s">
        <v>2319</v>
      </c>
      <c r="D1570" s="803"/>
      <c r="E1570" s="803"/>
      <c r="F1570" s="801"/>
      <c r="G1570" s="801"/>
      <c r="H1570" s="801"/>
      <c r="I1570" s="801"/>
      <c r="J1570" s="805">
        <v>11.94</v>
      </c>
      <c r="K1570" s="804"/>
      <c r="L1570" s="804"/>
      <c r="M1570" s="804"/>
      <c r="N1570" s="804"/>
      <c r="O1570" s="804"/>
      <c r="P1570" s="804"/>
      <c r="Q1570" s="804"/>
      <c r="R1570" s="804"/>
      <c r="S1570" s="804"/>
      <c r="T1570" s="804"/>
      <c r="U1570" s="804"/>
      <c r="V1570" s="804"/>
      <c r="W1570" s="804"/>
      <c r="X1570" s="808">
        <f>J1570</f>
        <v>11.94</v>
      </c>
      <c r="Y1570" s="809">
        <f>$J$3</f>
        <v>6805</v>
      </c>
      <c r="Z1570" s="519"/>
    </row>
    <row r="1571" spans="1:26" ht="15.75" customHeight="1">
      <c r="A1571" s="800">
        <v>45801</v>
      </c>
      <c r="B1571" s="801"/>
      <c r="C1571" s="802" t="s">
        <v>48</v>
      </c>
      <c r="D1571" s="803"/>
      <c r="E1571" s="803"/>
      <c r="F1571" s="801"/>
      <c r="G1571" s="801"/>
      <c r="H1571" s="801"/>
      <c r="I1571" s="801"/>
      <c r="J1571" s="804"/>
      <c r="K1571" s="804"/>
      <c r="L1571" s="804"/>
      <c r="M1571" s="804"/>
      <c r="N1571" s="804"/>
      <c r="O1571" s="804"/>
      <c r="P1571" s="804"/>
      <c r="Q1571" s="804"/>
      <c r="R1571" s="804"/>
      <c r="S1571" s="805">
        <v>0.09</v>
      </c>
      <c r="T1571" s="804"/>
      <c r="U1571" s="804"/>
      <c r="V1571" s="804"/>
      <c r="W1571" s="804"/>
      <c r="X1571" s="808">
        <f>S1571</f>
        <v>0.09</v>
      </c>
      <c r="Y1571" s="809">
        <f>$S$3</f>
        <v>6855</v>
      </c>
      <c r="Z1571" s="519"/>
    </row>
    <row r="1572" spans="1:26" ht="15.75" customHeight="1">
      <c r="A1572" s="800">
        <v>45803</v>
      </c>
      <c r="B1572" s="801"/>
      <c r="C1572" s="802" t="s">
        <v>207</v>
      </c>
      <c r="D1572" s="803"/>
      <c r="E1572" s="803"/>
      <c r="F1572" s="801"/>
      <c r="G1572" s="801"/>
      <c r="H1572" s="801"/>
      <c r="I1572" s="801"/>
      <c r="J1572" s="804"/>
      <c r="K1572" s="804"/>
      <c r="L1572" s="804"/>
      <c r="M1572" s="805">
        <v>20.99</v>
      </c>
      <c r="N1572" s="804"/>
      <c r="O1572" s="804"/>
      <c r="P1572" s="804"/>
      <c r="Q1572" s="804"/>
      <c r="R1572" s="804"/>
      <c r="S1572" s="804"/>
      <c r="T1572" s="804"/>
      <c r="U1572" s="804"/>
      <c r="V1572" s="804"/>
      <c r="W1572" s="804"/>
      <c r="X1572" s="808">
        <f>M1572</f>
        <v>20.99</v>
      </c>
      <c r="Y1572" s="809" t="str">
        <f>$M$3</f>
        <v>6673-2</v>
      </c>
      <c r="Z1572" s="519"/>
    </row>
    <row r="1573" spans="1:26" ht="15.75" customHeight="1">
      <c r="A1573" s="800">
        <v>45804</v>
      </c>
      <c r="B1573" s="801"/>
      <c r="C1573" s="802" t="s">
        <v>2309</v>
      </c>
      <c r="D1573" s="803"/>
      <c r="E1573" s="803"/>
      <c r="F1573" s="801"/>
      <c r="G1573" s="810"/>
      <c r="H1573" s="801"/>
      <c r="I1573" s="801"/>
      <c r="J1573" s="804"/>
      <c r="K1573" s="804"/>
      <c r="L1573" s="804"/>
      <c r="M1573" s="804"/>
      <c r="N1573" s="804"/>
      <c r="O1573" s="805">
        <v>3326.45</v>
      </c>
      <c r="P1573" s="804"/>
      <c r="Q1573" s="804"/>
      <c r="R1573" s="804"/>
      <c r="S1573" s="804"/>
      <c r="T1573" s="804"/>
      <c r="U1573" s="804"/>
      <c r="V1573" s="804"/>
      <c r="W1573" s="804"/>
      <c r="X1573" s="808">
        <f>O1573</f>
        <v>3326.45</v>
      </c>
      <c r="Y1573" s="809">
        <f>$O$3</f>
        <v>6530</v>
      </c>
      <c r="Z1573" s="519"/>
    </row>
    <row r="1574" spans="1:26" ht="15.75" customHeight="1">
      <c r="A1574" s="800">
        <v>45804</v>
      </c>
      <c r="B1574" s="801"/>
      <c r="C1574" s="802" t="s">
        <v>2349</v>
      </c>
      <c r="D1574" s="803"/>
      <c r="E1574" s="803"/>
      <c r="F1574" s="801"/>
      <c r="G1574" s="801"/>
      <c r="H1574" s="801"/>
      <c r="I1574" s="801"/>
      <c r="J1574" s="804"/>
      <c r="K1574" s="804"/>
      <c r="L1574" s="804"/>
      <c r="M1574" s="804"/>
      <c r="N1574" s="804"/>
      <c r="O1574" s="804"/>
      <c r="P1574" s="805">
        <v>1863</v>
      </c>
      <c r="Q1574" s="804"/>
      <c r="R1574" s="804"/>
      <c r="S1574" s="804"/>
      <c r="T1574" s="804"/>
      <c r="U1574" s="804"/>
      <c r="V1574" s="804"/>
      <c r="W1574" s="804"/>
      <c r="X1574" s="808">
        <f>P1574</f>
        <v>1863</v>
      </c>
      <c r="Y1574" s="809">
        <f>$P$3</f>
        <v>6815</v>
      </c>
      <c r="Z1574" s="519"/>
    </row>
    <row r="1575" spans="1:26" ht="15.75" customHeight="1">
      <c r="A1575" s="800">
        <v>45804</v>
      </c>
      <c r="B1575" s="801"/>
      <c r="C1575" s="802" t="s">
        <v>207</v>
      </c>
      <c r="D1575" s="803"/>
      <c r="E1575" s="803"/>
      <c r="F1575" s="801"/>
      <c r="G1575" s="801"/>
      <c r="H1575" s="801"/>
      <c r="I1575" s="801"/>
      <c r="J1575" s="804"/>
      <c r="K1575" s="804"/>
      <c r="L1575" s="804"/>
      <c r="M1575" s="805">
        <v>31.82</v>
      </c>
      <c r="N1575" s="804"/>
      <c r="O1575" s="804"/>
      <c r="P1575" s="804"/>
      <c r="Q1575" s="804"/>
      <c r="R1575" s="804"/>
      <c r="S1575" s="804"/>
      <c r="T1575" s="804"/>
      <c r="U1575" s="804"/>
      <c r="V1575" s="804"/>
      <c r="W1575" s="804"/>
      <c r="X1575" s="808">
        <f>M1575</f>
        <v>31.82</v>
      </c>
      <c r="Y1575" s="809" t="str">
        <f>$M$3</f>
        <v>6673-2</v>
      </c>
      <c r="Z1575" s="519"/>
    </row>
    <row r="1576" spans="1:26" ht="15.75" customHeight="1">
      <c r="A1576" s="800">
        <v>45804</v>
      </c>
      <c r="B1576" s="801"/>
      <c r="C1576" s="802" t="s">
        <v>544</v>
      </c>
      <c r="D1576" s="803"/>
      <c r="E1576" s="803"/>
      <c r="F1576" s="801"/>
      <c r="G1576" s="801"/>
      <c r="H1576" s="801"/>
      <c r="I1576" s="801"/>
      <c r="J1576" s="804"/>
      <c r="K1576" s="804"/>
      <c r="L1576" s="804"/>
      <c r="M1576" s="805">
        <v>16.63</v>
      </c>
      <c r="N1576" s="804"/>
      <c r="O1576" s="804"/>
      <c r="P1576" s="804"/>
      <c r="Q1576" s="804"/>
      <c r="R1576" s="804"/>
      <c r="S1576" s="804"/>
      <c r="T1576" s="804"/>
      <c r="U1576" s="804"/>
      <c r="V1576" s="804"/>
      <c r="W1576" s="804"/>
      <c r="X1576" s="808">
        <f>M1576</f>
        <v>16.63</v>
      </c>
      <c r="Y1576" s="809" t="str">
        <f>$M$3</f>
        <v>6673-2</v>
      </c>
      <c r="Z1576" s="519"/>
    </row>
    <row r="1577" spans="1:26" ht="15.75" customHeight="1">
      <c r="A1577" s="800">
        <v>45804</v>
      </c>
      <c r="B1577" s="801" t="s">
        <v>2178</v>
      </c>
      <c r="C1577" s="802" t="s">
        <v>2322</v>
      </c>
      <c r="D1577" s="803"/>
      <c r="E1577" s="805">
        <v>1000</v>
      </c>
      <c r="F1577" s="801"/>
      <c r="G1577" s="801"/>
      <c r="H1577" s="801"/>
      <c r="I1577" s="801"/>
      <c r="J1577" s="804"/>
      <c r="K1577" s="804"/>
      <c r="L1577" s="804"/>
      <c r="M1577" s="804"/>
      <c r="N1577" s="804"/>
      <c r="O1577" s="804"/>
      <c r="P1577" s="804"/>
      <c r="Q1577" s="804"/>
      <c r="R1577" s="804"/>
      <c r="S1577" s="804"/>
      <c r="T1577" s="804"/>
      <c r="U1577" s="804"/>
      <c r="V1577" s="804"/>
      <c r="W1577" s="804"/>
      <c r="X1577" s="808">
        <f>E1577</f>
        <v>1000</v>
      </c>
      <c r="Y1577" s="809" t="s">
        <v>2304</v>
      </c>
      <c r="Z1577" s="519"/>
    </row>
    <row r="1578" spans="1:26" ht="15.75" customHeight="1">
      <c r="A1578" s="800">
        <v>45805</v>
      </c>
      <c r="B1578" s="801"/>
      <c r="C1578" s="802" t="s">
        <v>2320</v>
      </c>
      <c r="D1578" s="803"/>
      <c r="E1578" s="803"/>
      <c r="F1578" s="801"/>
      <c r="G1578" s="801"/>
      <c r="H1578" s="801"/>
      <c r="I1578" s="801"/>
      <c r="J1578" s="804"/>
      <c r="K1578" s="804"/>
      <c r="L1578" s="804"/>
      <c r="M1578" s="804"/>
      <c r="N1578" s="804"/>
      <c r="O1578" s="804"/>
      <c r="P1578" s="804"/>
      <c r="Q1578" s="804"/>
      <c r="R1578" s="804"/>
      <c r="S1578" s="805">
        <v>2.62</v>
      </c>
      <c r="T1578" s="804"/>
      <c r="U1578" s="804"/>
      <c r="V1578" s="804"/>
      <c r="W1578" s="804"/>
      <c r="X1578" s="808">
        <f>S1578</f>
        <v>2.62</v>
      </c>
      <c r="Y1578" s="809">
        <f>$S$3</f>
        <v>6855</v>
      </c>
      <c r="Z1578" s="519"/>
    </row>
    <row r="1579" spans="1:26" ht="15.75" customHeight="1">
      <c r="A1579" s="800">
        <v>45806</v>
      </c>
      <c r="B1579" s="801"/>
      <c r="C1579" s="802" t="s">
        <v>2346</v>
      </c>
      <c r="D1579" s="803"/>
      <c r="E1579" s="803"/>
      <c r="F1579" s="805">
        <v>2900</v>
      </c>
      <c r="G1579" s="801"/>
      <c r="H1579" s="801"/>
      <c r="I1579" s="801"/>
      <c r="J1579" s="804"/>
      <c r="K1579" s="804"/>
      <c r="L1579" s="804"/>
      <c r="M1579" s="804"/>
      <c r="N1579" s="804"/>
      <c r="O1579" s="804"/>
      <c r="P1579" s="804"/>
      <c r="Q1579" s="804"/>
      <c r="R1579" s="804"/>
      <c r="S1579" s="804"/>
      <c r="T1579" s="804"/>
      <c r="U1579" s="804"/>
      <c r="V1579" s="804"/>
      <c r="W1579" s="804"/>
      <c r="X1579" s="808">
        <f>F1579</f>
        <v>2900</v>
      </c>
      <c r="Y1579" s="809" t="s">
        <v>2325</v>
      </c>
      <c r="Z1579" s="519"/>
    </row>
    <row r="1580" spans="1:26" ht="15.75" customHeight="1">
      <c r="A1580" s="800">
        <v>45806</v>
      </c>
      <c r="B1580" s="801"/>
      <c r="C1580" s="802" t="s">
        <v>545</v>
      </c>
      <c r="D1580" s="803"/>
      <c r="E1580" s="803"/>
      <c r="F1580" s="801"/>
      <c r="G1580" s="801"/>
      <c r="H1580" s="801"/>
      <c r="I1580" s="801"/>
      <c r="J1580" s="804"/>
      <c r="K1580" s="804"/>
      <c r="L1580" s="804"/>
      <c r="M1580" s="804"/>
      <c r="N1580" s="804"/>
      <c r="O1580" s="804"/>
      <c r="P1580" s="804"/>
      <c r="Q1580" s="804"/>
      <c r="R1580" s="804"/>
      <c r="S1580" s="805">
        <v>11.09</v>
      </c>
      <c r="T1580" s="804"/>
      <c r="U1580" s="804"/>
      <c r="V1580" s="804"/>
      <c r="W1580" s="804"/>
      <c r="X1580" s="808">
        <f>S1580</f>
        <v>11.09</v>
      </c>
      <c r="Y1580" s="809">
        <f>$S$3</f>
        <v>6855</v>
      </c>
      <c r="Z1580" s="519"/>
    </row>
    <row r="1581" spans="1:26" ht="15.75" customHeight="1">
      <c r="A1581" s="800">
        <v>45806</v>
      </c>
      <c r="B1581" s="801" t="s">
        <v>2177</v>
      </c>
      <c r="C1581" s="802" t="s">
        <v>2307</v>
      </c>
      <c r="D1581" s="810">
        <v>550</v>
      </c>
      <c r="E1581" s="803"/>
      <c r="F1581" s="801"/>
      <c r="G1581" s="801"/>
      <c r="H1581" s="801"/>
      <c r="I1581" s="801"/>
      <c r="J1581" s="804"/>
      <c r="K1581" s="804"/>
      <c r="L1581" s="804"/>
      <c r="M1581" s="804"/>
      <c r="N1581" s="804"/>
      <c r="O1581" s="804"/>
      <c r="P1581" s="804"/>
      <c r="Q1581" s="804"/>
      <c r="R1581" s="804"/>
      <c r="S1581" s="804"/>
      <c r="T1581" s="804"/>
      <c r="U1581" s="804"/>
      <c r="V1581" s="804"/>
      <c r="W1581" s="804"/>
      <c r="X1581" s="1034">
        <f>D1581</f>
        <v>550</v>
      </c>
      <c r="Y1581" s="809" t="s">
        <v>2300</v>
      </c>
      <c r="Z1581" s="519"/>
    </row>
    <row r="1582" spans="1:26" ht="15.75" customHeight="1">
      <c r="A1582" s="800">
        <v>45807</v>
      </c>
      <c r="B1582" s="801"/>
      <c r="C1582" s="802" t="s">
        <v>2321</v>
      </c>
      <c r="D1582" s="803"/>
      <c r="E1582" s="805">
        <v>636.87</v>
      </c>
      <c r="F1582" s="801"/>
      <c r="G1582" s="801"/>
      <c r="H1582" s="801"/>
      <c r="I1582" s="801"/>
      <c r="J1582" s="804"/>
      <c r="K1582" s="804"/>
      <c r="L1582" s="804"/>
      <c r="M1582" s="804"/>
      <c r="N1582" s="804"/>
      <c r="O1582" s="804"/>
      <c r="P1582" s="804"/>
      <c r="Q1582" s="804"/>
      <c r="R1582" s="804"/>
      <c r="S1582" s="804"/>
      <c r="T1582" s="804"/>
      <c r="U1582" s="804"/>
      <c r="V1582" s="804"/>
      <c r="W1582" s="804"/>
      <c r="X1582" s="808">
        <f>E1582</f>
        <v>636.87</v>
      </c>
      <c r="Y1582" s="809" t="s">
        <v>2304</v>
      </c>
      <c r="Z1582" s="519"/>
    </row>
    <row r="1583" spans="1:26" ht="15.75" customHeight="1">
      <c r="A1583" s="800">
        <v>45807</v>
      </c>
      <c r="B1583" s="801"/>
      <c r="C1583" s="802" t="s">
        <v>426</v>
      </c>
      <c r="D1583" s="803"/>
      <c r="E1583" s="803"/>
      <c r="F1583" s="801"/>
      <c r="G1583" s="801"/>
      <c r="H1583" s="801"/>
      <c r="I1583" s="801"/>
      <c r="J1583" s="804"/>
      <c r="K1583" s="804"/>
      <c r="L1583" s="804"/>
      <c r="M1583" s="804"/>
      <c r="N1583" s="804"/>
      <c r="O1583" s="804"/>
      <c r="P1583" s="804"/>
      <c r="Q1583" s="805">
        <v>35.43</v>
      </c>
      <c r="R1583" s="804"/>
      <c r="S1583" s="804"/>
      <c r="T1583" s="804"/>
      <c r="U1583" s="804"/>
      <c r="V1583" s="804"/>
      <c r="W1583" s="804"/>
      <c r="X1583" s="808">
        <f>Q1583</f>
        <v>35.43</v>
      </c>
      <c r="Y1583" s="809" t="str">
        <f>$Q$3</f>
        <v>6495-2</v>
      </c>
      <c r="Z1583" s="519"/>
    </row>
    <row r="1584" spans="1:26" ht="15.75" customHeight="1">
      <c r="A1584" s="800"/>
      <c r="B1584" s="801"/>
      <c r="C1584" s="802"/>
      <c r="D1584" s="803"/>
      <c r="E1584" s="803"/>
      <c r="F1584" s="801"/>
      <c r="G1584" s="801"/>
      <c r="H1584" s="801"/>
      <c r="I1584" s="801"/>
      <c r="J1584" s="804"/>
      <c r="K1584" s="804"/>
      <c r="L1584" s="804"/>
      <c r="M1584" s="804"/>
      <c r="N1584" s="804"/>
      <c r="O1584" s="804"/>
      <c r="P1584" s="804"/>
      <c r="Q1584" s="812"/>
      <c r="R1584" s="804"/>
      <c r="S1584" s="804"/>
      <c r="T1584" s="804"/>
      <c r="U1584" s="804"/>
      <c r="V1584" s="804"/>
      <c r="W1584" s="804"/>
      <c r="X1584" s="811"/>
      <c r="Y1584" s="809"/>
      <c r="Z1584" s="519"/>
    </row>
    <row r="1585" spans="1:26" ht="15.75" customHeight="1">
      <c r="A1585" s="795"/>
      <c r="B1585" s="796">
        <v>45809</v>
      </c>
      <c r="C1585" s="795"/>
      <c r="D1585" s="795"/>
      <c r="E1585" s="795"/>
      <c r="F1585" s="795"/>
      <c r="G1585" s="795"/>
      <c r="H1585" s="795"/>
      <c r="I1585" s="795"/>
      <c r="J1585" s="795"/>
      <c r="K1585" s="795"/>
      <c r="L1585" s="795"/>
      <c r="M1585" s="795"/>
      <c r="N1585" s="795"/>
      <c r="O1585" s="795"/>
      <c r="P1585" s="795"/>
      <c r="Q1585" s="795"/>
      <c r="R1585" s="795"/>
      <c r="S1585" s="795"/>
      <c r="T1585" s="795"/>
      <c r="U1585" s="795"/>
      <c r="V1585" s="795"/>
      <c r="W1585" s="795"/>
      <c r="X1585" s="797"/>
      <c r="Y1585" s="798"/>
      <c r="Z1585" s="519"/>
    </row>
    <row r="1586" spans="1:26" ht="15.75" customHeight="1">
      <c r="A1586" s="800">
        <v>45810</v>
      </c>
      <c r="B1586" s="801"/>
      <c r="C1586" s="802" t="s">
        <v>2350</v>
      </c>
      <c r="D1586" s="803"/>
      <c r="E1586" s="803"/>
      <c r="F1586" s="801"/>
      <c r="G1586" s="801"/>
      <c r="H1586" s="801"/>
      <c r="I1586" s="801"/>
      <c r="J1586" s="804"/>
      <c r="K1586" s="804"/>
      <c r="L1586" s="804"/>
      <c r="M1586" s="804"/>
      <c r="N1586" s="804"/>
      <c r="O1586" s="804"/>
      <c r="P1586" s="805">
        <v>67.790000000000006</v>
      </c>
      <c r="Q1586" s="804"/>
      <c r="R1586" s="804"/>
      <c r="S1586" s="804"/>
      <c r="T1586" s="804"/>
      <c r="U1586" s="804"/>
      <c r="V1586" s="804"/>
      <c r="W1586" s="804"/>
      <c r="X1586" s="808">
        <f>P1586</f>
        <v>67.790000000000006</v>
      </c>
      <c r="Y1586" s="809">
        <f>$P$3</f>
        <v>6815</v>
      </c>
      <c r="Z1586" s="519"/>
    </row>
    <row r="1587" spans="1:26" ht="15.75" customHeight="1">
      <c r="A1587" s="800">
        <v>45810</v>
      </c>
      <c r="B1587" s="801"/>
      <c r="C1587" s="802" t="s">
        <v>2351</v>
      </c>
      <c r="D1587" s="803"/>
      <c r="E1587" s="803"/>
      <c r="F1587" s="801"/>
      <c r="G1587" s="801"/>
      <c r="H1587" s="801"/>
      <c r="I1587" s="801"/>
      <c r="J1587" s="804"/>
      <c r="K1587" s="804"/>
      <c r="L1587" s="804"/>
      <c r="M1587" s="804"/>
      <c r="N1587" s="804"/>
      <c r="O1587" s="804"/>
      <c r="P1587" s="805">
        <v>94</v>
      </c>
      <c r="Q1587" s="804"/>
      <c r="R1587" s="804"/>
      <c r="S1587" s="804"/>
      <c r="T1587" s="804"/>
      <c r="U1587" s="804"/>
      <c r="V1587" s="804"/>
      <c r="W1587" s="804"/>
      <c r="X1587" s="808">
        <f>P1587</f>
        <v>94</v>
      </c>
      <c r="Y1587" s="809">
        <f>$P$3</f>
        <v>6815</v>
      </c>
      <c r="Z1587" s="519"/>
    </row>
    <row r="1588" spans="1:26" ht="15.75" customHeight="1">
      <c r="A1588" s="800">
        <v>45810</v>
      </c>
      <c r="B1588" s="801"/>
      <c r="C1588" s="802" t="s">
        <v>2296</v>
      </c>
      <c r="D1588" s="803"/>
      <c r="E1588" s="803"/>
      <c r="F1588" s="801"/>
      <c r="G1588" s="801"/>
      <c r="H1588" s="801"/>
      <c r="I1588" s="801"/>
      <c r="J1588" s="804"/>
      <c r="K1588" s="804"/>
      <c r="L1588" s="804"/>
      <c r="M1588" s="805">
        <v>58</v>
      </c>
      <c r="N1588" s="804"/>
      <c r="O1588" s="804"/>
      <c r="P1588" s="804"/>
      <c r="Q1588" s="804"/>
      <c r="R1588" s="804"/>
      <c r="S1588" s="804"/>
      <c r="T1588" s="804"/>
      <c r="U1588" s="804"/>
      <c r="V1588" s="804"/>
      <c r="W1588" s="804"/>
      <c r="X1588" s="808">
        <f>M1588</f>
        <v>58</v>
      </c>
      <c r="Y1588" s="809" t="str">
        <f>$M$3</f>
        <v>6673-2</v>
      </c>
      <c r="Z1588" s="519"/>
    </row>
    <row r="1589" spans="1:26" ht="15.75" customHeight="1">
      <c r="A1589" s="800">
        <v>45810</v>
      </c>
      <c r="B1589" s="801"/>
      <c r="C1589" s="802" t="s">
        <v>2297</v>
      </c>
      <c r="D1589" s="803"/>
      <c r="E1589" s="803"/>
      <c r="F1589" s="801"/>
      <c r="G1589" s="801"/>
      <c r="H1589" s="801"/>
      <c r="I1589" s="801"/>
      <c r="J1589" s="804"/>
      <c r="K1589" s="804"/>
      <c r="L1589" s="804"/>
      <c r="M1589" s="804"/>
      <c r="N1589" s="804"/>
      <c r="O1589" s="804"/>
      <c r="P1589" s="804"/>
      <c r="Q1589" s="804"/>
      <c r="R1589" s="804"/>
      <c r="S1589" s="804"/>
      <c r="T1589" s="805">
        <v>80</v>
      </c>
      <c r="U1589" s="804"/>
      <c r="V1589" s="804"/>
      <c r="W1589" s="804"/>
      <c r="X1589" s="808">
        <f>T1589</f>
        <v>80</v>
      </c>
      <c r="Y1589" s="809">
        <f>$T$3</f>
        <v>2300</v>
      </c>
      <c r="Z1589" s="519"/>
    </row>
    <row r="1590" spans="1:26" ht="15.75" customHeight="1">
      <c r="A1590" s="800">
        <v>45810</v>
      </c>
      <c r="B1590" s="801"/>
      <c r="C1590" s="802" t="s">
        <v>2302</v>
      </c>
      <c r="D1590" s="803"/>
      <c r="E1590" s="803"/>
      <c r="F1590" s="801"/>
      <c r="G1590" s="801"/>
      <c r="H1590" s="801"/>
      <c r="I1590" s="801"/>
      <c r="J1590" s="804"/>
      <c r="K1590" s="804"/>
      <c r="L1590" s="804"/>
      <c r="M1590" s="804"/>
      <c r="N1590" s="805">
        <v>950</v>
      </c>
      <c r="O1590" s="804"/>
      <c r="P1590" s="804"/>
      <c r="Q1590" s="804"/>
      <c r="R1590" s="804"/>
      <c r="S1590" s="804"/>
      <c r="T1590" s="804"/>
      <c r="U1590" s="804"/>
      <c r="V1590" s="804"/>
      <c r="W1590" s="804"/>
      <c r="X1590" s="808">
        <f>N1590</f>
        <v>950</v>
      </c>
      <c r="Y1590" s="809">
        <f>$N$3</f>
        <v>6680</v>
      </c>
      <c r="Z1590" s="519"/>
    </row>
    <row r="1591" spans="1:26" ht="15.75" customHeight="1">
      <c r="A1591" s="800">
        <v>45810</v>
      </c>
      <c r="B1591" s="801"/>
      <c r="C1591" s="802" t="s">
        <v>2295</v>
      </c>
      <c r="D1591" s="803"/>
      <c r="E1591" s="803"/>
      <c r="F1591" s="801"/>
      <c r="G1591" s="801"/>
      <c r="H1591" s="801"/>
      <c r="I1591" s="801"/>
      <c r="J1591" s="804"/>
      <c r="K1591" s="804"/>
      <c r="L1591" s="804"/>
      <c r="M1591" s="804"/>
      <c r="N1591" s="804"/>
      <c r="O1591" s="804"/>
      <c r="P1591" s="804"/>
      <c r="Q1591" s="805">
        <v>23</v>
      </c>
      <c r="R1591" s="804"/>
      <c r="S1591" s="804"/>
      <c r="T1591" s="804"/>
      <c r="U1591" s="804"/>
      <c r="V1591" s="804"/>
      <c r="W1591" s="804"/>
      <c r="X1591" s="808">
        <f>Q1591</f>
        <v>23</v>
      </c>
      <c r="Y1591" s="809" t="str">
        <f>$Q$3</f>
        <v>6495-2</v>
      </c>
      <c r="Z1591" s="519"/>
    </row>
    <row r="1592" spans="1:26" ht="15.75" customHeight="1">
      <c r="A1592" s="800">
        <v>45810</v>
      </c>
      <c r="B1592" s="801"/>
      <c r="C1592" s="802" t="s">
        <v>2298</v>
      </c>
      <c r="D1592" s="803"/>
      <c r="E1592" s="803"/>
      <c r="F1592" s="801"/>
      <c r="G1592" s="801"/>
      <c r="H1592" s="801"/>
      <c r="I1592" s="801"/>
      <c r="J1592" s="804"/>
      <c r="K1592" s="804"/>
      <c r="L1592" s="804"/>
      <c r="M1592" s="804"/>
      <c r="N1592" s="804"/>
      <c r="O1592" s="804"/>
      <c r="P1592" s="804"/>
      <c r="Q1592" s="804"/>
      <c r="R1592" s="804"/>
      <c r="S1592" s="804"/>
      <c r="T1592" s="805">
        <v>277.60000000000002</v>
      </c>
      <c r="U1592" s="804"/>
      <c r="V1592" s="804"/>
      <c r="W1592" s="804"/>
      <c r="X1592" s="808">
        <f>T1592</f>
        <v>277.60000000000002</v>
      </c>
      <c r="Y1592" s="809">
        <f>$T$3</f>
        <v>2300</v>
      </c>
      <c r="Z1592" s="519"/>
    </row>
    <row r="1593" spans="1:26" ht="15.75" customHeight="1">
      <c r="A1593" s="800">
        <v>45811</v>
      </c>
      <c r="B1593" s="801"/>
      <c r="C1593" s="802" t="s">
        <v>545</v>
      </c>
      <c r="D1593" s="803"/>
      <c r="E1593" s="803"/>
      <c r="F1593" s="801"/>
      <c r="G1593" s="801"/>
      <c r="H1593" s="801"/>
      <c r="I1593" s="801"/>
      <c r="J1593" s="804"/>
      <c r="K1593" s="804"/>
      <c r="L1593" s="804"/>
      <c r="M1593" s="804"/>
      <c r="N1593" s="804"/>
      <c r="O1593" s="804"/>
      <c r="P1593" s="804"/>
      <c r="Q1593" s="804"/>
      <c r="R1593" s="804"/>
      <c r="S1593" s="805">
        <v>11.09</v>
      </c>
      <c r="T1593" s="804"/>
      <c r="U1593" s="804"/>
      <c r="V1593" s="804"/>
      <c r="W1593" s="804"/>
      <c r="X1593" s="808">
        <f>S1593</f>
        <v>11.09</v>
      </c>
      <c r="Y1593" s="809">
        <f>$S$3</f>
        <v>6855</v>
      </c>
      <c r="Z1593" s="519"/>
    </row>
    <row r="1594" spans="1:26" ht="15.75" customHeight="1">
      <c r="A1594" s="800">
        <v>45818</v>
      </c>
      <c r="B1594" s="801"/>
      <c r="C1594" s="802" t="s">
        <v>48</v>
      </c>
      <c r="D1594" s="803"/>
      <c r="E1594" s="803"/>
      <c r="F1594" s="801"/>
      <c r="G1594" s="801"/>
      <c r="H1594" s="801"/>
      <c r="I1594" s="801"/>
      <c r="J1594" s="804"/>
      <c r="K1594" s="804"/>
      <c r="L1594" s="804"/>
      <c r="M1594" s="804"/>
      <c r="N1594" s="804"/>
      <c r="O1594" s="804"/>
      <c r="P1594" s="804"/>
      <c r="Q1594" s="804"/>
      <c r="R1594" s="804"/>
      <c r="S1594" s="805">
        <v>0.18</v>
      </c>
      <c r="T1594" s="804"/>
      <c r="U1594" s="804"/>
      <c r="V1594" s="804"/>
      <c r="W1594" s="804"/>
      <c r="X1594" s="808">
        <f>S1594</f>
        <v>0.18</v>
      </c>
      <c r="Y1594" s="809">
        <f>$S$3</f>
        <v>6855</v>
      </c>
      <c r="Z1594" s="519"/>
    </row>
    <row r="1595" spans="1:26" ht="15.75" customHeight="1">
      <c r="A1595" s="800">
        <v>45821</v>
      </c>
      <c r="B1595" s="801"/>
      <c r="C1595" s="802" t="s">
        <v>194</v>
      </c>
      <c r="D1595" s="803"/>
      <c r="E1595" s="803"/>
      <c r="F1595" s="801"/>
      <c r="G1595" s="801"/>
      <c r="H1595" s="801"/>
      <c r="I1595" s="801"/>
      <c r="J1595" s="804"/>
      <c r="K1595" s="804"/>
      <c r="L1595" s="804"/>
      <c r="M1595" s="804"/>
      <c r="N1595" s="804"/>
      <c r="O1595" s="804"/>
      <c r="P1595" s="804"/>
      <c r="Q1595" s="804"/>
      <c r="R1595" s="804"/>
      <c r="S1595" s="805">
        <v>11.5</v>
      </c>
      <c r="T1595" s="804"/>
      <c r="U1595" s="804"/>
      <c r="V1595" s="804"/>
      <c r="W1595" s="804"/>
      <c r="X1595" s="808">
        <f>S1595</f>
        <v>11.5</v>
      </c>
      <c r="Y1595" s="809">
        <f>$S$3</f>
        <v>6855</v>
      </c>
      <c r="Z1595" s="519"/>
    </row>
    <row r="1596" spans="1:26" ht="15.75" customHeight="1">
      <c r="A1596" s="800">
        <v>45824</v>
      </c>
      <c r="B1596" s="801"/>
      <c r="C1596" s="802" t="s">
        <v>394</v>
      </c>
      <c r="D1596" s="803"/>
      <c r="E1596" s="803"/>
      <c r="F1596" s="801"/>
      <c r="G1596" s="801"/>
      <c r="H1596" s="801"/>
      <c r="I1596" s="801"/>
      <c r="J1596" s="804"/>
      <c r="K1596" s="804"/>
      <c r="L1596" s="804"/>
      <c r="M1596" s="804"/>
      <c r="N1596" s="804"/>
      <c r="O1596" s="804"/>
      <c r="P1596" s="804"/>
      <c r="Q1596" s="804"/>
      <c r="R1596" s="804"/>
      <c r="S1596" s="804"/>
      <c r="T1596" s="805">
        <v>18.36</v>
      </c>
      <c r="U1596" s="804"/>
      <c r="V1596" s="804"/>
      <c r="W1596" s="804"/>
      <c r="X1596" s="808">
        <f>T1596</f>
        <v>18.36</v>
      </c>
      <c r="Y1596" s="809">
        <f>$T$3</f>
        <v>2300</v>
      </c>
      <c r="Z1596" s="519"/>
    </row>
    <row r="1597" spans="1:26" ht="15.75" customHeight="1">
      <c r="A1597" s="800">
        <v>45824</v>
      </c>
      <c r="B1597" s="801"/>
      <c r="C1597" s="802" t="s">
        <v>2315</v>
      </c>
      <c r="D1597" s="803"/>
      <c r="E1597" s="803"/>
      <c r="F1597" s="801"/>
      <c r="G1597" s="801"/>
      <c r="H1597" s="801"/>
      <c r="I1597" s="801"/>
      <c r="J1597" s="804"/>
      <c r="K1597" s="804"/>
      <c r="L1597" s="804"/>
      <c r="M1597" s="804"/>
      <c r="N1597" s="804"/>
      <c r="O1597" s="804"/>
      <c r="P1597" s="804"/>
      <c r="Q1597" s="805">
        <v>5.39</v>
      </c>
      <c r="R1597" s="804"/>
      <c r="S1597" s="804"/>
      <c r="T1597" s="804"/>
      <c r="U1597" s="804"/>
      <c r="V1597" s="804"/>
      <c r="W1597" s="804"/>
      <c r="X1597" s="808">
        <f>Q1597</f>
        <v>5.39</v>
      </c>
      <c r="Y1597" s="809" t="str">
        <f>$Q$3</f>
        <v>6495-2</v>
      </c>
      <c r="Z1597" s="519"/>
    </row>
    <row r="1598" spans="1:26" ht="15.75" customHeight="1">
      <c r="A1598" s="800">
        <v>45824</v>
      </c>
      <c r="B1598" s="801"/>
      <c r="C1598" s="802" t="s">
        <v>2312</v>
      </c>
      <c r="D1598" s="803"/>
      <c r="E1598" s="803"/>
      <c r="F1598" s="801"/>
      <c r="G1598" s="801"/>
      <c r="H1598" s="805">
        <v>924.69</v>
      </c>
      <c r="I1598" s="804"/>
      <c r="J1598" s="804"/>
      <c r="K1598" s="804"/>
      <c r="L1598" s="804"/>
      <c r="M1598" s="804"/>
      <c r="N1598" s="804"/>
      <c r="O1598" s="804"/>
      <c r="P1598" s="804"/>
      <c r="Q1598" s="804"/>
      <c r="R1598" s="804"/>
      <c r="S1598" s="804"/>
      <c r="T1598" s="804"/>
      <c r="U1598" s="804"/>
      <c r="V1598" s="804"/>
      <c r="W1598" s="804"/>
      <c r="X1598" s="808">
        <f>H1598</f>
        <v>924.69</v>
      </c>
      <c r="Y1598" s="809">
        <f>$H$3</f>
        <v>2200</v>
      </c>
      <c r="Z1598" s="519"/>
    </row>
    <row r="1599" spans="1:26" ht="15.75" customHeight="1">
      <c r="A1599" s="800">
        <v>45825</v>
      </c>
      <c r="B1599" s="801"/>
      <c r="C1599" s="802" t="s">
        <v>2316</v>
      </c>
      <c r="D1599" s="803"/>
      <c r="E1599" s="803"/>
      <c r="F1599" s="801"/>
      <c r="G1599" s="801"/>
      <c r="H1599" s="801"/>
      <c r="I1599" s="801"/>
      <c r="J1599" s="804"/>
      <c r="K1599" s="805">
        <v>34.99</v>
      </c>
      <c r="L1599" s="804"/>
      <c r="M1599" s="804"/>
      <c r="N1599" s="804"/>
      <c r="O1599" s="804"/>
      <c r="P1599" s="804"/>
      <c r="Q1599" s="804"/>
      <c r="R1599" s="804"/>
      <c r="S1599" s="804"/>
      <c r="T1599" s="804"/>
      <c r="U1599" s="804"/>
      <c r="V1599" s="804"/>
      <c r="W1599" s="804"/>
      <c r="X1599" s="808">
        <f>K1599</f>
        <v>34.99</v>
      </c>
      <c r="Y1599" s="809" t="str">
        <f>$K$3</f>
        <v>6495-1</v>
      </c>
      <c r="Z1599" s="519"/>
    </row>
    <row r="1600" spans="1:26" ht="15.75" customHeight="1">
      <c r="A1600" s="800">
        <v>45825</v>
      </c>
      <c r="B1600" s="801"/>
      <c r="C1600" s="802" t="s">
        <v>426</v>
      </c>
      <c r="D1600" s="803"/>
      <c r="E1600" s="803"/>
      <c r="F1600" s="801"/>
      <c r="G1600" s="801"/>
      <c r="H1600" s="801"/>
      <c r="I1600" s="801"/>
      <c r="J1600" s="804"/>
      <c r="K1600" s="804"/>
      <c r="L1600" s="804"/>
      <c r="M1600" s="804"/>
      <c r="N1600" s="804"/>
      <c r="O1600" s="804"/>
      <c r="P1600" s="804"/>
      <c r="Q1600" s="805">
        <v>35.770000000000003</v>
      </c>
      <c r="R1600" s="804"/>
      <c r="S1600" s="804"/>
      <c r="T1600" s="804"/>
      <c r="U1600" s="804"/>
      <c r="V1600" s="804"/>
      <c r="W1600" s="804"/>
      <c r="X1600" s="808">
        <f>Q1600</f>
        <v>35.770000000000003</v>
      </c>
      <c r="Y1600" s="809" t="str">
        <f>$Q$3</f>
        <v>6495-2</v>
      </c>
      <c r="Z1600" s="519"/>
    </row>
    <row r="1601" spans="1:26" ht="15.75" customHeight="1">
      <c r="A1601" s="800">
        <v>45831</v>
      </c>
      <c r="B1601" s="801"/>
      <c r="C1601" s="802" t="s">
        <v>2319</v>
      </c>
      <c r="D1601" s="803"/>
      <c r="E1601" s="803"/>
      <c r="F1601" s="801"/>
      <c r="G1601" s="801"/>
      <c r="H1601" s="801"/>
      <c r="I1601" s="801"/>
      <c r="J1601" s="805">
        <v>11.71</v>
      </c>
      <c r="K1601" s="804"/>
      <c r="L1601" s="804"/>
      <c r="M1601" s="804"/>
      <c r="N1601" s="804"/>
      <c r="O1601" s="804"/>
      <c r="P1601" s="804"/>
      <c r="Q1601" s="804"/>
      <c r="R1601" s="804"/>
      <c r="S1601" s="804"/>
      <c r="T1601" s="804"/>
      <c r="U1601" s="804"/>
      <c r="V1601" s="804"/>
      <c r="W1601" s="804"/>
      <c r="X1601" s="808">
        <f>J1601</f>
        <v>11.71</v>
      </c>
      <c r="Y1601" s="809">
        <f>$J$3</f>
        <v>6805</v>
      </c>
      <c r="Z1601" s="519"/>
    </row>
    <row r="1602" spans="1:26" ht="15.75" customHeight="1">
      <c r="A1602" s="800">
        <v>45831</v>
      </c>
      <c r="B1602" s="801"/>
      <c r="C1602" s="802" t="s">
        <v>2318</v>
      </c>
      <c r="D1602" s="803"/>
      <c r="E1602" s="803"/>
      <c r="F1602" s="801"/>
      <c r="G1602" s="801"/>
      <c r="H1602" s="801"/>
      <c r="I1602" s="801"/>
      <c r="J1602" s="805">
        <v>20.27</v>
      </c>
      <c r="K1602" s="804"/>
      <c r="L1602" s="804"/>
      <c r="M1602" s="804"/>
      <c r="N1602" s="804"/>
      <c r="O1602" s="804"/>
      <c r="P1602" s="804"/>
      <c r="Q1602" s="804"/>
      <c r="R1602" s="804"/>
      <c r="S1602" s="804"/>
      <c r="T1602" s="804"/>
      <c r="U1602" s="804"/>
      <c r="V1602" s="804"/>
      <c r="W1602" s="804"/>
      <c r="X1602" s="808">
        <f>J1602</f>
        <v>20.27</v>
      </c>
      <c r="Y1602" s="809">
        <f>$J$3</f>
        <v>6805</v>
      </c>
      <c r="Z1602" s="519"/>
    </row>
    <row r="1603" spans="1:26" ht="15.75" customHeight="1">
      <c r="A1603" s="800">
        <v>45832</v>
      </c>
      <c r="B1603" s="801"/>
      <c r="C1603" s="802" t="s">
        <v>2320</v>
      </c>
      <c r="D1603" s="803"/>
      <c r="E1603" s="803"/>
      <c r="F1603" s="801"/>
      <c r="G1603" s="801"/>
      <c r="H1603" s="801"/>
      <c r="I1603" s="801"/>
      <c r="J1603" s="804"/>
      <c r="K1603" s="804"/>
      <c r="L1603" s="804"/>
      <c r="M1603" s="804"/>
      <c r="N1603" s="804"/>
      <c r="O1603" s="804"/>
      <c r="P1603" s="804"/>
      <c r="Q1603" s="804"/>
      <c r="R1603" s="804"/>
      <c r="S1603" s="805">
        <v>2.0299999999999998</v>
      </c>
      <c r="T1603" s="804"/>
      <c r="U1603" s="804"/>
      <c r="V1603" s="804"/>
      <c r="W1603" s="804"/>
      <c r="X1603" s="808">
        <f>S1603</f>
        <v>2.0299999999999998</v>
      </c>
      <c r="Y1603" s="809">
        <f>$S$3</f>
        <v>6855</v>
      </c>
      <c r="Z1603" s="519"/>
    </row>
    <row r="1604" spans="1:26" ht="15.75" customHeight="1">
      <c r="A1604" s="800">
        <v>45833</v>
      </c>
      <c r="B1604" s="801"/>
      <c r="C1604" s="802" t="s">
        <v>545</v>
      </c>
      <c r="D1604" s="803"/>
      <c r="E1604" s="803"/>
      <c r="F1604" s="801"/>
      <c r="G1604" s="801"/>
      <c r="H1604" s="801"/>
      <c r="I1604" s="801"/>
      <c r="J1604" s="804"/>
      <c r="K1604" s="804"/>
      <c r="L1604" s="804"/>
      <c r="M1604" s="804"/>
      <c r="N1604" s="804"/>
      <c r="O1604" s="804"/>
      <c r="P1604" s="804"/>
      <c r="Q1604" s="804"/>
      <c r="R1604" s="804"/>
      <c r="S1604" s="805">
        <v>11.09</v>
      </c>
      <c r="T1604" s="804"/>
      <c r="U1604" s="804"/>
      <c r="V1604" s="804"/>
      <c r="W1604" s="804"/>
      <c r="X1604" s="808">
        <f>S1604</f>
        <v>11.09</v>
      </c>
      <c r="Y1604" s="809">
        <f>$S$3</f>
        <v>6855</v>
      </c>
      <c r="Z1604" s="519"/>
    </row>
    <row r="1605" spans="1:26" ht="15.75" customHeight="1">
      <c r="A1605" s="800">
        <v>45834</v>
      </c>
      <c r="B1605" s="801"/>
      <c r="C1605" s="802" t="s">
        <v>2352</v>
      </c>
      <c r="D1605" s="803"/>
      <c r="E1605" s="803"/>
      <c r="F1605" s="801"/>
      <c r="G1605" s="801"/>
      <c r="H1605" s="801"/>
      <c r="I1605" s="801"/>
      <c r="J1605" s="804"/>
      <c r="K1605" s="804"/>
      <c r="L1605" s="805">
        <v>242.63</v>
      </c>
      <c r="M1605" s="804"/>
      <c r="N1605" s="804"/>
      <c r="O1605" s="804"/>
      <c r="P1605" s="804"/>
      <c r="Q1605" s="804"/>
      <c r="R1605" s="804"/>
      <c r="S1605" s="804"/>
      <c r="T1605" s="804"/>
      <c r="U1605" s="804"/>
      <c r="V1605" s="804"/>
      <c r="W1605" s="804"/>
      <c r="X1605" s="808">
        <f>L1605</f>
        <v>242.63</v>
      </c>
      <c r="Y1605" s="809" t="str">
        <f>$L$3</f>
        <v>6673-1</v>
      </c>
      <c r="Z1605" s="519"/>
    </row>
    <row r="1606" spans="1:26" ht="15.75" customHeight="1">
      <c r="A1606" s="800">
        <v>45838</v>
      </c>
      <c r="B1606" s="801"/>
      <c r="C1606" s="802" t="s">
        <v>48</v>
      </c>
      <c r="D1606" s="803"/>
      <c r="E1606" s="803"/>
      <c r="F1606" s="801"/>
      <c r="G1606" s="801"/>
      <c r="H1606" s="801"/>
      <c r="I1606" s="801"/>
      <c r="J1606" s="804"/>
      <c r="K1606" s="804"/>
      <c r="L1606" s="804"/>
      <c r="M1606" s="804"/>
      <c r="N1606" s="804"/>
      <c r="O1606" s="804"/>
      <c r="P1606" s="804"/>
      <c r="Q1606" s="804"/>
      <c r="R1606" s="804"/>
      <c r="S1606" s="805">
        <v>20.7</v>
      </c>
      <c r="T1606" s="804"/>
      <c r="U1606" s="804"/>
      <c r="V1606" s="804"/>
      <c r="W1606" s="804"/>
      <c r="X1606" s="808">
        <f>S1606</f>
        <v>20.7</v>
      </c>
      <c r="Y1606" s="809">
        <f>$S$3</f>
        <v>6855</v>
      </c>
      <c r="Z1606" s="519"/>
    </row>
    <row r="1607" spans="1:26" ht="15.75" customHeight="1">
      <c r="A1607" s="800">
        <v>45838</v>
      </c>
      <c r="B1607" s="801"/>
      <c r="C1607" s="802" t="s">
        <v>2321</v>
      </c>
      <c r="D1607" s="803"/>
      <c r="E1607" s="805">
        <v>636.87</v>
      </c>
      <c r="F1607" s="801"/>
      <c r="G1607" s="801"/>
      <c r="H1607" s="801"/>
      <c r="I1607" s="801"/>
      <c r="J1607" s="804"/>
      <c r="K1607" s="804"/>
      <c r="L1607" s="804"/>
      <c r="M1607" s="804"/>
      <c r="N1607" s="804"/>
      <c r="O1607" s="804"/>
      <c r="P1607" s="804"/>
      <c r="Q1607" s="804"/>
      <c r="R1607" s="804"/>
      <c r="S1607" s="804"/>
      <c r="T1607" s="804"/>
      <c r="U1607" s="804"/>
      <c r="V1607" s="804"/>
      <c r="W1607" s="804"/>
      <c r="X1607" s="808">
        <f>E1607</f>
        <v>636.87</v>
      </c>
      <c r="Y1607" s="809" t="s">
        <v>2304</v>
      </c>
      <c r="Z1607" s="519"/>
    </row>
    <row r="1608" spans="1:26" ht="15.75" customHeight="1">
      <c r="A1608" s="800"/>
      <c r="B1608" s="801"/>
      <c r="C1608" s="802"/>
      <c r="D1608" s="803"/>
      <c r="E1608" s="805"/>
      <c r="F1608" s="801"/>
      <c r="G1608" s="801"/>
      <c r="H1608" s="801"/>
      <c r="I1608" s="801"/>
      <c r="J1608" s="804"/>
      <c r="K1608" s="804"/>
      <c r="L1608" s="804"/>
      <c r="M1608" s="804"/>
      <c r="N1608" s="804"/>
      <c r="O1608" s="804"/>
      <c r="P1608" s="804"/>
      <c r="Q1608" s="804"/>
      <c r="R1608" s="804"/>
      <c r="S1608" s="804"/>
      <c r="T1608" s="804"/>
      <c r="U1608" s="804"/>
      <c r="V1608" s="804"/>
      <c r="W1608" s="804"/>
      <c r="X1608" s="811"/>
      <c r="Y1608" s="809"/>
      <c r="Z1608" s="519"/>
    </row>
    <row r="1609" spans="1:26" ht="15.75" customHeight="1">
      <c r="A1609" s="795"/>
      <c r="B1609" s="796">
        <v>45839</v>
      </c>
      <c r="C1609" s="795"/>
      <c r="D1609" s="795"/>
      <c r="E1609" s="795"/>
      <c r="F1609" s="795"/>
      <c r="G1609" s="795"/>
      <c r="H1609" s="795"/>
      <c r="I1609" s="795"/>
      <c r="J1609" s="795"/>
      <c r="K1609" s="795"/>
      <c r="L1609" s="795"/>
      <c r="M1609" s="795"/>
      <c r="N1609" s="795"/>
      <c r="O1609" s="795"/>
      <c r="P1609" s="795"/>
      <c r="Q1609" s="795"/>
      <c r="R1609" s="795"/>
      <c r="S1609" s="795"/>
      <c r="T1609" s="795"/>
      <c r="U1609" s="795"/>
      <c r="V1609" s="795"/>
      <c r="W1609" s="795"/>
      <c r="X1609" s="797"/>
      <c r="Y1609" s="798"/>
      <c r="Z1609" s="519"/>
    </row>
    <row r="1610" spans="1:26" ht="15.75" customHeight="1">
      <c r="A1610" s="800">
        <v>45839</v>
      </c>
      <c r="B1610" s="801"/>
      <c r="C1610" s="802" t="s">
        <v>2296</v>
      </c>
      <c r="D1610" s="803"/>
      <c r="E1610" s="803"/>
      <c r="F1610" s="801"/>
      <c r="G1610" s="801"/>
      <c r="H1610" s="801"/>
      <c r="I1610" s="801"/>
      <c r="J1610" s="804"/>
      <c r="K1610" s="804"/>
      <c r="L1610" s="804"/>
      <c r="M1610" s="805">
        <v>58</v>
      </c>
      <c r="N1610" s="804"/>
      <c r="O1610" s="804"/>
      <c r="P1610" s="804"/>
      <c r="Q1610" s="804"/>
      <c r="R1610" s="804"/>
      <c r="S1610" s="804"/>
      <c r="T1610" s="804"/>
      <c r="U1610" s="804"/>
      <c r="V1610" s="804"/>
      <c r="W1610" s="804"/>
      <c r="X1610" s="808">
        <f>M1610</f>
        <v>58</v>
      </c>
      <c r="Y1610" s="809" t="str">
        <f>$M$3</f>
        <v>6673-2</v>
      </c>
      <c r="Z1610" s="519"/>
    </row>
    <row r="1611" spans="1:26" ht="15.75" customHeight="1">
      <c r="A1611" s="800">
        <v>45839</v>
      </c>
      <c r="B1611" s="801"/>
      <c r="C1611" s="802" t="s">
        <v>2295</v>
      </c>
      <c r="D1611" s="803"/>
      <c r="E1611" s="803"/>
      <c r="F1611" s="801"/>
      <c r="G1611" s="801"/>
      <c r="H1611" s="801"/>
      <c r="I1611" s="801"/>
      <c r="J1611" s="804"/>
      <c r="K1611" s="804"/>
      <c r="L1611" s="804"/>
      <c r="M1611" s="804"/>
      <c r="N1611" s="804"/>
      <c r="O1611" s="804"/>
      <c r="P1611" s="804"/>
      <c r="Q1611" s="805">
        <v>23</v>
      </c>
      <c r="R1611" s="804"/>
      <c r="S1611" s="804"/>
      <c r="T1611" s="804"/>
      <c r="U1611" s="804"/>
      <c r="V1611" s="804"/>
      <c r="W1611" s="804"/>
      <c r="X1611" s="808">
        <f>Q1611</f>
        <v>23</v>
      </c>
      <c r="Y1611" s="809" t="str">
        <f>$Q$3</f>
        <v>6495-2</v>
      </c>
      <c r="Z1611" s="519"/>
    </row>
    <row r="1612" spans="1:26" ht="15.75" customHeight="1">
      <c r="A1612" s="800">
        <v>45839</v>
      </c>
      <c r="B1612" s="801" t="s">
        <v>2353</v>
      </c>
      <c r="C1612" s="802" t="s">
        <v>2301</v>
      </c>
      <c r="D1612" s="810">
        <v>6200</v>
      </c>
      <c r="E1612" s="803"/>
      <c r="F1612" s="801"/>
      <c r="G1612" s="801"/>
      <c r="H1612" s="801"/>
      <c r="I1612" s="801"/>
      <c r="J1612" s="804"/>
      <c r="K1612" s="804"/>
      <c r="L1612" s="804"/>
      <c r="M1612" s="804"/>
      <c r="N1612" s="804"/>
      <c r="O1612" s="804"/>
      <c r="P1612" s="804"/>
      <c r="Q1612" s="804"/>
      <c r="R1612" s="804"/>
      <c r="S1612" s="804"/>
      <c r="T1612" s="804"/>
      <c r="U1612" s="804"/>
      <c r="V1612" s="804"/>
      <c r="W1612" s="804"/>
      <c r="X1612" s="1034">
        <f>D1612</f>
        <v>6200</v>
      </c>
      <c r="Y1612" s="809" t="s">
        <v>2300</v>
      </c>
      <c r="Z1612" s="519"/>
    </row>
    <row r="1613" spans="1:26" ht="15.75" customHeight="1">
      <c r="A1613" s="800">
        <v>45839</v>
      </c>
      <c r="B1613" s="801"/>
      <c r="C1613" s="802" t="s">
        <v>2298</v>
      </c>
      <c r="D1613" s="803"/>
      <c r="E1613" s="803"/>
      <c r="F1613" s="801"/>
      <c r="G1613" s="801"/>
      <c r="H1613" s="801"/>
      <c r="I1613" s="801"/>
      <c r="J1613" s="804"/>
      <c r="K1613" s="804"/>
      <c r="L1613" s="804"/>
      <c r="M1613" s="804"/>
      <c r="N1613" s="804"/>
      <c r="O1613" s="804"/>
      <c r="P1613" s="804"/>
      <c r="Q1613" s="804"/>
      <c r="R1613" s="804"/>
      <c r="S1613" s="804"/>
      <c r="T1613" s="805">
        <v>117.39</v>
      </c>
      <c r="U1613" s="804"/>
      <c r="V1613" s="804"/>
      <c r="W1613" s="804"/>
      <c r="X1613" s="808">
        <f>T1613</f>
        <v>117.39</v>
      </c>
      <c r="Y1613" s="809">
        <f>$T$3</f>
        <v>2300</v>
      </c>
      <c r="Z1613" s="519"/>
    </row>
    <row r="1614" spans="1:26" ht="15.75" customHeight="1">
      <c r="A1614" s="800">
        <v>45839</v>
      </c>
      <c r="B1614" s="801" t="s">
        <v>2184</v>
      </c>
      <c r="C1614" s="802" t="s">
        <v>2322</v>
      </c>
      <c r="D1614" s="803"/>
      <c r="E1614" s="805">
        <v>850</v>
      </c>
      <c r="F1614" s="801"/>
      <c r="G1614" s="801"/>
      <c r="H1614" s="801"/>
      <c r="I1614" s="801"/>
      <c r="J1614" s="804"/>
      <c r="K1614" s="804"/>
      <c r="L1614" s="804"/>
      <c r="M1614" s="804"/>
      <c r="N1614" s="804"/>
      <c r="O1614" s="804"/>
      <c r="P1614" s="804"/>
      <c r="Q1614" s="804"/>
      <c r="R1614" s="804"/>
      <c r="S1614" s="804"/>
      <c r="T1614" s="804"/>
      <c r="U1614" s="804"/>
      <c r="V1614" s="804"/>
      <c r="W1614" s="804"/>
      <c r="X1614" s="808">
        <f>E1614</f>
        <v>850</v>
      </c>
      <c r="Y1614" s="809" t="s">
        <v>2304</v>
      </c>
      <c r="Z1614" s="519"/>
    </row>
    <row r="1615" spans="1:26" ht="15.75" customHeight="1">
      <c r="A1615" s="800">
        <v>45840</v>
      </c>
      <c r="B1615" s="801"/>
      <c r="C1615" s="802" t="s">
        <v>2297</v>
      </c>
      <c r="D1615" s="803"/>
      <c r="E1615" s="803"/>
      <c r="F1615" s="801"/>
      <c r="G1615" s="801"/>
      <c r="H1615" s="801"/>
      <c r="I1615" s="801"/>
      <c r="J1615" s="804"/>
      <c r="K1615" s="804"/>
      <c r="L1615" s="804"/>
      <c r="M1615" s="804"/>
      <c r="N1615" s="804"/>
      <c r="O1615" s="804"/>
      <c r="P1615" s="804"/>
      <c r="Q1615" s="804"/>
      <c r="R1615" s="804"/>
      <c r="S1615" s="804"/>
      <c r="T1615" s="805">
        <v>80</v>
      </c>
      <c r="U1615" s="804"/>
      <c r="V1615" s="804"/>
      <c r="W1615" s="804"/>
      <c r="X1615" s="808">
        <f>T1615</f>
        <v>80</v>
      </c>
      <c r="Y1615" s="809">
        <f>$T$3</f>
        <v>2300</v>
      </c>
      <c r="Z1615" s="519"/>
    </row>
    <row r="1616" spans="1:26" ht="15.75" customHeight="1">
      <c r="A1616" s="800">
        <v>45841</v>
      </c>
      <c r="B1616" s="801"/>
      <c r="C1616" s="802" t="s">
        <v>2346</v>
      </c>
      <c r="D1616" s="803"/>
      <c r="E1616" s="803"/>
      <c r="F1616" s="805">
        <v>-3167.1</v>
      </c>
      <c r="G1616" s="801"/>
      <c r="H1616" s="801"/>
      <c r="I1616" s="801"/>
      <c r="J1616" s="804"/>
      <c r="K1616" s="804"/>
      <c r="L1616" s="804"/>
      <c r="M1616" s="804"/>
      <c r="N1616" s="804"/>
      <c r="O1616" s="804"/>
      <c r="P1616" s="804"/>
      <c r="Q1616" s="804"/>
      <c r="R1616" s="804"/>
      <c r="S1616" s="804"/>
      <c r="T1616" s="804"/>
      <c r="U1616" s="804"/>
      <c r="V1616" s="804"/>
      <c r="W1616" s="804"/>
      <c r="X1616" s="808">
        <f>F1616</f>
        <v>-3167.1</v>
      </c>
      <c r="Y1616" s="809" t="s">
        <v>2325</v>
      </c>
      <c r="Z1616" s="519"/>
    </row>
    <row r="1617" spans="1:26" ht="15.75" customHeight="1">
      <c r="A1617" s="800">
        <v>45841</v>
      </c>
      <c r="B1617" s="801" t="s">
        <v>2354</v>
      </c>
      <c r="C1617" s="802" t="s">
        <v>2303</v>
      </c>
      <c r="D1617" s="803"/>
      <c r="E1617" s="805">
        <v>4820</v>
      </c>
      <c r="F1617" s="801"/>
      <c r="G1617" s="801"/>
      <c r="H1617" s="801"/>
      <c r="I1617" s="801"/>
      <c r="J1617" s="804"/>
      <c r="K1617" s="804"/>
      <c r="L1617" s="804"/>
      <c r="M1617" s="804"/>
      <c r="N1617" s="804"/>
      <c r="O1617" s="804"/>
      <c r="P1617" s="804"/>
      <c r="Q1617" s="804"/>
      <c r="R1617" s="804"/>
      <c r="S1617" s="804"/>
      <c r="T1617" s="804"/>
      <c r="U1617" s="804"/>
      <c r="V1617" s="804"/>
      <c r="W1617" s="804"/>
      <c r="X1617" s="808">
        <f>E1617</f>
        <v>4820</v>
      </c>
      <c r="Y1617" s="809" t="s">
        <v>2304</v>
      </c>
      <c r="Z1617" s="519"/>
    </row>
    <row r="1618" spans="1:26" ht="15.75" customHeight="1">
      <c r="A1618" s="800">
        <v>45842</v>
      </c>
      <c r="B1618" s="801"/>
      <c r="C1618" s="802" t="s">
        <v>2355</v>
      </c>
      <c r="D1618" s="803"/>
      <c r="E1618" s="803"/>
      <c r="F1618" s="801"/>
      <c r="G1618" s="801"/>
      <c r="H1618" s="801"/>
      <c r="I1618" s="801"/>
      <c r="J1618" s="804"/>
      <c r="K1618" s="804"/>
      <c r="L1618" s="804"/>
      <c r="M1618" s="804"/>
      <c r="N1618" s="804"/>
      <c r="O1618" s="805">
        <v>201.41</v>
      </c>
      <c r="P1618" s="804"/>
      <c r="Q1618" s="804"/>
      <c r="R1618" s="804"/>
      <c r="S1618" s="804"/>
      <c r="T1618" s="804"/>
      <c r="U1618" s="804"/>
      <c r="V1618" s="804"/>
      <c r="W1618" s="804"/>
      <c r="X1618" s="808">
        <f>O1618</f>
        <v>201.41</v>
      </c>
      <c r="Y1618" s="809">
        <f>$O$3</f>
        <v>6530</v>
      </c>
      <c r="Z1618" s="519"/>
    </row>
    <row r="1619" spans="1:26" ht="15.75" customHeight="1">
      <c r="A1619" s="800">
        <v>45842</v>
      </c>
      <c r="B1619" s="801"/>
      <c r="C1619" s="802" t="s">
        <v>545</v>
      </c>
      <c r="D1619" s="803"/>
      <c r="E1619" s="803"/>
      <c r="F1619" s="801"/>
      <c r="G1619" s="801"/>
      <c r="H1619" s="801"/>
      <c r="I1619" s="801"/>
      <c r="J1619" s="804"/>
      <c r="K1619" s="804"/>
      <c r="L1619" s="804"/>
      <c r="M1619" s="804"/>
      <c r="N1619" s="804"/>
      <c r="O1619" s="804"/>
      <c r="P1619" s="804"/>
      <c r="Q1619" s="804"/>
      <c r="R1619" s="804"/>
      <c r="S1619" s="805">
        <v>11.09</v>
      </c>
      <c r="T1619" s="804"/>
      <c r="U1619" s="804"/>
      <c r="V1619" s="804"/>
      <c r="W1619" s="804"/>
      <c r="X1619" s="808">
        <f>S1619</f>
        <v>11.09</v>
      </c>
      <c r="Y1619" s="809">
        <f>$S$3</f>
        <v>6855</v>
      </c>
      <c r="Z1619" s="519"/>
    </row>
    <row r="1620" spans="1:26" ht="15.75" customHeight="1">
      <c r="A1620" s="800">
        <v>45842</v>
      </c>
      <c r="B1620" s="801"/>
      <c r="C1620" s="802" t="s">
        <v>2302</v>
      </c>
      <c r="D1620" s="803"/>
      <c r="E1620" s="803"/>
      <c r="F1620" s="801"/>
      <c r="G1620" s="801"/>
      <c r="H1620" s="801"/>
      <c r="I1620" s="801"/>
      <c r="J1620" s="804"/>
      <c r="K1620" s="804"/>
      <c r="L1620" s="804"/>
      <c r="M1620" s="804"/>
      <c r="N1620" s="805">
        <v>950</v>
      </c>
      <c r="O1620" s="804"/>
      <c r="P1620" s="804"/>
      <c r="Q1620" s="804"/>
      <c r="R1620" s="804"/>
      <c r="S1620" s="804"/>
      <c r="T1620" s="804"/>
      <c r="U1620" s="804"/>
      <c r="V1620" s="804"/>
      <c r="W1620" s="804"/>
      <c r="X1620" s="808">
        <f>N1620</f>
        <v>950</v>
      </c>
      <c r="Y1620" s="809">
        <f>$N$3</f>
        <v>6680</v>
      </c>
      <c r="Z1620" s="519"/>
    </row>
    <row r="1621" spans="1:26" ht="15.75" customHeight="1">
      <c r="A1621" s="800">
        <v>45845</v>
      </c>
      <c r="B1621" s="801"/>
      <c r="C1621" s="802" t="s">
        <v>426</v>
      </c>
      <c r="D1621" s="803"/>
      <c r="E1621" s="803"/>
      <c r="F1621" s="801"/>
      <c r="G1621" s="801"/>
      <c r="H1621" s="801"/>
      <c r="I1621" s="801"/>
      <c r="J1621" s="804"/>
      <c r="K1621" s="804"/>
      <c r="L1621" s="804"/>
      <c r="M1621" s="804"/>
      <c r="N1621" s="804"/>
      <c r="O1621" s="804"/>
      <c r="P1621" s="804"/>
      <c r="Q1621" s="805">
        <v>34.51</v>
      </c>
      <c r="R1621" s="804"/>
      <c r="S1621" s="804"/>
      <c r="T1621" s="804"/>
      <c r="U1621" s="804"/>
      <c r="V1621" s="804"/>
      <c r="W1621" s="804"/>
      <c r="X1621" s="808">
        <f>Q1621</f>
        <v>34.51</v>
      </c>
      <c r="Y1621" s="809" t="str">
        <f>$Q$3</f>
        <v>6495-2</v>
      </c>
      <c r="Z1621" s="519"/>
    </row>
    <row r="1622" spans="1:26" ht="15.75" customHeight="1">
      <c r="A1622" s="800">
        <v>45852</v>
      </c>
      <c r="B1622" s="801"/>
      <c r="C1622" s="802" t="s">
        <v>194</v>
      </c>
      <c r="D1622" s="803"/>
      <c r="E1622" s="803"/>
      <c r="F1622" s="801"/>
      <c r="G1622" s="801"/>
      <c r="H1622" s="801"/>
      <c r="I1622" s="801"/>
      <c r="J1622" s="804"/>
      <c r="K1622" s="804"/>
      <c r="L1622" s="804"/>
      <c r="M1622" s="804"/>
      <c r="N1622" s="804"/>
      <c r="O1622" s="804"/>
      <c r="P1622" s="804"/>
      <c r="Q1622" s="804"/>
      <c r="R1622" s="804"/>
      <c r="S1622" s="805">
        <v>11.5</v>
      </c>
      <c r="T1622" s="804"/>
      <c r="U1622" s="804"/>
      <c r="V1622" s="804"/>
      <c r="W1622" s="804"/>
      <c r="X1622" s="808">
        <f>S1622</f>
        <v>11.5</v>
      </c>
      <c r="Y1622" s="809">
        <f>$S$3</f>
        <v>6855</v>
      </c>
      <c r="Z1622" s="519"/>
    </row>
    <row r="1623" spans="1:26" ht="15.75" customHeight="1">
      <c r="A1623" s="800">
        <v>45853</v>
      </c>
      <c r="B1623" s="801"/>
      <c r="C1623" s="802" t="s">
        <v>394</v>
      </c>
      <c r="D1623" s="803"/>
      <c r="E1623" s="803"/>
      <c r="F1623" s="801"/>
      <c r="G1623" s="801"/>
      <c r="H1623" s="801"/>
      <c r="I1623" s="801"/>
      <c r="J1623" s="804"/>
      <c r="K1623" s="804"/>
      <c r="L1623" s="804"/>
      <c r="M1623" s="804"/>
      <c r="N1623" s="804"/>
      <c r="O1623" s="804"/>
      <c r="P1623" s="804"/>
      <c r="Q1623" s="804"/>
      <c r="R1623" s="804"/>
      <c r="S1623" s="804"/>
      <c r="T1623" s="805">
        <v>18.36</v>
      </c>
      <c r="U1623" s="804"/>
      <c r="V1623" s="804"/>
      <c r="W1623" s="804"/>
      <c r="X1623" s="808">
        <f>T1623</f>
        <v>18.36</v>
      </c>
      <c r="Y1623" s="809">
        <f>$T$3</f>
        <v>2300</v>
      </c>
      <c r="Z1623" s="519"/>
    </row>
    <row r="1624" spans="1:26" ht="15.75" customHeight="1">
      <c r="A1624" s="800">
        <v>45853</v>
      </c>
      <c r="B1624" s="801"/>
      <c r="C1624" s="802" t="s">
        <v>2312</v>
      </c>
      <c r="D1624" s="803"/>
      <c r="E1624" s="803"/>
      <c r="F1624" s="801"/>
      <c r="G1624" s="801"/>
      <c r="H1624" s="805">
        <v>924.69</v>
      </c>
      <c r="I1624" s="804"/>
      <c r="J1624" s="804"/>
      <c r="K1624" s="804"/>
      <c r="L1624" s="804"/>
      <c r="M1624" s="804"/>
      <c r="N1624" s="804"/>
      <c r="O1624" s="804"/>
      <c r="P1624" s="804"/>
      <c r="Q1624" s="804"/>
      <c r="R1624" s="804"/>
      <c r="S1624" s="804"/>
      <c r="T1624" s="804"/>
      <c r="U1624" s="804"/>
      <c r="V1624" s="804"/>
      <c r="W1624" s="804"/>
      <c r="X1624" s="808">
        <f>H1624</f>
        <v>924.69</v>
      </c>
      <c r="Y1624" s="809">
        <f>$H$3</f>
        <v>2200</v>
      </c>
      <c r="Z1624" s="519"/>
    </row>
    <row r="1625" spans="1:26" ht="15.75" customHeight="1">
      <c r="A1625" s="800">
        <v>45853</v>
      </c>
      <c r="B1625" s="801"/>
      <c r="C1625" s="802" t="s">
        <v>207</v>
      </c>
      <c r="D1625" s="803"/>
      <c r="E1625" s="803"/>
      <c r="F1625" s="801"/>
      <c r="G1625" s="801"/>
      <c r="H1625" s="801"/>
      <c r="I1625" s="801"/>
      <c r="J1625" s="804"/>
      <c r="K1625" s="804"/>
      <c r="L1625" s="804"/>
      <c r="M1625" s="805">
        <v>92.33</v>
      </c>
      <c r="N1625" s="804"/>
      <c r="O1625" s="804"/>
      <c r="P1625" s="804"/>
      <c r="Q1625" s="804"/>
      <c r="R1625" s="804"/>
      <c r="S1625" s="804"/>
      <c r="T1625" s="804"/>
      <c r="U1625" s="804"/>
      <c r="V1625" s="804"/>
      <c r="W1625" s="804"/>
      <c r="X1625" s="808">
        <f>M1625</f>
        <v>92.33</v>
      </c>
      <c r="Y1625" s="809" t="str">
        <f>$M$3</f>
        <v>6673-2</v>
      </c>
      <c r="Z1625" s="519"/>
    </row>
    <row r="1626" spans="1:26" ht="15.75" customHeight="1">
      <c r="A1626" s="800">
        <v>45853</v>
      </c>
      <c r="B1626" s="801"/>
      <c r="C1626" s="802" t="s">
        <v>207</v>
      </c>
      <c r="D1626" s="803"/>
      <c r="E1626" s="803"/>
      <c r="F1626" s="801"/>
      <c r="G1626" s="801"/>
      <c r="H1626" s="801"/>
      <c r="I1626" s="801"/>
      <c r="J1626" s="804"/>
      <c r="K1626" s="804"/>
      <c r="L1626" s="804"/>
      <c r="M1626" s="805">
        <v>27.06</v>
      </c>
      <c r="N1626" s="804"/>
      <c r="O1626" s="804"/>
      <c r="P1626" s="804"/>
      <c r="Q1626" s="804"/>
      <c r="R1626" s="804"/>
      <c r="S1626" s="804"/>
      <c r="T1626" s="804"/>
      <c r="U1626" s="804"/>
      <c r="V1626" s="804"/>
      <c r="W1626" s="804"/>
      <c r="X1626" s="808">
        <f>M1626</f>
        <v>27.06</v>
      </c>
      <c r="Y1626" s="809" t="str">
        <f>$M$3</f>
        <v>6673-2</v>
      </c>
      <c r="Z1626" s="519"/>
    </row>
    <row r="1627" spans="1:26" ht="15.75" customHeight="1">
      <c r="A1627" s="800">
        <v>45854</v>
      </c>
      <c r="B1627" s="801"/>
      <c r="C1627" s="802" t="s">
        <v>2315</v>
      </c>
      <c r="D1627" s="803"/>
      <c r="E1627" s="803"/>
      <c r="F1627" s="801"/>
      <c r="G1627" s="801"/>
      <c r="H1627" s="801"/>
      <c r="I1627" s="801"/>
      <c r="J1627" s="804"/>
      <c r="K1627" s="804"/>
      <c r="L1627" s="804"/>
      <c r="M1627" s="804"/>
      <c r="N1627" s="804"/>
      <c r="O1627" s="804"/>
      <c r="P1627" s="804"/>
      <c r="Q1627" s="805">
        <v>5.39</v>
      </c>
      <c r="R1627" s="804"/>
      <c r="S1627" s="804"/>
      <c r="T1627" s="804"/>
      <c r="U1627" s="804"/>
      <c r="V1627" s="804"/>
      <c r="W1627" s="804"/>
      <c r="X1627" s="808">
        <f>Q1627</f>
        <v>5.39</v>
      </c>
      <c r="Y1627" s="809" t="str">
        <f>$Q$3</f>
        <v>6495-2</v>
      </c>
      <c r="Z1627" s="519"/>
    </row>
    <row r="1628" spans="1:26" ht="15.75" customHeight="1">
      <c r="A1628" s="800">
        <v>45854</v>
      </c>
      <c r="B1628" s="801"/>
      <c r="C1628" s="802" t="s">
        <v>544</v>
      </c>
      <c r="D1628" s="803"/>
      <c r="E1628" s="803"/>
      <c r="F1628" s="801"/>
      <c r="G1628" s="801"/>
      <c r="H1628" s="801"/>
      <c r="I1628" s="801"/>
      <c r="J1628" s="804"/>
      <c r="K1628" s="804"/>
      <c r="L1628" s="804"/>
      <c r="M1628" s="805">
        <v>16.63</v>
      </c>
      <c r="N1628" s="804"/>
      <c r="O1628" s="804"/>
      <c r="P1628" s="804"/>
      <c r="Q1628" s="804"/>
      <c r="R1628" s="804"/>
      <c r="S1628" s="804"/>
      <c r="T1628" s="804"/>
      <c r="U1628" s="804"/>
      <c r="V1628" s="804"/>
      <c r="W1628" s="804"/>
      <c r="X1628" s="808">
        <f>M1628</f>
        <v>16.63</v>
      </c>
      <c r="Y1628" s="809" t="str">
        <f>$M$3</f>
        <v>6673-2</v>
      </c>
      <c r="Z1628" s="519"/>
    </row>
    <row r="1629" spans="1:26" ht="15.75" customHeight="1">
      <c r="A1629" s="800">
        <v>45855</v>
      </c>
      <c r="B1629" s="801"/>
      <c r="C1629" s="802" t="s">
        <v>2316</v>
      </c>
      <c r="D1629" s="803"/>
      <c r="E1629" s="803"/>
      <c r="F1629" s="801"/>
      <c r="G1629" s="801"/>
      <c r="H1629" s="801"/>
      <c r="I1629" s="801"/>
      <c r="J1629" s="804"/>
      <c r="K1629" s="805">
        <v>34.99</v>
      </c>
      <c r="L1629" s="804"/>
      <c r="M1629" s="804"/>
      <c r="N1629" s="804"/>
      <c r="O1629" s="804"/>
      <c r="P1629" s="804"/>
      <c r="Q1629" s="804"/>
      <c r="R1629" s="804"/>
      <c r="S1629" s="804"/>
      <c r="T1629" s="804"/>
      <c r="U1629" s="804"/>
      <c r="V1629" s="804"/>
      <c r="W1629" s="804"/>
      <c r="X1629" s="808">
        <f>K1629</f>
        <v>34.99</v>
      </c>
      <c r="Y1629" s="809" t="str">
        <f>$K$3</f>
        <v>6495-1</v>
      </c>
      <c r="Z1629" s="519"/>
    </row>
    <row r="1630" spans="1:26" ht="15.75" customHeight="1">
      <c r="A1630" s="800">
        <v>45855</v>
      </c>
      <c r="B1630" s="801"/>
      <c r="C1630" s="802" t="s">
        <v>426</v>
      </c>
      <c r="D1630" s="803"/>
      <c r="E1630" s="803"/>
      <c r="F1630" s="801"/>
      <c r="G1630" s="801"/>
      <c r="H1630" s="801"/>
      <c r="I1630" s="801"/>
      <c r="J1630" s="804"/>
      <c r="K1630" s="804"/>
      <c r="L1630" s="804"/>
      <c r="M1630" s="804"/>
      <c r="N1630" s="804"/>
      <c r="O1630" s="804"/>
      <c r="P1630" s="804"/>
      <c r="Q1630" s="805">
        <v>34.630000000000003</v>
      </c>
      <c r="R1630" s="804"/>
      <c r="S1630" s="804"/>
      <c r="T1630" s="804"/>
      <c r="U1630" s="804"/>
      <c r="V1630" s="804"/>
      <c r="W1630" s="804"/>
      <c r="X1630" s="808">
        <f>Q1630</f>
        <v>34.630000000000003</v>
      </c>
      <c r="Y1630" s="809" t="str">
        <f>$Q$3</f>
        <v>6495-2</v>
      </c>
      <c r="Z1630" s="519"/>
    </row>
    <row r="1631" spans="1:26" ht="15.75" customHeight="1">
      <c r="A1631" s="800">
        <v>45856</v>
      </c>
      <c r="B1631" s="801"/>
      <c r="C1631" s="802" t="s">
        <v>2318</v>
      </c>
      <c r="D1631" s="803"/>
      <c r="E1631" s="803"/>
      <c r="F1631" s="801"/>
      <c r="G1631" s="801"/>
      <c r="H1631" s="801"/>
      <c r="I1631" s="801"/>
      <c r="J1631" s="805">
        <v>19.98</v>
      </c>
      <c r="K1631" s="804"/>
      <c r="L1631" s="804"/>
      <c r="M1631" s="804"/>
      <c r="N1631" s="804"/>
      <c r="O1631" s="804"/>
      <c r="P1631" s="804"/>
      <c r="Q1631" s="804"/>
      <c r="R1631" s="804"/>
      <c r="S1631" s="804"/>
      <c r="T1631" s="804"/>
      <c r="U1631" s="804"/>
      <c r="V1631" s="804"/>
      <c r="W1631" s="804"/>
      <c r="X1631" s="808">
        <f>J1631</f>
        <v>19.98</v>
      </c>
      <c r="Y1631" s="809">
        <f>$J$3</f>
        <v>6805</v>
      </c>
      <c r="Z1631" s="519"/>
    </row>
    <row r="1632" spans="1:26" ht="15.75" customHeight="1">
      <c r="A1632" s="800">
        <v>45861</v>
      </c>
      <c r="B1632" s="801"/>
      <c r="C1632" s="802" t="s">
        <v>2319</v>
      </c>
      <c r="D1632" s="803"/>
      <c r="E1632" s="803"/>
      <c r="F1632" s="801"/>
      <c r="G1632" s="801"/>
      <c r="H1632" s="801"/>
      <c r="I1632" s="801"/>
      <c r="J1632" s="805">
        <v>11.57</v>
      </c>
      <c r="K1632" s="804"/>
      <c r="L1632" s="804"/>
      <c r="M1632" s="804"/>
      <c r="N1632" s="804"/>
      <c r="O1632" s="804"/>
      <c r="P1632" s="804"/>
      <c r="Q1632" s="804"/>
      <c r="R1632" s="804"/>
      <c r="S1632" s="804"/>
      <c r="T1632" s="804"/>
      <c r="U1632" s="804"/>
      <c r="V1632" s="804"/>
      <c r="W1632" s="804"/>
      <c r="X1632" s="808">
        <f>J1632</f>
        <v>11.57</v>
      </c>
      <c r="Y1632" s="809">
        <f>$J$3</f>
        <v>6805</v>
      </c>
      <c r="Z1632" s="519"/>
    </row>
    <row r="1633" spans="1:26" ht="15.75" customHeight="1">
      <c r="A1633" s="800">
        <v>45861</v>
      </c>
      <c r="B1633" s="801"/>
      <c r="C1633" s="802" t="s">
        <v>207</v>
      </c>
      <c r="D1633" s="803"/>
      <c r="E1633" s="803"/>
      <c r="F1633" s="801"/>
      <c r="G1633" s="801"/>
      <c r="H1633" s="801"/>
      <c r="I1633" s="801"/>
      <c r="J1633" s="804"/>
      <c r="K1633" s="804"/>
      <c r="L1633" s="804"/>
      <c r="M1633" s="805">
        <v>27.36</v>
      </c>
      <c r="N1633" s="804"/>
      <c r="O1633" s="804"/>
      <c r="P1633" s="804"/>
      <c r="Q1633" s="804"/>
      <c r="R1633" s="804"/>
      <c r="S1633" s="804"/>
      <c r="T1633" s="804"/>
      <c r="U1633" s="804"/>
      <c r="V1633" s="804"/>
      <c r="W1633" s="804"/>
      <c r="X1633" s="808">
        <f>M1633</f>
        <v>27.36</v>
      </c>
      <c r="Y1633" s="809" t="str">
        <f>$M$3</f>
        <v>6673-2</v>
      </c>
      <c r="Z1633" s="519"/>
    </row>
    <row r="1634" spans="1:26" ht="15.75" customHeight="1">
      <c r="A1634" s="800">
        <v>45861</v>
      </c>
      <c r="B1634" s="801"/>
      <c r="C1634" s="802" t="s">
        <v>544</v>
      </c>
      <c r="D1634" s="803"/>
      <c r="E1634" s="803"/>
      <c r="F1634" s="801"/>
      <c r="G1634" s="801"/>
      <c r="H1634" s="801"/>
      <c r="I1634" s="801"/>
      <c r="J1634" s="804"/>
      <c r="K1634" s="804"/>
      <c r="L1634" s="804"/>
      <c r="M1634" s="805">
        <v>16.63</v>
      </c>
      <c r="N1634" s="804"/>
      <c r="O1634" s="804"/>
      <c r="P1634" s="804"/>
      <c r="Q1634" s="804"/>
      <c r="R1634" s="804"/>
      <c r="S1634" s="804"/>
      <c r="T1634" s="804"/>
      <c r="U1634" s="804"/>
      <c r="V1634" s="804"/>
      <c r="W1634" s="804"/>
      <c r="X1634" s="808">
        <f>M1634</f>
        <v>16.63</v>
      </c>
      <c r="Y1634" s="809" t="str">
        <f>$M$3</f>
        <v>6673-2</v>
      </c>
      <c r="Z1634" s="519"/>
    </row>
    <row r="1635" spans="1:26" ht="15.75" customHeight="1">
      <c r="A1635" s="800">
        <v>45862</v>
      </c>
      <c r="B1635" s="801"/>
      <c r="C1635" s="802" t="s">
        <v>48</v>
      </c>
      <c r="D1635" s="803"/>
      <c r="E1635" s="803"/>
      <c r="F1635" s="801"/>
      <c r="G1635" s="801"/>
      <c r="H1635" s="801"/>
      <c r="I1635" s="801"/>
      <c r="J1635" s="804"/>
      <c r="K1635" s="804"/>
      <c r="L1635" s="804"/>
      <c r="M1635" s="804"/>
      <c r="N1635" s="804"/>
      <c r="O1635" s="804"/>
      <c r="P1635" s="804"/>
      <c r="Q1635" s="804"/>
      <c r="R1635" s="804"/>
      <c r="S1635" s="805">
        <v>0.18</v>
      </c>
      <c r="T1635" s="804"/>
      <c r="U1635" s="804"/>
      <c r="V1635" s="804"/>
      <c r="W1635" s="804"/>
      <c r="X1635" s="808">
        <f>S1635</f>
        <v>0.18</v>
      </c>
      <c r="Y1635" s="809">
        <f>$S$3</f>
        <v>6855</v>
      </c>
      <c r="Z1635" s="519"/>
    </row>
    <row r="1636" spans="1:26" ht="15.75" customHeight="1">
      <c r="A1636" s="800">
        <v>45862</v>
      </c>
      <c r="B1636" s="801"/>
      <c r="C1636" s="802" t="s">
        <v>2320</v>
      </c>
      <c r="D1636" s="803"/>
      <c r="E1636" s="803"/>
      <c r="F1636" s="801"/>
      <c r="G1636" s="801"/>
      <c r="H1636" s="801"/>
      <c r="I1636" s="801"/>
      <c r="J1636" s="804"/>
      <c r="K1636" s="804"/>
      <c r="L1636" s="804"/>
      <c r="M1636" s="804"/>
      <c r="N1636" s="804"/>
      <c r="O1636" s="804"/>
      <c r="P1636" s="804"/>
      <c r="Q1636" s="804"/>
      <c r="R1636" s="804"/>
      <c r="S1636" s="805">
        <v>8.77</v>
      </c>
      <c r="T1636" s="804"/>
      <c r="U1636" s="804"/>
      <c r="V1636" s="804"/>
      <c r="W1636" s="804"/>
      <c r="X1636" s="808">
        <f>S1636</f>
        <v>8.77</v>
      </c>
      <c r="Y1636" s="809">
        <f>$S$3</f>
        <v>6855</v>
      </c>
      <c r="Z1636" s="519"/>
    </row>
    <row r="1637" spans="1:26" ht="15.75" customHeight="1">
      <c r="A1637" s="800">
        <v>45862</v>
      </c>
      <c r="B1637" s="801" t="s">
        <v>2181</v>
      </c>
      <c r="C1637" s="802" t="s">
        <v>2307</v>
      </c>
      <c r="D1637" s="810">
        <v>550</v>
      </c>
      <c r="E1637" s="803"/>
      <c r="F1637" s="801"/>
      <c r="G1637" s="801"/>
      <c r="H1637" s="801"/>
      <c r="I1637" s="801"/>
      <c r="J1637" s="804"/>
      <c r="K1637" s="804"/>
      <c r="L1637" s="804"/>
      <c r="M1637" s="804"/>
      <c r="N1637" s="804"/>
      <c r="O1637" s="804"/>
      <c r="P1637" s="804"/>
      <c r="Q1637" s="804"/>
      <c r="R1637" s="804"/>
      <c r="S1637" s="804"/>
      <c r="T1637" s="804"/>
      <c r="U1637" s="804"/>
      <c r="V1637" s="804"/>
      <c r="W1637" s="804"/>
      <c r="X1637" s="1034">
        <f>D1637</f>
        <v>550</v>
      </c>
      <c r="Y1637" s="809" t="s">
        <v>2300</v>
      </c>
      <c r="Z1637" s="519"/>
    </row>
    <row r="1638" spans="1:26" ht="15.75" customHeight="1">
      <c r="A1638" s="800">
        <v>45864</v>
      </c>
      <c r="B1638" s="801"/>
      <c r="C1638" s="802" t="s">
        <v>2356</v>
      </c>
      <c r="D1638" s="803"/>
      <c r="E1638" s="803"/>
      <c r="F1638" s="801"/>
      <c r="G1638" s="801"/>
      <c r="H1638" s="801"/>
      <c r="I1638" s="801"/>
      <c r="J1638" s="804"/>
      <c r="K1638" s="804"/>
      <c r="L1638" s="805">
        <v>299.98</v>
      </c>
      <c r="M1638" s="804"/>
      <c r="N1638" s="804"/>
      <c r="O1638" s="804"/>
      <c r="P1638" s="804"/>
      <c r="Q1638" s="804"/>
      <c r="R1638" s="804"/>
      <c r="S1638" s="804"/>
      <c r="T1638" s="804"/>
      <c r="U1638" s="804"/>
      <c r="V1638" s="804"/>
      <c r="W1638" s="804"/>
      <c r="X1638" s="808">
        <f>L1638</f>
        <v>299.98</v>
      </c>
      <c r="Y1638" s="809" t="str">
        <f>$L$3</f>
        <v>6673-1</v>
      </c>
      <c r="Z1638" s="519"/>
    </row>
    <row r="1639" spans="1:26" ht="15.75" customHeight="1">
      <c r="A1639" s="800">
        <v>45866</v>
      </c>
      <c r="B1639" s="801"/>
      <c r="C1639" s="802" t="s">
        <v>2357</v>
      </c>
      <c r="D1639" s="803"/>
      <c r="E1639" s="803"/>
      <c r="F1639" s="801"/>
      <c r="G1639" s="801"/>
      <c r="H1639" s="801"/>
      <c r="I1639" s="801"/>
      <c r="J1639" s="804"/>
      <c r="K1639" s="804"/>
      <c r="L1639" s="805">
        <v>254.91</v>
      </c>
      <c r="M1639" s="804"/>
      <c r="N1639" s="804"/>
      <c r="O1639" s="804"/>
      <c r="P1639" s="804"/>
      <c r="Q1639" s="804"/>
      <c r="R1639" s="804"/>
      <c r="S1639" s="804"/>
      <c r="T1639" s="804"/>
      <c r="U1639" s="804"/>
      <c r="V1639" s="804"/>
      <c r="W1639" s="804"/>
      <c r="X1639" s="808">
        <f>L1639</f>
        <v>254.91</v>
      </c>
      <c r="Y1639" s="809" t="str">
        <f>$L$3</f>
        <v>6673-1</v>
      </c>
      <c r="Z1639" s="519"/>
    </row>
    <row r="1640" spans="1:26" ht="15.75" customHeight="1">
      <c r="A1640" s="800">
        <v>45869</v>
      </c>
      <c r="B1640" s="801"/>
      <c r="C1640" s="802" t="s">
        <v>2321</v>
      </c>
      <c r="D1640" s="803"/>
      <c r="E1640" s="805">
        <v>660.68</v>
      </c>
      <c r="F1640" s="801"/>
      <c r="G1640" s="801"/>
      <c r="H1640" s="801"/>
      <c r="I1640" s="801"/>
      <c r="J1640" s="804"/>
      <c r="K1640" s="804"/>
      <c r="L1640" s="804"/>
      <c r="M1640" s="804"/>
      <c r="N1640" s="804"/>
      <c r="O1640" s="804"/>
      <c r="P1640" s="804"/>
      <c r="Q1640" s="804"/>
      <c r="R1640" s="804"/>
      <c r="S1640" s="804"/>
      <c r="T1640" s="804"/>
      <c r="U1640" s="804"/>
      <c r="V1640" s="804"/>
      <c r="W1640" s="804"/>
      <c r="X1640" s="808">
        <f>E1640</f>
        <v>660.68</v>
      </c>
      <c r="Y1640" s="809" t="s">
        <v>2304</v>
      </c>
      <c r="Z1640" s="519"/>
    </row>
    <row r="1641" spans="1:26" ht="15.75" customHeight="1">
      <c r="A1641" s="800"/>
      <c r="B1641" s="801"/>
      <c r="C1641" s="802"/>
      <c r="D1641" s="803"/>
      <c r="E1641" s="805"/>
      <c r="F1641" s="801"/>
      <c r="G1641" s="801"/>
      <c r="H1641" s="801"/>
      <c r="I1641" s="801"/>
      <c r="J1641" s="804"/>
      <c r="K1641" s="804"/>
      <c r="L1641" s="804"/>
      <c r="M1641" s="804"/>
      <c r="N1641" s="804"/>
      <c r="O1641" s="804"/>
      <c r="P1641" s="804"/>
      <c r="Q1641" s="804"/>
      <c r="R1641" s="804"/>
      <c r="S1641" s="804"/>
      <c r="T1641" s="804"/>
      <c r="U1641" s="804"/>
      <c r="V1641" s="804"/>
      <c r="W1641" s="804"/>
      <c r="X1641" s="811"/>
      <c r="Y1641" s="809"/>
      <c r="Z1641" s="519"/>
    </row>
    <row r="1642" spans="1:26" ht="15.75" customHeight="1">
      <c r="A1642" s="795"/>
      <c r="B1642" s="796">
        <v>45870</v>
      </c>
      <c r="C1642" s="795"/>
      <c r="D1642" s="795"/>
      <c r="E1642" s="795"/>
      <c r="F1642" s="795"/>
      <c r="G1642" s="795"/>
      <c r="H1642" s="795"/>
      <c r="I1642" s="795"/>
      <c r="J1642" s="795"/>
      <c r="K1642" s="795"/>
      <c r="L1642" s="795"/>
      <c r="M1642" s="795"/>
      <c r="N1642" s="795"/>
      <c r="O1642" s="795"/>
      <c r="P1642" s="795"/>
      <c r="Q1642" s="795"/>
      <c r="R1642" s="795"/>
      <c r="S1642" s="795"/>
      <c r="T1642" s="795"/>
      <c r="U1642" s="795"/>
      <c r="V1642" s="795"/>
      <c r="W1642" s="795"/>
      <c r="X1642" s="797"/>
      <c r="Y1642" s="798"/>
      <c r="Z1642" s="519"/>
    </row>
    <row r="1643" spans="1:26" ht="15.75" customHeight="1">
      <c r="A1643" s="800">
        <v>45870</v>
      </c>
      <c r="B1643" s="801"/>
      <c r="C1643" s="802" t="s">
        <v>2296</v>
      </c>
      <c r="D1643" s="803"/>
      <c r="E1643" s="803"/>
      <c r="F1643" s="801"/>
      <c r="G1643" s="801"/>
      <c r="H1643" s="801"/>
      <c r="I1643" s="801"/>
      <c r="J1643" s="804"/>
      <c r="K1643" s="804"/>
      <c r="L1643" s="804"/>
      <c r="M1643" s="805">
        <v>58</v>
      </c>
      <c r="N1643" s="804"/>
      <c r="O1643" s="804"/>
      <c r="P1643" s="804"/>
      <c r="Q1643" s="804"/>
      <c r="R1643" s="804"/>
      <c r="S1643" s="804"/>
      <c r="T1643" s="804"/>
      <c r="U1643" s="804"/>
      <c r="V1643" s="804"/>
      <c r="W1643" s="804"/>
      <c r="X1643" s="808">
        <f>M1643</f>
        <v>58</v>
      </c>
      <c r="Y1643" s="809" t="str">
        <f>$M$3</f>
        <v>6673-2</v>
      </c>
      <c r="Z1643" s="519"/>
    </row>
    <row r="1644" spans="1:26" ht="15.75" customHeight="1">
      <c r="A1644" s="800">
        <v>45870</v>
      </c>
      <c r="B1644" s="801"/>
      <c r="C1644" s="802" t="s">
        <v>2302</v>
      </c>
      <c r="D1644" s="803"/>
      <c r="E1644" s="803"/>
      <c r="F1644" s="801"/>
      <c r="G1644" s="801"/>
      <c r="H1644" s="801"/>
      <c r="I1644" s="801"/>
      <c r="J1644" s="804"/>
      <c r="K1644" s="804"/>
      <c r="L1644" s="804"/>
      <c r="M1644" s="804"/>
      <c r="N1644" s="805">
        <v>950</v>
      </c>
      <c r="O1644" s="804"/>
      <c r="P1644" s="804"/>
      <c r="Q1644" s="804"/>
      <c r="R1644" s="804"/>
      <c r="S1644" s="804"/>
      <c r="T1644" s="804"/>
      <c r="U1644" s="804"/>
      <c r="V1644" s="804"/>
      <c r="W1644" s="804"/>
      <c r="X1644" s="808">
        <f>N1644</f>
        <v>950</v>
      </c>
      <c r="Y1644" s="809">
        <f>$N$3</f>
        <v>6680</v>
      </c>
      <c r="Z1644" s="519"/>
    </row>
    <row r="1645" spans="1:26" ht="15.75" customHeight="1">
      <c r="A1645" s="800">
        <v>45870</v>
      </c>
      <c r="B1645" s="801"/>
      <c r="C1645" s="802" t="s">
        <v>2295</v>
      </c>
      <c r="D1645" s="803"/>
      <c r="E1645" s="803"/>
      <c r="F1645" s="801"/>
      <c r="G1645" s="801"/>
      <c r="H1645" s="801"/>
      <c r="I1645" s="801"/>
      <c r="J1645" s="804"/>
      <c r="K1645" s="804"/>
      <c r="L1645" s="804"/>
      <c r="M1645" s="804"/>
      <c r="N1645" s="804"/>
      <c r="O1645" s="804"/>
      <c r="P1645" s="804"/>
      <c r="Q1645" s="805">
        <v>23</v>
      </c>
      <c r="R1645" s="804"/>
      <c r="S1645" s="804"/>
      <c r="T1645" s="804"/>
      <c r="U1645" s="804"/>
      <c r="V1645" s="804"/>
      <c r="W1645" s="804"/>
      <c r="X1645" s="808">
        <f>Q1645</f>
        <v>23</v>
      </c>
      <c r="Y1645" s="809" t="str">
        <f>$Q$3</f>
        <v>6495-2</v>
      </c>
      <c r="Z1645" s="519"/>
    </row>
    <row r="1646" spans="1:26" ht="15.75" customHeight="1">
      <c r="A1646" s="800">
        <v>45870</v>
      </c>
      <c r="B1646" s="801"/>
      <c r="C1646" s="802" t="s">
        <v>426</v>
      </c>
      <c r="D1646" s="803"/>
      <c r="E1646" s="803"/>
      <c r="F1646" s="801"/>
      <c r="G1646" s="801"/>
      <c r="H1646" s="801"/>
      <c r="I1646" s="801"/>
      <c r="J1646" s="804"/>
      <c r="K1646" s="804"/>
      <c r="L1646" s="804"/>
      <c r="M1646" s="804"/>
      <c r="N1646" s="804"/>
      <c r="O1646" s="804"/>
      <c r="P1646" s="804"/>
      <c r="Q1646" s="805">
        <v>35.35</v>
      </c>
      <c r="R1646" s="804"/>
      <c r="S1646" s="804"/>
      <c r="T1646" s="804"/>
      <c r="U1646" s="804"/>
      <c r="V1646" s="804"/>
      <c r="W1646" s="804"/>
      <c r="X1646" s="808">
        <f>Q1646</f>
        <v>35.35</v>
      </c>
      <c r="Y1646" s="809" t="str">
        <f>$Q$3</f>
        <v>6495-2</v>
      </c>
      <c r="Z1646" s="519"/>
    </row>
    <row r="1647" spans="1:26" ht="15.75" customHeight="1">
      <c r="A1647" s="800">
        <v>45870</v>
      </c>
      <c r="B1647" s="801"/>
      <c r="C1647" s="802" t="s">
        <v>2298</v>
      </c>
      <c r="D1647" s="803"/>
      <c r="E1647" s="803"/>
      <c r="F1647" s="801"/>
      <c r="G1647" s="801"/>
      <c r="H1647" s="801"/>
      <c r="I1647" s="801"/>
      <c r="J1647" s="804"/>
      <c r="K1647" s="804"/>
      <c r="L1647" s="804"/>
      <c r="M1647" s="804"/>
      <c r="N1647" s="804"/>
      <c r="O1647" s="804"/>
      <c r="P1647" s="804"/>
      <c r="Q1647" s="804"/>
      <c r="R1647" s="804"/>
      <c r="S1647" s="804"/>
      <c r="T1647" s="805">
        <v>304.25</v>
      </c>
      <c r="U1647" s="804"/>
      <c r="V1647" s="804"/>
      <c r="W1647" s="804"/>
      <c r="X1647" s="808">
        <f>T1647</f>
        <v>304.25</v>
      </c>
      <c r="Y1647" s="809">
        <f>$T$3</f>
        <v>2300</v>
      </c>
      <c r="Z1647" s="519"/>
    </row>
    <row r="1648" spans="1:26" ht="15.75" customHeight="1">
      <c r="A1648" s="800">
        <v>45873</v>
      </c>
      <c r="B1648" s="801"/>
      <c r="C1648" s="802" t="s">
        <v>2297</v>
      </c>
      <c r="D1648" s="803"/>
      <c r="E1648" s="803"/>
      <c r="F1648" s="801"/>
      <c r="G1648" s="801"/>
      <c r="H1648" s="801"/>
      <c r="I1648" s="801"/>
      <c r="J1648" s="804"/>
      <c r="K1648" s="804"/>
      <c r="L1648" s="804"/>
      <c r="M1648" s="804"/>
      <c r="N1648" s="804"/>
      <c r="O1648" s="804"/>
      <c r="P1648" s="804"/>
      <c r="Q1648" s="804"/>
      <c r="R1648" s="804"/>
      <c r="S1648" s="804"/>
      <c r="T1648" s="805">
        <v>80</v>
      </c>
      <c r="U1648" s="804"/>
      <c r="V1648" s="804"/>
      <c r="W1648" s="804"/>
      <c r="X1648" s="808">
        <f>T1648</f>
        <v>80</v>
      </c>
      <c r="Y1648" s="809">
        <f>$T$3</f>
        <v>2300</v>
      </c>
      <c r="Z1648" s="519"/>
    </row>
    <row r="1649" spans="1:26" ht="15.75" customHeight="1">
      <c r="A1649" s="800">
        <v>45873</v>
      </c>
      <c r="B1649" s="801"/>
      <c r="C1649" s="802" t="s">
        <v>2358</v>
      </c>
      <c r="D1649" s="803"/>
      <c r="E1649" s="803"/>
      <c r="F1649" s="801"/>
      <c r="G1649" s="801"/>
      <c r="H1649" s="801"/>
      <c r="I1649" s="801"/>
      <c r="J1649" s="804"/>
      <c r="K1649" s="804"/>
      <c r="L1649" s="805">
        <v>21</v>
      </c>
      <c r="M1649" s="804"/>
      <c r="N1649" s="804"/>
      <c r="O1649" s="804"/>
      <c r="P1649" s="804"/>
      <c r="Q1649" s="804"/>
      <c r="R1649" s="804"/>
      <c r="S1649" s="804"/>
      <c r="T1649" s="804"/>
      <c r="U1649" s="804"/>
      <c r="V1649" s="804"/>
      <c r="W1649" s="804"/>
      <c r="X1649" s="808">
        <f>L1649</f>
        <v>21</v>
      </c>
      <c r="Y1649" s="809" t="str">
        <f>$L$3</f>
        <v>6673-1</v>
      </c>
      <c r="Z1649" s="519"/>
    </row>
    <row r="1650" spans="1:26" ht="15.75" customHeight="1">
      <c r="A1650" s="800">
        <v>45875</v>
      </c>
      <c r="B1650" s="801"/>
      <c r="C1650" s="802" t="s">
        <v>2359</v>
      </c>
      <c r="D1650" s="803"/>
      <c r="E1650" s="803"/>
      <c r="F1650" s="801"/>
      <c r="G1650" s="801"/>
      <c r="H1650" s="801"/>
      <c r="I1650" s="801"/>
      <c r="J1650" s="804"/>
      <c r="K1650" s="804"/>
      <c r="L1650" s="805">
        <v>42.5</v>
      </c>
      <c r="M1650" s="804"/>
      <c r="N1650" s="804"/>
      <c r="O1650" s="804"/>
      <c r="P1650" s="804"/>
      <c r="Q1650" s="804"/>
      <c r="R1650" s="804"/>
      <c r="S1650" s="804"/>
      <c r="T1650" s="804"/>
      <c r="U1650" s="804"/>
      <c r="V1650" s="804"/>
      <c r="W1650" s="804"/>
      <c r="X1650" s="808">
        <f>L1650</f>
        <v>42.5</v>
      </c>
      <c r="Y1650" s="809" t="str">
        <f>$L$3</f>
        <v>6673-1</v>
      </c>
      <c r="Z1650" s="519"/>
    </row>
    <row r="1651" spans="1:26" ht="15.75" customHeight="1">
      <c r="A1651" s="800">
        <v>45880</v>
      </c>
      <c r="B1651" s="801"/>
      <c r="C1651" s="802" t="s">
        <v>2360</v>
      </c>
      <c r="D1651" s="803"/>
      <c r="E1651" s="803"/>
      <c r="F1651" s="805">
        <v>2</v>
      </c>
      <c r="G1651" s="801"/>
      <c r="H1651" s="801"/>
      <c r="I1651" s="801"/>
      <c r="J1651" s="804"/>
      <c r="K1651" s="804"/>
      <c r="L1651" s="804"/>
      <c r="M1651" s="804"/>
      <c r="N1651" s="804"/>
      <c r="O1651" s="804"/>
      <c r="P1651" s="804"/>
      <c r="Q1651" s="804"/>
      <c r="R1651" s="804"/>
      <c r="S1651" s="804"/>
      <c r="T1651" s="804"/>
      <c r="U1651" s="804"/>
      <c r="V1651" s="804"/>
      <c r="W1651" s="804"/>
      <c r="X1651" s="808">
        <f>F1651</f>
        <v>2</v>
      </c>
      <c r="Y1651" s="809" t="s">
        <v>2325</v>
      </c>
      <c r="Z1651" s="519"/>
    </row>
    <row r="1652" spans="1:26" ht="15.75" customHeight="1">
      <c r="A1652" s="800">
        <v>45880</v>
      </c>
      <c r="B1652" s="801" t="s">
        <v>2361</v>
      </c>
      <c r="C1652" s="802" t="s">
        <v>2301</v>
      </c>
      <c r="D1652" s="810">
        <v>6200</v>
      </c>
      <c r="E1652" s="803"/>
      <c r="F1652" s="801"/>
      <c r="G1652" s="801"/>
      <c r="H1652" s="801"/>
      <c r="I1652" s="801"/>
      <c r="J1652" s="804"/>
      <c r="K1652" s="804"/>
      <c r="L1652" s="804"/>
      <c r="M1652" s="804"/>
      <c r="N1652" s="804"/>
      <c r="O1652" s="804"/>
      <c r="P1652" s="804"/>
      <c r="Q1652" s="804"/>
      <c r="R1652" s="804"/>
      <c r="S1652" s="804"/>
      <c r="T1652" s="804"/>
      <c r="U1652" s="804"/>
      <c r="V1652" s="804"/>
      <c r="W1652" s="804"/>
      <c r="X1652" s="1034">
        <f>D1652</f>
        <v>6200</v>
      </c>
      <c r="Y1652" s="809" t="s">
        <v>2300</v>
      </c>
      <c r="Z1652" s="519"/>
    </row>
    <row r="1653" spans="1:26" ht="15.75" customHeight="1">
      <c r="A1653" s="800">
        <v>45880</v>
      </c>
      <c r="B1653" s="801"/>
      <c r="C1653" s="802" t="s">
        <v>426</v>
      </c>
      <c r="D1653" s="803"/>
      <c r="E1653" s="803"/>
      <c r="F1653" s="801"/>
      <c r="G1653" s="801"/>
      <c r="H1653" s="801"/>
      <c r="I1653" s="801"/>
      <c r="J1653" s="804"/>
      <c r="K1653" s="804"/>
      <c r="L1653" s="804"/>
      <c r="M1653" s="804"/>
      <c r="N1653" s="804"/>
      <c r="O1653" s="804"/>
      <c r="P1653" s="804"/>
      <c r="Q1653" s="805">
        <v>34.75</v>
      </c>
      <c r="R1653" s="804"/>
      <c r="S1653" s="804"/>
      <c r="T1653" s="804"/>
      <c r="U1653" s="804"/>
      <c r="V1653" s="804"/>
      <c r="W1653" s="804"/>
      <c r="X1653" s="808">
        <f>Q1653</f>
        <v>34.75</v>
      </c>
      <c r="Y1653" s="809" t="str">
        <f>$Q$3</f>
        <v>6495-2</v>
      </c>
      <c r="Z1653" s="519"/>
    </row>
    <row r="1654" spans="1:26" ht="15.75" customHeight="1">
      <c r="A1654" s="800">
        <v>45881</v>
      </c>
      <c r="B1654" s="801" t="s">
        <v>2362</v>
      </c>
      <c r="C1654" s="802" t="s">
        <v>2303</v>
      </c>
      <c r="D1654" s="803"/>
      <c r="E1654" s="805">
        <v>4820</v>
      </c>
      <c r="F1654" s="801"/>
      <c r="G1654" s="801">
        <v>4520</v>
      </c>
      <c r="H1654" s="801"/>
      <c r="I1654" s="801"/>
      <c r="J1654" s="804"/>
      <c r="K1654" s="804"/>
      <c r="L1654" s="804"/>
      <c r="M1654" s="804"/>
      <c r="N1654" s="804"/>
      <c r="O1654" s="804"/>
      <c r="P1654" s="804"/>
      <c r="Q1654" s="804"/>
      <c r="R1654" s="804"/>
      <c r="S1654" s="804"/>
      <c r="T1654" s="804"/>
      <c r="U1654" s="804"/>
      <c r="V1654" s="804"/>
      <c r="W1654" s="804"/>
      <c r="X1654" s="808">
        <f>E1654</f>
        <v>4820</v>
      </c>
      <c r="Y1654" s="809" t="s">
        <v>2304</v>
      </c>
      <c r="Z1654" s="519"/>
    </row>
    <row r="1655" spans="1:26" ht="15.75" customHeight="1">
      <c r="A1655" s="800">
        <v>45881</v>
      </c>
      <c r="B1655" s="801"/>
      <c r="C1655" s="802" t="s">
        <v>207</v>
      </c>
      <c r="D1655" s="803"/>
      <c r="E1655" s="803"/>
      <c r="F1655" s="801"/>
      <c r="G1655" s="801"/>
      <c r="H1655" s="801"/>
      <c r="I1655" s="801"/>
      <c r="J1655" s="804"/>
      <c r="K1655" s="804"/>
      <c r="L1655" s="804"/>
      <c r="M1655" s="805">
        <v>44.1</v>
      </c>
      <c r="N1655" s="804"/>
      <c r="O1655" s="804"/>
      <c r="P1655" s="804"/>
      <c r="Q1655" s="804"/>
      <c r="R1655" s="804"/>
      <c r="S1655" s="804"/>
      <c r="T1655" s="804"/>
      <c r="U1655" s="804"/>
      <c r="V1655" s="804"/>
      <c r="W1655" s="804"/>
      <c r="X1655" s="808">
        <f>M1655</f>
        <v>44.1</v>
      </c>
      <c r="Y1655" s="809" t="str">
        <f>$M$3</f>
        <v>6673-2</v>
      </c>
      <c r="Z1655" s="519"/>
    </row>
    <row r="1656" spans="1:26" ht="15.75" customHeight="1">
      <c r="A1656" s="800">
        <v>45882</v>
      </c>
      <c r="B1656" s="801"/>
      <c r="C1656" s="802" t="s">
        <v>2363</v>
      </c>
      <c r="D1656" s="803"/>
      <c r="E1656" s="803"/>
      <c r="F1656" s="801"/>
      <c r="G1656" s="801"/>
      <c r="H1656" s="801"/>
      <c r="I1656" s="801"/>
      <c r="J1656" s="804"/>
      <c r="K1656" s="804"/>
      <c r="L1656" s="804"/>
      <c r="M1656" s="804"/>
      <c r="N1656" s="804"/>
      <c r="O1656" s="804"/>
      <c r="P1656" s="805">
        <v>198.25</v>
      </c>
      <c r="Q1656" s="804"/>
      <c r="R1656" s="804"/>
      <c r="S1656" s="804"/>
      <c r="T1656" s="804"/>
      <c r="U1656" s="804"/>
      <c r="V1656" s="804"/>
      <c r="W1656" s="804"/>
      <c r="X1656" s="808">
        <f>P1656</f>
        <v>198.25</v>
      </c>
      <c r="Y1656" s="809">
        <f>$P$3</f>
        <v>6815</v>
      </c>
      <c r="Z1656" s="519"/>
    </row>
    <row r="1657" spans="1:26" ht="15.75" customHeight="1">
      <c r="A1657" s="800">
        <v>45882</v>
      </c>
      <c r="B1657" s="801"/>
      <c r="C1657" s="802" t="s">
        <v>544</v>
      </c>
      <c r="D1657" s="803"/>
      <c r="E1657" s="803"/>
      <c r="F1657" s="801"/>
      <c r="G1657" s="801"/>
      <c r="H1657" s="801"/>
      <c r="I1657" s="801"/>
      <c r="J1657" s="804"/>
      <c r="K1657" s="804"/>
      <c r="L1657" s="804"/>
      <c r="M1657" s="805">
        <v>16.63</v>
      </c>
      <c r="N1657" s="804"/>
      <c r="O1657" s="804"/>
      <c r="P1657" s="804"/>
      <c r="Q1657" s="804"/>
      <c r="R1657" s="804"/>
      <c r="S1657" s="804"/>
      <c r="T1657" s="804"/>
      <c r="U1657" s="804"/>
      <c r="V1657" s="804"/>
      <c r="W1657" s="804"/>
      <c r="X1657" s="808">
        <f>M1657</f>
        <v>16.63</v>
      </c>
      <c r="Y1657" s="809" t="str">
        <f>$M$3</f>
        <v>6673-2</v>
      </c>
      <c r="Z1657" s="519"/>
    </row>
    <row r="1658" spans="1:26" ht="15.75" customHeight="1">
      <c r="A1658" s="800">
        <v>45883</v>
      </c>
      <c r="B1658" s="801"/>
      <c r="C1658" s="802" t="s">
        <v>194</v>
      </c>
      <c r="D1658" s="803"/>
      <c r="E1658" s="803"/>
      <c r="F1658" s="801"/>
      <c r="G1658" s="801"/>
      <c r="H1658" s="801"/>
      <c r="I1658" s="801"/>
      <c r="J1658" s="804"/>
      <c r="K1658" s="804"/>
      <c r="L1658" s="804"/>
      <c r="M1658" s="804"/>
      <c r="N1658" s="804"/>
      <c r="O1658" s="804"/>
      <c r="P1658" s="804"/>
      <c r="Q1658" s="804"/>
      <c r="R1658" s="804"/>
      <c r="S1658" s="805">
        <v>11.5</v>
      </c>
      <c r="T1658" s="804"/>
      <c r="U1658" s="804"/>
      <c r="V1658" s="804"/>
      <c r="W1658" s="804"/>
      <c r="X1658" s="808">
        <f>S1658</f>
        <v>11.5</v>
      </c>
      <c r="Y1658" s="809">
        <f>$S$3</f>
        <v>6855</v>
      </c>
      <c r="Z1658" s="519"/>
    </row>
    <row r="1659" spans="1:26" ht="15.75" customHeight="1">
      <c r="A1659" s="800">
        <v>45884</v>
      </c>
      <c r="B1659" s="801"/>
      <c r="C1659" s="802" t="s">
        <v>394</v>
      </c>
      <c r="D1659" s="803"/>
      <c r="E1659" s="803"/>
      <c r="F1659" s="801"/>
      <c r="G1659" s="801"/>
      <c r="H1659" s="801"/>
      <c r="I1659" s="801"/>
      <c r="J1659" s="804"/>
      <c r="K1659" s="804"/>
      <c r="L1659" s="804"/>
      <c r="M1659" s="804"/>
      <c r="N1659" s="804"/>
      <c r="O1659" s="804"/>
      <c r="P1659" s="804"/>
      <c r="Q1659" s="804"/>
      <c r="R1659" s="804"/>
      <c r="S1659" s="804"/>
      <c r="T1659" s="805">
        <v>18.36</v>
      </c>
      <c r="U1659" s="804"/>
      <c r="V1659" s="804"/>
      <c r="W1659" s="804"/>
      <c r="X1659" s="808">
        <f>T1659</f>
        <v>18.36</v>
      </c>
      <c r="Y1659" s="809">
        <f>$T$3</f>
        <v>2300</v>
      </c>
      <c r="Z1659" s="519"/>
    </row>
    <row r="1660" spans="1:26" ht="15.75" customHeight="1">
      <c r="A1660" s="800">
        <v>45884</v>
      </c>
      <c r="B1660" s="801"/>
      <c r="C1660" s="802" t="s">
        <v>2312</v>
      </c>
      <c r="D1660" s="803"/>
      <c r="E1660" s="803"/>
      <c r="F1660" s="801"/>
      <c r="G1660" s="801"/>
      <c r="H1660" s="805">
        <v>924.69</v>
      </c>
      <c r="I1660" s="804"/>
      <c r="J1660" s="804"/>
      <c r="K1660" s="804"/>
      <c r="L1660" s="804"/>
      <c r="M1660" s="804"/>
      <c r="N1660" s="804"/>
      <c r="O1660" s="804"/>
      <c r="P1660" s="804"/>
      <c r="Q1660" s="804"/>
      <c r="R1660" s="804"/>
      <c r="S1660" s="804"/>
      <c r="T1660" s="804"/>
      <c r="U1660" s="804"/>
      <c r="V1660" s="804"/>
      <c r="W1660" s="804"/>
      <c r="X1660" s="808">
        <f>H1660</f>
        <v>924.69</v>
      </c>
      <c r="Y1660" s="809">
        <f>$H$3</f>
        <v>2200</v>
      </c>
      <c r="Z1660" s="519"/>
    </row>
    <row r="1661" spans="1:26" ht="15.75" customHeight="1">
      <c r="A1661" s="800">
        <v>45885</v>
      </c>
      <c r="B1661" s="801"/>
      <c r="C1661" s="802" t="s">
        <v>2315</v>
      </c>
      <c r="D1661" s="803"/>
      <c r="E1661" s="803"/>
      <c r="F1661" s="801"/>
      <c r="G1661" s="801"/>
      <c r="H1661" s="801"/>
      <c r="I1661" s="801"/>
      <c r="J1661" s="804"/>
      <c r="K1661" s="804"/>
      <c r="L1661" s="804"/>
      <c r="M1661" s="804"/>
      <c r="N1661" s="804"/>
      <c r="O1661" s="804"/>
      <c r="P1661" s="804"/>
      <c r="Q1661" s="805">
        <v>5.39</v>
      </c>
      <c r="R1661" s="804"/>
      <c r="S1661" s="804"/>
      <c r="T1661" s="804"/>
      <c r="U1661" s="804"/>
      <c r="V1661" s="804"/>
      <c r="W1661" s="804"/>
      <c r="X1661" s="808">
        <f>Q1661</f>
        <v>5.39</v>
      </c>
      <c r="Y1661" s="809" t="str">
        <f>$Q$3</f>
        <v>6495-2</v>
      </c>
      <c r="Z1661" s="519"/>
    </row>
    <row r="1662" spans="1:26" ht="15.75" customHeight="1">
      <c r="A1662" s="800">
        <v>45886</v>
      </c>
      <c r="B1662" s="801"/>
      <c r="C1662" s="802" t="s">
        <v>2364</v>
      </c>
      <c r="D1662" s="803"/>
      <c r="E1662" s="803"/>
      <c r="F1662" s="801"/>
      <c r="G1662" s="801"/>
      <c r="H1662" s="801"/>
      <c r="I1662" s="801"/>
      <c r="J1662" s="804"/>
      <c r="K1662" s="804"/>
      <c r="L1662" s="804"/>
      <c r="M1662" s="804"/>
      <c r="N1662" s="805">
        <v>3643.24</v>
      </c>
      <c r="O1662" s="804"/>
      <c r="P1662" s="804"/>
      <c r="Q1662" s="804"/>
      <c r="R1662" s="804"/>
      <c r="S1662" s="804"/>
      <c r="T1662" s="804"/>
      <c r="U1662" s="804"/>
      <c r="V1662" s="804"/>
      <c r="W1662" s="804"/>
      <c r="X1662" s="808">
        <f>N1662</f>
        <v>3643.24</v>
      </c>
      <c r="Y1662" s="809">
        <f>$N$3</f>
        <v>6680</v>
      </c>
      <c r="Z1662" s="519"/>
    </row>
    <row r="1663" spans="1:26" ht="15.75" customHeight="1">
      <c r="A1663" s="800">
        <v>45887</v>
      </c>
      <c r="B1663" s="801"/>
      <c r="C1663" s="802" t="s">
        <v>2365</v>
      </c>
      <c r="D1663" s="803"/>
      <c r="E1663" s="803"/>
      <c r="F1663" s="801"/>
      <c r="G1663" s="801"/>
      <c r="H1663" s="801"/>
      <c r="I1663" s="801"/>
      <c r="J1663" s="804"/>
      <c r="K1663" s="804"/>
      <c r="L1663" s="805">
        <v>165.73</v>
      </c>
      <c r="M1663" s="804"/>
      <c r="N1663" s="804"/>
      <c r="O1663" s="804"/>
      <c r="P1663" s="804"/>
      <c r="Q1663" s="804"/>
      <c r="R1663" s="804"/>
      <c r="S1663" s="804"/>
      <c r="T1663" s="804"/>
      <c r="U1663" s="804"/>
      <c r="V1663" s="804"/>
      <c r="W1663" s="804"/>
      <c r="X1663" s="808">
        <f>L1663</f>
        <v>165.73</v>
      </c>
      <c r="Y1663" s="809" t="str">
        <f>$L$3</f>
        <v>6673-1</v>
      </c>
      <c r="Z1663" s="519"/>
    </row>
    <row r="1664" spans="1:26" ht="15.75" customHeight="1">
      <c r="A1664" s="800">
        <v>45887</v>
      </c>
      <c r="B1664" s="801"/>
      <c r="C1664" s="802" t="s">
        <v>2366</v>
      </c>
      <c r="D1664" s="803"/>
      <c r="E1664" s="803"/>
      <c r="F1664" s="801"/>
      <c r="G1664" s="801"/>
      <c r="H1664" s="801"/>
      <c r="I1664" s="801"/>
      <c r="J1664" s="804"/>
      <c r="K1664" s="804"/>
      <c r="L1664" s="804"/>
      <c r="M1664" s="804"/>
      <c r="N1664" s="804"/>
      <c r="O1664" s="804"/>
      <c r="P1664" s="804"/>
      <c r="Q1664" s="805">
        <v>29.99</v>
      </c>
      <c r="R1664" s="804"/>
      <c r="S1664" s="804"/>
      <c r="T1664" s="804"/>
      <c r="U1664" s="804"/>
      <c r="V1664" s="804"/>
      <c r="W1664" s="804"/>
      <c r="X1664" s="808">
        <f>Q1664</f>
        <v>29.99</v>
      </c>
      <c r="Y1664" s="809" t="str">
        <f>$Q$3</f>
        <v>6495-2</v>
      </c>
      <c r="Z1664" s="519"/>
    </row>
    <row r="1665" spans="1:26" ht="15.75" customHeight="1">
      <c r="A1665" s="800">
        <v>45888</v>
      </c>
      <c r="B1665" s="801"/>
      <c r="C1665" s="802" t="s">
        <v>2316</v>
      </c>
      <c r="D1665" s="803"/>
      <c r="E1665" s="803"/>
      <c r="F1665" s="801"/>
      <c r="G1665" s="801"/>
      <c r="H1665" s="801"/>
      <c r="I1665" s="801"/>
      <c r="J1665" s="804"/>
      <c r="K1665" s="805">
        <v>34.99</v>
      </c>
      <c r="L1665" s="804"/>
      <c r="M1665" s="804"/>
      <c r="N1665" s="804"/>
      <c r="O1665" s="804"/>
      <c r="P1665" s="804"/>
      <c r="Q1665" s="804"/>
      <c r="R1665" s="804"/>
      <c r="S1665" s="804"/>
      <c r="T1665" s="804"/>
      <c r="U1665" s="804"/>
      <c r="V1665" s="804"/>
      <c r="W1665" s="804"/>
      <c r="X1665" s="808">
        <f>K1665</f>
        <v>34.99</v>
      </c>
      <c r="Y1665" s="809" t="str">
        <f>$K$3</f>
        <v>6495-1</v>
      </c>
      <c r="Z1665" s="519"/>
    </row>
    <row r="1666" spans="1:26" ht="15.75" customHeight="1">
      <c r="A1666" s="800">
        <v>45888</v>
      </c>
      <c r="B1666" s="801"/>
      <c r="C1666" s="802" t="s">
        <v>2327</v>
      </c>
      <c r="D1666" s="803"/>
      <c r="E1666" s="803"/>
      <c r="F1666" s="805">
        <v>17.5</v>
      </c>
      <c r="G1666" s="801"/>
      <c r="H1666" s="801"/>
      <c r="I1666" s="801"/>
      <c r="J1666" s="804"/>
      <c r="K1666" s="804"/>
      <c r="L1666" s="804"/>
      <c r="M1666" s="804"/>
      <c r="N1666" s="804"/>
      <c r="O1666" s="804"/>
      <c r="P1666" s="804"/>
      <c r="Q1666" s="804"/>
      <c r="R1666" s="804"/>
      <c r="S1666" s="804"/>
      <c r="T1666" s="804"/>
      <c r="U1666" s="804"/>
      <c r="V1666" s="804"/>
      <c r="W1666" s="804"/>
      <c r="X1666" s="808">
        <f>F1666</f>
        <v>17.5</v>
      </c>
      <c r="Y1666" s="809" t="s">
        <v>2325</v>
      </c>
      <c r="Z1666" s="519"/>
    </row>
    <row r="1667" spans="1:26" ht="15.75" customHeight="1">
      <c r="A1667" s="800">
        <v>45889</v>
      </c>
      <c r="B1667" s="801"/>
      <c r="C1667" s="802" t="s">
        <v>2367</v>
      </c>
      <c r="D1667" s="803"/>
      <c r="E1667" s="803"/>
      <c r="F1667" s="805">
        <v>-924</v>
      </c>
      <c r="G1667" s="801"/>
      <c r="H1667" s="801"/>
      <c r="I1667" s="801"/>
      <c r="J1667" s="804"/>
      <c r="K1667" s="804"/>
      <c r="L1667" s="804"/>
      <c r="M1667" s="804"/>
      <c r="N1667" s="804"/>
      <c r="O1667" s="804"/>
      <c r="P1667" s="804"/>
      <c r="Q1667" s="804"/>
      <c r="R1667" s="804"/>
      <c r="S1667" s="804"/>
      <c r="T1667" s="804"/>
      <c r="U1667" s="804"/>
      <c r="V1667" s="804"/>
      <c r="W1667" s="804"/>
      <c r="X1667" s="808">
        <f>F1667</f>
        <v>-924</v>
      </c>
      <c r="Y1667" s="809" t="s">
        <v>2325</v>
      </c>
      <c r="Z1667" s="519"/>
    </row>
    <row r="1668" spans="1:26" ht="15.75" customHeight="1">
      <c r="A1668" s="800">
        <v>45889</v>
      </c>
      <c r="B1668" s="801"/>
      <c r="C1668" s="802" t="s">
        <v>178</v>
      </c>
      <c r="D1668" s="803"/>
      <c r="E1668" s="803"/>
      <c r="F1668" s="801"/>
      <c r="G1668" s="801"/>
      <c r="H1668" s="801"/>
      <c r="I1668" s="801"/>
      <c r="J1668" s="804"/>
      <c r="K1668" s="804"/>
      <c r="L1668" s="804"/>
      <c r="M1668" s="804"/>
      <c r="N1668" s="804"/>
      <c r="O1668" s="805">
        <v>74.349999999999994</v>
      </c>
      <c r="P1668" s="804"/>
      <c r="Q1668" s="804"/>
      <c r="R1668" s="804"/>
      <c r="S1668" s="804"/>
      <c r="T1668" s="804"/>
      <c r="U1668" s="804"/>
      <c r="V1668" s="804"/>
      <c r="W1668" s="804"/>
      <c r="X1668" s="808">
        <f>O1668</f>
        <v>74.349999999999994</v>
      </c>
      <c r="Y1668" s="809">
        <f>$O$3</f>
        <v>6530</v>
      </c>
      <c r="Z1668" s="519"/>
    </row>
    <row r="1669" spans="1:26" ht="15.75" customHeight="1">
      <c r="A1669" s="800">
        <v>45889</v>
      </c>
      <c r="B1669" s="801"/>
      <c r="C1669" s="802" t="s">
        <v>426</v>
      </c>
      <c r="D1669" s="803"/>
      <c r="E1669" s="803"/>
      <c r="F1669" s="801"/>
      <c r="G1669" s="801"/>
      <c r="H1669" s="801"/>
      <c r="I1669" s="801"/>
      <c r="J1669" s="804"/>
      <c r="K1669" s="804"/>
      <c r="L1669" s="804"/>
      <c r="M1669" s="804"/>
      <c r="N1669" s="804"/>
      <c r="O1669" s="804"/>
      <c r="P1669" s="804"/>
      <c r="Q1669" s="805">
        <v>34.729999999999997</v>
      </c>
      <c r="R1669" s="804"/>
      <c r="S1669" s="804"/>
      <c r="T1669" s="804"/>
      <c r="U1669" s="804"/>
      <c r="V1669" s="804"/>
      <c r="W1669" s="804"/>
      <c r="X1669" s="808">
        <f>Q1669</f>
        <v>34.729999999999997</v>
      </c>
      <c r="Y1669" s="809" t="str">
        <f>$Q$3</f>
        <v>6495-2</v>
      </c>
      <c r="Z1669" s="519"/>
    </row>
    <row r="1670" spans="1:26" ht="15.75" customHeight="1">
      <c r="A1670" s="800">
        <v>45890</v>
      </c>
      <c r="B1670" s="801"/>
      <c r="C1670" s="802" t="s">
        <v>2318</v>
      </c>
      <c r="D1670" s="803"/>
      <c r="E1670" s="803"/>
      <c r="F1670" s="801"/>
      <c r="G1670" s="801"/>
      <c r="H1670" s="801"/>
      <c r="I1670" s="801"/>
      <c r="J1670" s="805">
        <v>23.26</v>
      </c>
      <c r="K1670" s="804"/>
      <c r="L1670" s="804"/>
      <c r="M1670" s="804"/>
      <c r="N1670" s="804"/>
      <c r="O1670" s="804"/>
      <c r="P1670" s="804"/>
      <c r="Q1670" s="804"/>
      <c r="R1670" s="804"/>
      <c r="S1670" s="804"/>
      <c r="T1670" s="804"/>
      <c r="U1670" s="804"/>
      <c r="V1670" s="804"/>
      <c r="W1670" s="804"/>
      <c r="X1670" s="808">
        <f>J1670</f>
        <v>23.26</v>
      </c>
      <c r="Y1670" s="809">
        <f>$J$3</f>
        <v>6805</v>
      </c>
      <c r="Z1670" s="519"/>
    </row>
    <row r="1671" spans="1:26" ht="15.75" customHeight="1">
      <c r="A1671" s="800">
        <v>45890</v>
      </c>
      <c r="B1671" s="801" t="s">
        <v>2188</v>
      </c>
      <c r="C1671" s="802" t="s">
        <v>2307</v>
      </c>
      <c r="D1671" s="810">
        <v>550</v>
      </c>
      <c r="E1671" s="803"/>
      <c r="F1671" s="801"/>
      <c r="G1671" s="801"/>
      <c r="H1671" s="801"/>
      <c r="I1671" s="801"/>
      <c r="J1671" s="804"/>
      <c r="K1671" s="804"/>
      <c r="L1671" s="804"/>
      <c r="M1671" s="804"/>
      <c r="N1671" s="804"/>
      <c r="O1671" s="804"/>
      <c r="P1671" s="804"/>
      <c r="Q1671" s="804"/>
      <c r="R1671" s="804"/>
      <c r="S1671" s="804"/>
      <c r="T1671" s="804"/>
      <c r="U1671" s="804"/>
      <c r="V1671" s="804"/>
      <c r="W1671" s="804"/>
      <c r="X1671" s="1034">
        <f>D1671</f>
        <v>550</v>
      </c>
      <c r="Y1671" s="809" t="s">
        <v>2300</v>
      </c>
      <c r="Z1671" s="519"/>
    </row>
    <row r="1672" spans="1:26" ht="15.75" customHeight="1">
      <c r="A1672" s="800">
        <v>45892</v>
      </c>
      <c r="B1672" s="801"/>
      <c r="C1672" s="802" t="s">
        <v>2319</v>
      </c>
      <c r="D1672" s="803"/>
      <c r="E1672" s="803"/>
      <c r="F1672" s="801"/>
      <c r="G1672" s="801"/>
      <c r="H1672" s="801"/>
      <c r="I1672" s="801"/>
      <c r="J1672" s="805">
        <v>11.58</v>
      </c>
      <c r="K1672" s="804"/>
      <c r="L1672" s="804"/>
      <c r="M1672" s="804"/>
      <c r="N1672" s="804"/>
      <c r="O1672" s="804"/>
      <c r="P1672" s="804"/>
      <c r="Q1672" s="804"/>
      <c r="R1672" s="804"/>
      <c r="S1672" s="804"/>
      <c r="T1672" s="804"/>
      <c r="U1672" s="804"/>
      <c r="V1672" s="804"/>
      <c r="W1672" s="804"/>
      <c r="X1672" s="808">
        <f>J1672</f>
        <v>11.58</v>
      </c>
      <c r="Y1672" s="809">
        <f>$J$3</f>
        <v>6805</v>
      </c>
      <c r="Z1672" s="519"/>
    </row>
    <row r="1673" spans="1:26" ht="15.75" customHeight="1">
      <c r="A1673" s="800">
        <v>45894</v>
      </c>
      <c r="B1673" s="801"/>
      <c r="C1673" s="802" t="s">
        <v>178</v>
      </c>
      <c r="D1673" s="803"/>
      <c r="E1673" s="803"/>
      <c r="F1673" s="801"/>
      <c r="G1673" s="801"/>
      <c r="H1673" s="801"/>
      <c r="I1673" s="801"/>
      <c r="J1673" s="804"/>
      <c r="K1673" s="804"/>
      <c r="L1673" s="804"/>
      <c r="M1673" s="804"/>
      <c r="N1673" s="804"/>
      <c r="O1673" s="805">
        <v>22.86</v>
      </c>
      <c r="P1673" s="804"/>
      <c r="Q1673" s="804"/>
      <c r="R1673" s="804"/>
      <c r="S1673" s="804"/>
      <c r="T1673" s="804"/>
      <c r="U1673" s="804"/>
      <c r="V1673" s="804"/>
      <c r="W1673" s="804"/>
      <c r="X1673" s="808">
        <f>O1673</f>
        <v>22.86</v>
      </c>
      <c r="Y1673" s="809">
        <f>$O$3</f>
        <v>6530</v>
      </c>
      <c r="Z1673" s="519"/>
    </row>
    <row r="1674" spans="1:26" ht="15.75" customHeight="1">
      <c r="A1674" s="800">
        <v>45894</v>
      </c>
      <c r="B1674" s="801"/>
      <c r="C1674" s="802" t="s">
        <v>2368</v>
      </c>
      <c r="D1674" s="803"/>
      <c r="E1674" s="803"/>
      <c r="F1674" s="801"/>
      <c r="G1674" s="801"/>
      <c r="H1674" s="801"/>
      <c r="I1674" s="801"/>
      <c r="J1674" s="804"/>
      <c r="K1674" s="804"/>
      <c r="L1674" s="804"/>
      <c r="M1674" s="804"/>
      <c r="N1674" s="804"/>
      <c r="O1674" s="804"/>
      <c r="P1674" s="805">
        <v>12.01</v>
      </c>
      <c r="Q1674" s="804"/>
      <c r="R1674" s="804"/>
      <c r="S1674" s="804"/>
      <c r="T1674" s="804"/>
      <c r="U1674" s="804"/>
      <c r="V1674" s="804"/>
      <c r="W1674" s="804"/>
      <c r="X1674" s="808">
        <f>P1674</f>
        <v>12.01</v>
      </c>
      <c r="Y1674" s="809">
        <f>$P$3</f>
        <v>6815</v>
      </c>
      <c r="Z1674" s="519"/>
    </row>
    <row r="1675" spans="1:26" ht="15.75" customHeight="1">
      <c r="A1675" s="800">
        <v>45894</v>
      </c>
      <c r="B1675" s="801"/>
      <c r="C1675" s="802" t="s">
        <v>2369</v>
      </c>
      <c r="D1675" s="803"/>
      <c r="E1675" s="803"/>
      <c r="F1675" s="801"/>
      <c r="G1675" s="801"/>
      <c r="H1675" s="801"/>
      <c r="I1675" s="801"/>
      <c r="J1675" s="804"/>
      <c r="K1675" s="804"/>
      <c r="L1675" s="804"/>
      <c r="M1675" s="804"/>
      <c r="N1675" s="804"/>
      <c r="O1675" s="804"/>
      <c r="P1675" s="804">
        <v>37.090000000000003</v>
      </c>
      <c r="Q1675" s="804"/>
      <c r="R1675" s="804"/>
      <c r="S1675" s="804"/>
      <c r="T1675" s="804"/>
      <c r="U1675" s="804"/>
      <c r="V1675" s="804"/>
      <c r="W1675" s="804"/>
      <c r="X1675" s="808">
        <f>P1675</f>
        <v>37.090000000000003</v>
      </c>
      <c r="Y1675" s="809">
        <f>$P$3</f>
        <v>6815</v>
      </c>
      <c r="Z1675" s="519"/>
    </row>
    <row r="1676" spans="1:26" ht="15.75" customHeight="1">
      <c r="A1676" s="800">
        <v>45896</v>
      </c>
      <c r="B1676" s="801"/>
      <c r="C1676" s="802" t="s">
        <v>2320</v>
      </c>
      <c r="D1676" s="803"/>
      <c r="E1676" s="803"/>
      <c r="F1676" s="801"/>
      <c r="G1676" s="801"/>
      <c r="H1676" s="801"/>
      <c r="I1676" s="801"/>
      <c r="J1676" s="804"/>
      <c r="K1676" s="804"/>
      <c r="L1676" s="804"/>
      <c r="M1676" s="804"/>
      <c r="N1676" s="804"/>
      <c r="O1676" s="804"/>
      <c r="P1676" s="804"/>
      <c r="Q1676" s="804"/>
      <c r="R1676" s="804"/>
      <c r="S1676" s="805">
        <v>13.94</v>
      </c>
      <c r="T1676" s="804"/>
      <c r="U1676" s="804"/>
      <c r="V1676" s="804"/>
      <c r="W1676" s="804"/>
      <c r="X1676" s="808">
        <f>S1676</f>
        <v>13.94</v>
      </c>
      <c r="Y1676" s="809">
        <f>$S$3</f>
        <v>6855</v>
      </c>
      <c r="Z1676" s="519"/>
    </row>
    <row r="1677" spans="1:26" ht="15.75" customHeight="1">
      <c r="A1677" s="800">
        <v>45896</v>
      </c>
      <c r="B1677" s="801"/>
      <c r="C1677" s="802" t="s">
        <v>2370</v>
      </c>
      <c r="D1677" s="803"/>
      <c r="E1677" s="803"/>
      <c r="F1677" s="801"/>
      <c r="G1677" s="801"/>
      <c r="H1677" s="801"/>
      <c r="I1677" s="801"/>
      <c r="J1677" s="804"/>
      <c r="K1677" s="804"/>
      <c r="L1677" s="805">
        <v>9.85</v>
      </c>
      <c r="M1677" s="804"/>
      <c r="N1677" s="804"/>
      <c r="O1677" s="804"/>
      <c r="P1677" s="804"/>
      <c r="Q1677" s="804"/>
      <c r="R1677" s="804"/>
      <c r="S1677" s="804"/>
      <c r="T1677" s="804"/>
      <c r="U1677" s="804"/>
      <c r="V1677" s="804"/>
      <c r="W1677" s="804"/>
      <c r="X1677" s="808">
        <f>L1677</f>
        <v>9.85</v>
      </c>
      <c r="Y1677" s="809" t="str">
        <f>$L$3</f>
        <v>6673-1</v>
      </c>
      <c r="Z1677" s="519"/>
    </row>
    <row r="1678" spans="1:26" ht="15.75" customHeight="1">
      <c r="A1678" s="800">
        <v>45896</v>
      </c>
      <c r="B1678" s="801"/>
      <c r="C1678" s="802" t="s">
        <v>207</v>
      </c>
      <c r="D1678" s="803"/>
      <c r="E1678" s="803"/>
      <c r="F1678" s="801"/>
      <c r="G1678" s="801"/>
      <c r="H1678" s="801"/>
      <c r="I1678" s="801"/>
      <c r="J1678" s="804"/>
      <c r="K1678" s="804"/>
      <c r="L1678" s="804"/>
      <c r="M1678" s="805">
        <v>41.41</v>
      </c>
      <c r="N1678" s="804"/>
      <c r="O1678" s="804"/>
      <c r="P1678" s="804"/>
      <c r="Q1678" s="804"/>
      <c r="R1678" s="804"/>
      <c r="S1678" s="804"/>
      <c r="T1678" s="804"/>
      <c r="U1678" s="804"/>
      <c r="V1678" s="804"/>
      <c r="W1678" s="804"/>
      <c r="X1678" s="808">
        <f>M1678</f>
        <v>41.41</v>
      </c>
      <c r="Y1678" s="809" t="str">
        <f>$M$3</f>
        <v>6673-2</v>
      </c>
      <c r="Z1678" s="519"/>
    </row>
    <row r="1679" spans="1:26" ht="15.75" customHeight="1">
      <c r="A1679" s="800">
        <v>45897</v>
      </c>
      <c r="B1679" s="801"/>
      <c r="C1679" s="802" t="s">
        <v>544</v>
      </c>
      <c r="D1679" s="803"/>
      <c r="E1679" s="803"/>
      <c r="F1679" s="801"/>
      <c r="G1679" s="801"/>
      <c r="H1679" s="801"/>
      <c r="I1679" s="801"/>
      <c r="J1679" s="804"/>
      <c r="K1679" s="804"/>
      <c r="L1679" s="804"/>
      <c r="M1679" s="805">
        <v>16.63</v>
      </c>
      <c r="N1679" s="804"/>
      <c r="O1679" s="804"/>
      <c r="P1679" s="804"/>
      <c r="Q1679" s="804"/>
      <c r="R1679" s="804"/>
      <c r="S1679" s="804"/>
      <c r="T1679" s="804"/>
      <c r="U1679" s="804"/>
      <c r="V1679" s="804"/>
      <c r="W1679" s="804"/>
      <c r="X1679" s="808">
        <f>M1679</f>
        <v>16.63</v>
      </c>
      <c r="Y1679" s="809" t="str">
        <f>$M$3</f>
        <v>6673-2</v>
      </c>
      <c r="Z1679" s="519"/>
    </row>
    <row r="1680" spans="1:26" ht="15.75" customHeight="1">
      <c r="A1680" s="800">
        <v>45898</v>
      </c>
      <c r="B1680" s="801"/>
      <c r="C1680" s="802" t="s">
        <v>2321</v>
      </c>
      <c r="D1680" s="803"/>
      <c r="E1680" s="805">
        <v>660.68</v>
      </c>
      <c r="F1680" s="801"/>
      <c r="G1680" s="801"/>
      <c r="H1680" s="801"/>
      <c r="I1680" s="801"/>
      <c r="J1680" s="804"/>
      <c r="K1680" s="804"/>
      <c r="L1680" s="804"/>
      <c r="M1680" s="804"/>
      <c r="N1680" s="804"/>
      <c r="O1680" s="804"/>
      <c r="P1680" s="804"/>
      <c r="Q1680" s="804"/>
      <c r="R1680" s="804"/>
      <c r="S1680" s="804"/>
      <c r="T1680" s="804"/>
      <c r="U1680" s="804"/>
      <c r="V1680" s="804"/>
      <c r="W1680" s="804"/>
      <c r="X1680" s="808">
        <f>E1680</f>
        <v>660.68</v>
      </c>
      <c r="Y1680" s="809" t="s">
        <v>2304</v>
      </c>
      <c r="Z1680" s="519"/>
    </row>
    <row r="1681" spans="1:26" ht="15.75" customHeight="1">
      <c r="A1681" s="800">
        <v>45898</v>
      </c>
      <c r="B1681" s="801"/>
      <c r="C1681" s="802" t="s">
        <v>2346</v>
      </c>
      <c r="D1681" s="803"/>
      <c r="E1681" s="803"/>
      <c r="F1681" s="805">
        <v>2733</v>
      </c>
      <c r="G1681" s="801"/>
      <c r="H1681" s="801"/>
      <c r="I1681" s="801"/>
      <c r="J1681" s="804"/>
      <c r="K1681" s="804"/>
      <c r="L1681" s="804"/>
      <c r="M1681" s="804"/>
      <c r="N1681" s="804"/>
      <c r="O1681" s="804"/>
      <c r="P1681" s="804"/>
      <c r="Q1681" s="804"/>
      <c r="R1681" s="804"/>
      <c r="S1681" s="804"/>
      <c r="T1681" s="804"/>
      <c r="U1681" s="804"/>
      <c r="V1681" s="804"/>
      <c r="W1681" s="804"/>
      <c r="X1681" s="808">
        <f>F1681</f>
        <v>2733</v>
      </c>
      <c r="Y1681" s="809" t="s">
        <v>2325</v>
      </c>
      <c r="Z1681" s="519"/>
    </row>
    <row r="1682" spans="1:26" ht="15.75" customHeight="1">
      <c r="A1682" s="800">
        <v>45898</v>
      </c>
      <c r="B1682" s="801"/>
      <c r="C1682" s="802" t="s">
        <v>2360</v>
      </c>
      <c r="D1682" s="803"/>
      <c r="E1682" s="803"/>
      <c r="F1682" s="805">
        <v>3</v>
      </c>
      <c r="G1682" s="801"/>
      <c r="H1682" s="801"/>
      <c r="I1682" s="801"/>
      <c r="J1682" s="804"/>
      <c r="K1682" s="804"/>
      <c r="L1682" s="804"/>
      <c r="M1682" s="804"/>
      <c r="N1682" s="804"/>
      <c r="O1682" s="804"/>
      <c r="P1682" s="804"/>
      <c r="Q1682" s="804"/>
      <c r="R1682" s="804"/>
      <c r="S1682" s="804"/>
      <c r="T1682" s="804"/>
      <c r="U1682" s="804"/>
      <c r="V1682" s="804"/>
      <c r="W1682" s="804"/>
      <c r="X1682" s="808">
        <f>F1682</f>
        <v>3</v>
      </c>
      <c r="Y1682" s="809" t="s">
        <v>2325</v>
      </c>
      <c r="Z1682" s="519"/>
    </row>
    <row r="1683" spans="1:26" ht="15.75" customHeight="1">
      <c r="A1683" s="800">
        <v>45898</v>
      </c>
      <c r="B1683" s="801"/>
      <c r="C1683" s="802" t="s">
        <v>545</v>
      </c>
      <c r="D1683" s="803"/>
      <c r="E1683" s="803"/>
      <c r="F1683" s="801"/>
      <c r="G1683" s="801"/>
      <c r="H1683" s="801"/>
      <c r="I1683" s="801"/>
      <c r="J1683" s="804"/>
      <c r="K1683" s="804"/>
      <c r="L1683" s="804"/>
      <c r="M1683" s="804"/>
      <c r="N1683" s="804"/>
      <c r="O1683" s="804"/>
      <c r="P1683" s="804"/>
      <c r="Q1683" s="804"/>
      <c r="R1683" s="804"/>
      <c r="S1683" s="805">
        <v>11.09</v>
      </c>
      <c r="T1683" s="804"/>
      <c r="U1683" s="804"/>
      <c r="V1683" s="804"/>
      <c r="W1683" s="804"/>
      <c r="X1683" s="808">
        <f>S1683</f>
        <v>11.09</v>
      </c>
      <c r="Y1683" s="809">
        <f>$S$3</f>
        <v>6855</v>
      </c>
      <c r="Z1683" s="519"/>
    </row>
    <row r="1684" spans="1:26" ht="15.75" customHeight="1">
      <c r="A1684" s="800">
        <v>45898</v>
      </c>
      <c r="B1684" s="801"/>
      <c r="C1684" s="802" t="s">
        <v>2371</v>
      </c>
      <c r="D1684" s="803"/>
      <c r="E1684" s="803"/>
      <c r="F1684" s="801"/>
      <c r="G1684" s="801"/>
      <c r="H1684" s="801"/>
      <c r="I1684" s="801"/>
      <c r="J1684" s="804"/>
      <c r="K1684" s="804"/>
      <c r="L1684" s="805">
        <v>14</v>
      </c>
      <c r="M1684" s="804"/>
      <c r="N1684" s="804"/>
      <c r="O1684" s="804"/>
      <c r="P1684" s="804"/>
      <c r="Q1684" s="804"/>
      <c r="R1684" s="804"/>
      <c r="S1684" s="804"/>
      <c r="T1684" s="804"/>
      <c r="U1684" s="804"/>
      <c r="V1684" s="804"/>
      <c r="W1684" s="804"/>
      <c r="X1684" s="808">
        <f>L1684</f>
        <v>14</v>
      </c>
      <c r="Y1684" s="809" t="str">
        <f>$L$3</f>
        <v>6673-1</v>
      </c>
      <c r="Z1684" s="519"/>
    </row>
    <row r="1685" spans="1:26" ht="15.75" customHeight="1">
      <c r="A1685" s="800">
        <v>45899</v>
      </c>
      <c r="B1685" s="801"/>
      <c r="C1685" s="802" t="s">
        <v>426</v>
      </c>
      <c r="D1685" s="803"/>
      <c r="E1685" s="803"/>
      <c r="F1685" s="801"/>
      <c r="G1685" s="801"/>
      <c r="H1685" s="801"/>
      <c r="I1685" s="801"/>
      <c r="J1685" s="804"/>
      <c r="K1685" s="804"/>
      <c r="L1685" s="804"/>
      <c r="M1685" s="804"/>
      <c r="N1685" s="804"/>
      <c r="O1685" s="804"/>
      <c r="P1685" s="804"/>
      <c r="Q1685" s="805">
        <v>34.6</v>
      </c>
      <c r="R1685" s="804"/>
      <c r="S1685" s="804"/>
      <c r="T1685" s="804"/>
      <c r="U1685" s="804"/>
      <c r="V1685" s="804"/>
      <c r="W1685" s="804"/>
      <c r="X1685" s="808">
        <f>Q1685</f>
        <v>34.6</v>
      </c>
      <c r="Y1685" s="809" t="str">
        <f>$Q$3</f>
        <v>6495-2</v>
      </c>
      <c r="Z1685" s="519"/>
    </row>
    <row r="1686" spans="1:26" ht="15.75" customHeight="1">
      <c r="A1686" s="800"/>
      <c r="B1686" s="801"/>
      <c r="C1686" s="802"/>
      <c r="D1686" s="803"/>
      <c r="E1686" s="803"/>
      <c r="F1686" s="801"/>
      <c r="G1686" s="801"/>
      <c r="H1686" s="801"/>
      <c r="I1686" s="801"/>
      <c r="J1686" s="804"/>
      <c r="K1686" s="804"/>
      <c r="L1686" s="804"/>
      <c r="M1686" s="804"/>
      <c r="N1686" s="804"/>
      <c r="O1686" s="804"/>
      <c r="P1686" s="804"/>
      <c r="Q1686" s="812"/>
      <c r="R1686" s="804"/>
      <c r="S1686" s="804"/>
      <c r="T1686" s="804"/>
      <c r="U1686" s="804"/>
      <c r="V1686" s="804"/>
      <c r="W1686" s="804"/>
      <c r="X1686" s="811"/>
      <c r="Y1686" s="809"/>
      <c r="Z1686" s="519"/>
    </row>
    <row r="1687" spans="1:26" ht="15.75" customHeight="1">
      <c r="A1687" s="795"/>
      <c r="B1687" s="796">
        <v>45901</v>
      </c>
      <c r="C1687" s="795"/>
      <c r="D1687" s="795"/>
      <c r="E1687" s="795"/>
      <c r="F1687" s="795"/>
      <c r="G1687" s="795"/>
      <c r="H1687" s="795"/>
      <c r="I1687" s="795"/>
      <c r="J1687" s="795"/>
      <c r="K1687" s="795"/>
      <c r="L1687" s="795"/>
      <c r="M1687" s="795"/>
      <c r="N1687" s="795"/>
      <c r="O1687" s="795"/>
      <c r="P1687" s="795"/>
      <c r="Q1687" s="795"/>
      <c r="R1687" s="795"/>
      <c r="S1687" s="795"/>
      <c r="T1687" s="795"/>
      <c r="U1687" s="795"/>
      <c r="V1687" s="795"/>
      <c r="W1687" s="795"/>
      <c r="X1687" s="797"/>
      <c r="Y1687" s="799"/>
      <c r="Z1687" s="519"/>
    </row>
    <row r="1688" spans="1:26" ht="15.75" customHeight="1">
      <c r="A1688" s="800">
        <v>45901</v>
      </c>
      <c r="B1688" s="801"/>
      <c r="C1688" s="802" t="s">
        <v>2296</v>
      </c>
      <c r="D1688" s="803"/>
      <c r="E1688" s="803"/>
      <c r="F1688" s="801"/>
      <c r="G1688" s="801"/>
      <c r="H1688" s="801"/>
      <c r="I1688" s="801"/>
      <c r="J1688" s="804"/>
      <c r="K1688" s="804"/>
      <c r="L1688" s="804"/>
      <c r="M1688" s="805">
        <v>58</v>
      </c>
      <c r="N1688" s="804"/>
      <c r="O1688" s="804"/>
      <c r="P1688" s="804"/>
      <c r="Q1688" s="804"/>
      <c r="R1688" s="804"/>
      <c r="S1688" s="804"/>
      <c r="T1688" s="804"/>
      <c r="U1688" s="804"/>
      <c r="V1688" s="804"/>
      <c r="W1688" s="804"/>
      <c r="X1688" s="808">
        <f>M1688</f>
        <v>58</v>
      </c>
      <c r="Y1688" s="809" t="str">
        <f>$M$3</f>
        <v>6673-2</v>
      </c>
      <c r="Z1688" s="519"/>
    </row>
    <row r="1689" spans="1:26" ht="15.75" customHeight="1">
      <c r="A1689" s="800">
        <v>45901</v>
      </c>
      <c r="B1689" s="801"/>
      <c r="C1689" s="802" t="s">
        <v>2295</v>
      </c>
      <c r="D1689" s="803"/>
      <c r="E1689" s="803"/>
      <c r="F1689" s="801"/>
      <c r="G1689" s="801"/>
      <c r="H1689" s="801"/>
      <c r="I1689" s="801"/>
      <c r="J1689" s="804"/>
      <c r="K1689" s="804"/>
      <c r="L1689" s="804"/>
      <c r="M1689" s="804"/>
      <c r="N1689" s="804"/>
      <c r="O1689" s="804"/>
      <c r="P1689" s="804"/>
      <c r="Q1689" s="805">
        <v>23</v>
      </c>
      <c r="R1689" s="804"/>
      <c r="S1689" s="804"/>
      <c r="T1689" s="804"/>
      <c r="U1689" s="804"/>
      <c r="V1689" s="804"/>
      <c r="W1689" s="804"/>
      <c r="X1689" s="808">
        <f>Q1689</f>
        <v>23</v>
      </c>
      <c r="Y1689" s="809" t="str">
        <f>$Q$3</f>
        <v>6495-2</v>
      </c>
      <c r="Z1689" s="519"/>
    </row>
    <row r="1690" spans="1:26" ht="15.75" customHeight="1">
      <c r="A1690" s="800">
        <v>45901</v>
      </c>
      <c r="B1690" s="801"/>
      <c r="C1690" s="802" t="s">
        <v>2298</v>
      </c>
      <c r="D1690" s="803"/>
      <c r="E1690" s="803"/>
      <c r="F1690" s="801"/>
      <c r="G1690" s="801"/>
      <c r="H1690" s="801"/>
      <c r="I1690" s="801"/>
      <c r="J1690" s="804"/>
      <c r="K1690" s="804"/>
      <c r="L1690" s="804"/>
      <c r="M1690" s="804"/>
      <c r="N1690" s="804"/>
      <c r="O1690" s="804"/>
      <c r="P1690" s="804"/>
      <c r="Q1690" s="804"/>
      <c r="R1690" s="804"/>
      <c r="S1690" s="804"/>
      <c r="T1690" s="805">
        <v>304.25</v>
      </c>
      <c r="U1690" s="804"/>
      <c r="V1690" s="804"/>
      <c r="W1690" s="804"/>
      <c r="X1690" s="808">
        <f>T1690</f>
        <v>304.25</v>
      </c>
      <c r="Y1690" s="809">
        <f>$T$3</f>
        <v>2300</v>
      </c>
      <c r="Z1690" s="519"/>
    </row>
    <row r="1691" spans="1:26" ht="15.75" customHeight="1">
      <c r="A1691" s="800">
        <v>45902</v>
      </c>
      <c r="B1691" s="801"/>
      <c r="C1691" s="802" t="s">
        <v>2297</v>
      </c>
      <c r="D1691" s="803"/>
      <c r="E1691" s="803"/>
      <c r="F1691" s="801"/>
      <c r="G1691" s="801"/>
      <c r="H1691" s="801"/>
      <c r="I1691" s="801"/>
      <c r="J1691" s="804"/>
      <c r="K1691" s="804"/>
      <c r="L1691" s="804"/>
      <c r="M1691" s="804"/>
      <c r="N1691" s="804"/>
      <c r="O1691" s="804"/>
      <c r="P1691" s="804"/>
      <c r="Q1691" s="804"/>
      <c r="R1691" s="804"/>
      <c r="S1691" s="804"/>
      <c r="T1691" s="805">
        <v>80</v>
      </c>
      <c r="U1691" s="804"/>
      <c r="V1691" s="804"/>
      <c r="W1691" s="804"/>
      <c r="X1691" s="808">
        <f>T1691</f>
        <v>80</v>
      </c>
      <c r="Y1691" s="809">
        <f>$T$3</f>
        <v>2300</v>
      </c>
      <c r="Z1691" s="519"/>
    </row>
    <row r="1692" spans="1:26" ht="15.75" customHeight="1">
      <c r="A1692" s="800">
        <v>45902</v>
      </c>
      <c r="B1692" s="801"/>
      <c r="C1692" s="802" t="s">
        <v>2360</v>
      </c>
      <c r="D1692" s="803"/>
      <c r="E1692" s="803"/>
      <c r="F1692" s="805">
        <v>700</v>
      </c>
      <c r="G1692" s="801"/>
      <c r="H1692" s="801"/>
      <c r="I1692" s="801"/>
      <c r="J1692" s="804"/>
      <c r="K1692" s="804"/>
      <c r="L1692" s="804"/>
      <c r="M1692" s="804"/>
      <c r="N1692" s="804"/>
      <c r="O1692" s="804"/>
      <c r="P1692" s="804"/>
      <c r="Q1692" s="804"/>
      <c r="R1692" s="804"/>
      <c r="S1692" s="804"/>
      <c r="T1692" s="804"/>
      <c r="U1692" s="804"/>
      <c r="V1692" s="804"/>
      <c r="W1692" s="804"/>
      <c r="X1692" s="808">
        <f>F1692</f>
        <v>700</v>
      </c>
      <c r="Y1692" s="809" t="s">
        <v>2325</v>
      </c>
      <c r="Z1692" s="519"/>
    </row>
    <row r="1693" spans="1:26" ht="15.75" customHeight="1">
      <c r="A1693" s="800">
        <v>45903</v>
      </c>
      <c r="B1693" s="801"/>
      <c r="C1693" s="802" t="s">
        <v>2372</v>
      </c>
      <c r="D1693" s="803"/>
      <c r="E1693" s="803"/>
      <c r="F1693" s="801"/>
      <c r="G1693" s="801"/>
      <c r="H1693" s="801"/>
      <c r="I1693" s="801"/>
      <c r="J1693" s="804"/>
      <c r="K1693" s="804"/>
      <c r="L1693" s="804"/>
      <c r="M1693" s="804"/>
      <c r="N1693" s="804"/>
      <c r="O1693" s="804"/>
      <c r="P1693" s="804"/>
      <c r="Q1693" s="804"/>
      <c r="R1693" s="804"/>
      <c r="S1693" s="804"/>
      <c r="T1693" s="805">
        <v>120</v>
      </c>
      <c r="U1693" s="804"/>
      <c r="V1693" s="804"/>
      <c r="W1693" s="804"/>
      <c r="X1693" s="808">
        <f>T1693</f>
        <v>120</v>
      </c>
      <c r="Y1693" s="809">
        <f>$T$3</f>
        <v>2300</v>
      </c>
      <c r="Z1693" s="519"/>
    </row>
    <row r="1694" spans="1:26" ht="15.75" customHeight="1">
      <c r="A1694" s="800">
        <v>45903</v>
      </c>
      <c r="B1694" s="801"/>
      <c r="C1694" s="802" t="s">
        <v>2302</v>
      </c>
      <c r="D1694" s="803"/>
      <c r="E1694" s="803"/>
      <c r="F1694" s="801"/>
      <c r="G1694" s="801"/>
      <c r="H1694" s="801"/>
      <c r="I1694" s="801"/>
      <c r="J1694" s="804"/>
      <c r="K1694" s="804"/>
      <c r="L1694" s="804"/>
      <c r="M1694" s="804"/>
      <c r="N1694" s="805">
        <v>950</v>
      </c>
      <c r="O1694" s="804"/>
      <c r="P1694" s="804"/>
      <c r="Q1694" s="804"/>
      <c r="R1694" s="804"/>
      <c r="S1694" s="804"/>
      <c r="T1694" s="804"/>
      <c r="U1694" s="804"/>
      <c r="V1694" s="804"/>
      <c r="W1694" s="804"/>
      <c r="X1694" s="808">
        <f>N1694</f>
        <v>950</v>
      </c>
      <c r="Y1694" s="809">
        <f>$N$3</f>
        <v>6680</v>
      </c>
      <c r="Z1694" s="519"/>
    </row>
    <row r="1695" spans="1:26" ht="15.75" customHeight="1">
      <c r="A1695" s="800">
        <v>45904</v>
      </c>
      <c r="B1695" s="801"/>
      <c r="C1695" s="802" t="s">
        <v>2373</v>
      </c>
      <c r="D1695" s="803"/>
      <c r="E1695" s="803"/>
      <c r="F1695" s="801"/>
      <c r="G1695" s="801"/>
      <c r="H1695" s="801"/>
      <c r="I1695" s="801"/>
      <c r="J1695" s="804"/>
      <c r="K1695" s="804"/>
      <c r="L1695" s="805">
        <v>454.84</v>
      </c>
      <c r="M1695" s="804"/>
      <c r="N1695" s="804"/>
      <c r="O1695" s="804"/>
      <c r="P1695" s="804"/>
      <c r="Q1695" s="804"/>
      <c r="R1695" s="804"/>
      <c r="S1695" s="804"/>
      <c r="T1695" s="804"/>
      <c r="U1695" s="804"/>
      <c r="V1695" s="804"/>
      <c r="W1695" s="804"/>
      <c r="X1695" s="808">
        <f>L1695</f>
        <v>454.84</v>
      </c>
      <c r="Y1695" s="809" t="str">
        <f>$L$3</f>
        <v>6673-1</v>
      </c>
      <c r="Z1695" s="519"/>
    </row>
    <row r="1696" spans="1:26" ht="15.75" customHeight="1">
      <c r="A1696" s="800">
        <v>45905</v>
      </c>
      <c r="B1696" s="801"/>
      <c r="C1696" s="802" t="s">
        <v>426</v>
      </c>
      <c r="D1696" s="803"/>
      <c r="E1696" s="803"/>
      <c r="F1696" s="801"/>
      <c r="G1696" s="801"/>
      <c r="H1696" s="801"/>
      <c r="I1696" s="801"/>
      <c r="J1696" s="804"/>
      <c r="K1696" s="804"/>
      <c r="L1696" s="804"/>
      <c r="M1696" s="804"/>
      <c r="N1696" s="804"/>
      <c r="O1696" s="804"/>
      <c r="P1696" s="804"/>
      <c r="Q1696" s="805">
        <v>34.81</v>
      </c>
      <c r="R1696" s="804"/>
      <c r="S1696" s="804"/>
      <c r="T1696" s="804"/>
      <c r="U1696" s="804"/>
      <c r="V1696" s="804"/>
      <c r="W1696" s="804"/>
      <c r="X1696" s="808">
        <f>Q1696</f>
        <v>34.81</v>
      </c>
      <c r="Y1696" s="809" t="str">
        <f>$Q$3</f>
        <v>6495-2</v>
      </c>
      <c r="Z1696" s="519"/>
    </row>
    <row r="1697" spans="1:26" ht="15.75" customHeight="1">
      <c r="A1697" s="800">
        <v>45908</v>
      </c>
      <c r="B1697" s="801"/>
      <c r="C1697" s="802" t="s">
        <v>2365</v>
      </c>
      <c r="D1697" s="803"/>
      <c r="E1697" s="803"/>
      <c r="F1697" s="801"/>
      <c r="G1697" s="801"/>
      <c r="H1697" s="801"/>
      <c r="I1697" s="801"/>
      <c r="J1697" s="804"/>
      <c r="K1697" s="804"/>
      <c r="L1697" s="805">
        <v>388.49</v>
      </c>
      <c r="M1697" s="804"/>
      <c r="N1697" s="804"/>
      <c r="O1697" s="804"/>
      <c r="P1697" s="804"/>
      <c r="Q1697" s="804"/>
      <c r="R1697" s="804"/>
      <c r="S1697" s="804"/>
      <c r="T1697" s="804"/>
      <c r="U1697" s="804"/>
      <c r="V1697" s="804"/>
      <c r="W1697" s="804"/>
      <c r="X1697" s="808">
        <f>L1697</f>
        <v>388.49</v>
      </c>
      <c r="Y1697" s="809" t="str">
        <f>$L$3</f>
        <v>6673-1</v>
      </c>
      <c r="Z1697" s="519"/>
    </row>
    <row r="1698" spans="1:26" ht="15.75" customHeight="1">
      <c r="A1698" s="800">
        <v>45909</v>
      </c>
      <c r="B1698" s="801"/>
      <c r="C1698" s="802" t="s">
        <v>2374</v>
      </c>
      <c r="D1698" s="803"/>
      <c r="E1698" s="803"/>
      <c r="F1698" s="801"/>
      <c r="G1698" s="801"/>
      <c r="H1698" s="801"/>
      <c r="I1698" s="801"/>
      <c r="J1698" s="804"/>
      <c r="K1698" s="804"/>
      <c r="L1698" s="804"/>
      <c r="M1698" s="804"/>
      <c r="N1698" s="804"/>
      <c r="O1698" s="804"/>
      <c r="P1698" s="804"/>
      <c r="Q1698" s="804"/>
      <c r="R1698" s="805">
        <v>3200.74</v>
      </c>
      <c r="S1698" s="804"/>
      <c r="T1698" s="804"/>
      <c r="U1698" s="804"/>
      <c r="V1698" s="804"/>
      <c r="W1698" s="804"/>
      <c r="X1698" s="808">
        <f>R1698</f>
        <v>3200.74</v>
      </c>
      <c r="Y1698" s="809">
        <f>$R$3</f>
        <v>6827</v>
      </c>
      <c r="Z1698" s="519"/>
    </row>
    <row r="1699" spans="1:26" ht="15.75" customHeight="1">
      <c r="A1699" s="800">
        <v>45912</v>
      </c>
      <c r="B1699" s="801"/>
      <c r="C1699" s="802" t="s">
        <v>194</v>
      </c>
      <c r="D1699" s="803"/>
      <c r="E1699" s="803"/>
      <c r="F1699" s="801"/>
      <c r="G1699" s="801"/>
      <c r="H1699" s="801"/>
      <c r="I1699" s="801"/>
      <c r="J1699" s="804"/>
      <c r="K1699" s="804"/>
      <c r="L1699" s="804"/>
      <c r="M1699" s="804"/>
      <c r="N1699" s="804"/>
      <c r="O1699" s="804"/>
      <c r="P1699" s="804"/>
      <c r="Q1699" s="804"/>
      <c r="R1699" s="804"/>
      <c r="S1699" s="805">
        <v>11.5</v>
      </c>
      <c r="T1699" s="804"/>
      <c r="U1699" s="804"/>
      <c r="V1699" s="804"/>
      <c r="W1699" s="804"/>
      <c r="X1699" s="808">
        <f>S1699</f>
        <v>11.5</v>
      </c>
      <c r="Y1699" s="809">
        <f>$S$3</f>
        <v>6855</v>
      </c>
      <c r="Z1699" s="519"/>
    </row>
    <row r="1700" spans="1:26" ht="15.75" customHeight="1">
      <c r="A1700" s="800">
        <v>45912</v>
      </c>
      <c r="B1700" s="801"/>
      <c r="C1700" s="802" t="s">
        <v>426</v>
      </c>
      <c r="D1700" s="803"/>
      <c r="E1700" s="803"/>
      <c r="F1700" s="801"/>
      <c r="G1700" s="801"/>
      <c r="H1700" s="801"/>
      <c r="I1700" s="801"/>
      <c r="J1700" s="804"/>
      <c r="K1700" s="804"/>
      <c r="L1700" s="804"/>
      <c r="M1700" s="804"/>
      <c r="N1700" s="804"/>
      <c r="O1700" s="804"/>
      <c r="P1700" s="804"/>
      <c r="Q1700" s="805">
        <v>35.07</v>
      </c>
      <c r="R1700" s="804"/>
      <c r="S1700" s="804"/>
      <c r="T1700" s="804"/>
      <c r="U1700" s="804"/>
      <c r="V1700" s="804"/>
      <c r="W1700" s="804"/>
      <c r="X1700" s="808">
        <f>Q1700</f>
        <v>35.07</v>
      </c>
      <c r="Y1700" s="809" t="str">
        <f>$Q$3</f>
        <v>6495-2</v>
      </c>
      <c r="Z1700" s="519"/>
    </row>
    <row r="1701" spans="1:26" ht="15.75" customHeight="1">
      <c r="A1701" s="800">
        <v>45915</v>
      </c>
      <c r="B1701" s="801"/>
      <c r="C1701" s="802" t="s">
        <v>394</v>
      </c>
      <c r="D1701" s="803"/>
      <c r="E1701" s="803"/>
      <c r="F1701" s="801"/>
      <c r="G1701" s="801"/>
      <c r="H1701" s="801"/>
      <c r="I1701" s="801"/>
      <c r="J1701" s="804"/>
      <c r="K1701" s="804"/>
      <c r="L1701" s="804"/>
      <c r="M1701" s="804"/>
      <c r="N1701" s="804"/>
      <c r="O1701" s="804"/>
      <c r="P1701" s="804"/>
      <c r="Q1701" s="804"/>
      <c r="R1701" s="804"/>
      <c r="S1701" s="804"/>
      <c r="T1701" s="805">
        <v>18.36</v>
      </c>
      <c r="U1701" s="804"/>
      <c r="V1701" s="804"/>
      <c r="W1701" s="804"/>
      <c r="X1701" s="808">
        <f>T1701</f>
        <v>18.36</v>
      </c>
      <c r="Y1701" s="809">
        <f>$T$3</f>
        <v>2300</v>
      </c>
      <c r="Z1701" s="519"/>
    </row>
    <row r="1702" spans="1:26" ht="15.75" customHeight="1">
      <c r="A1702" s="800">
        <v>45915</v>
      </c>
      <c r="B1702" s="801"/>
      <c r="C1702" s="802" t="s">
        <v>2309</v>
      </c>
      <c r="D1702" s="803"/>
      <c r="E1702" s="803"/>
      <c r="F1702" s="801"/>
      <c r="G1702" s="810"/>
      <c r="H1702" s="801"/>
      <c r="I1702" s="801"/>
      <c r="J1702" s="804"/>
      <c r="K1702" s="804"/>
      <c r="L1702" s="804"/>
      <c r="M1702" s="804"/>
      <c r="N1702" s="804"/>
      <c r="O1702" s="805">
        <v>426.09</v>
      </c>
      <c r="P1702" s="804"/>
      <c r="Q1702" s="804"/>
      <c r="R1702" s="804"/>
      <c r="S1702" s="804"/>
      <c r="T1702" s="804"/>
      <c r="U1702" s="804"/>
      <c r="V1702" s="804"/>
      <c r="W1702" s="804"/>
      <c r="X1702" s="808">
        <f>O1702</f>
        <v>426.09</v>
      </c>
      <c r="Y1702" s="809">
        <f>$O$3</f>
        <v>6530</v>
      </c>
      <c r="Z1702" s="519"/>
    </row>
    <row r="1703" spans="1:26" ht="15.75" customHeight="1">
      <c r="A1703" s="800">
        <v>45915</v>
      </c>
      <c r="B1703" s="801"/>
      <c r="C1703" s="802" t="s">
        <v>545</v>
      </c>
      <c r="D1703" s="803"/>
      <c r="E1703" s="803"/>
      <c r="F1703" s="801"/>
      <c r="G1703" s="801"/>
      <c r="H1703" s="801"/>
      <c r="I1703" s="801"/>
      <c r="J1703" s="804"/>
      <c r="K1703" s="804"/>
      <c r="L1703" s="804"/>
      <c r="M1703" s="804"/>
      <c r="N1703" s="804"/>
      <c r="O1703" s="804"/>
      <c r="P1703" s="804"/>
      <c r="Q1703" s="804"/>
      <c r="R1703" s="804"/>
      <c r="S1703" s="805">
        <v>11.09</v>
      </c>
      <c r="T1703" s="804"/>
      <c r="U1703" s="804"/>
      <c r="V1703" s="804"/>
      <c r="W1703" s="804"/>
      <c r="X1703" s="808">
        <f>S1703</f>
        <v>11.09</v>
      </c>
      <c r="Y1703" s="809">
        <f>$S$3</f>
        <v>6855</v>
      </c>
      <c r="Z1703" s="519"/>
    </row>
    <row r="1704" spans="1:26" ht="15.75" customHeight="1">
      <c r="A1704" s="800">
        <v>45915</v>
      </c>
      <c r="B1704" s="801"/>
      <c r="C1704" s="802" t="s">
        <v>2312</v>
      </c>
      <c r="D1704" s="803"/>
      <c r="E1704" s="803"/>
      <c r="F1704" s="801"/>
      <c r="G1704" s="801"/>
      <c r="H1704" s="805">
        <v>924.69</v>
      </c>
      <c r="I1704" s="804"/>
      <c r="J1704" s="804"/>
      <c r="K1704" s="804"/>
      <c r="L1704" s="804"/>
      <c r="M1704" s="804"/>
      <c r="N1704" s="804"/>
      <c r="O1704" s="804"/>
      <c r="P1704" s="804"/>
      <c r="Q1704" s="804"/>
      <c r="R1704" s="804"/>
      <c r="S1704" s="804"/>
      <c r="T1704" s="804"/>
      <c r="U1704" s="804"/>
      <c r="V1704" s="804"/>
      <c r="W1704" s="804"/>
      <c r="X1704" s="808">
        <f>H1704</f>
        <v>924.69</v>
      </c>
      <c r="Y1704" s="809">
        <f>$H$3</f>
        <v>2200</v>
      </c>
      <c r="Z1704" s="519"/>
    </row>
    <row r="1705" spans="1:26" ht="15.75" customHeight="1">
      <c r="A1705" s="800">
        <v>45916</v>
      </c>
      <c r="B1705" s="801"/>
      <c r="C1705" s="802" t="s">
        <v>2315</v>
      </c>
      <c r="D1705" s="803"/>
      <c r="E1705" s="803"/>
      <c r="F1705" s="801"/>
      <c r="G1705" s="801"/>
      <c r="H1705" s="801"/>
      <c r="I1705" s="801"/>
      <c r="J1705" s="804"/>
      <c r="K1705" s="804"/>
      <c r="L1705" s="804"/>
      <c r="M1705" s="804"/>
      <c r="N1705" s="804"/>
      <c r="O1705" s="804"/>
      <c r="P1705" s="804"/>
      <c r="Q1705" s="805">
        <v>5.39</v>
      </c>
      <c r="R1705" s="804"/>
      <c r="S1705" s="804"/>
      <c r="T1705" s="804"/>
      <c r="U1705" s="804"/>
      <c r="V1705" s="804"/>
      <c r="W1705" s="804"/>
      <c r="X1705" s="808">
        <f>Q1705</f>
        <v>5.39</v>
      </c>
      <c r="Y1705" s="809" t="str">
        <f>$Q$3</f>
        <v>6495-2</v>
      </c>
      <c r="Z1705" s="519"/>
    </row>
    <row r="1706" spans="1:26" ht="15.75" customHeight="1">
      <c r="A1706" s="800">
        <v>45916</v>
      </c>
      <c r="B1706" s="801"/>
      <c r="C1706" s="802" t="s">
        <v>207</v>
      </c>
      <c r="D1706" s="803"/>
      <c r="E1706" s="803"/>
      <c r="F1706" s="801"/>
      <c r="G1706" s="801"/>
      <c r="H1706" s="801"/>
      <c r="I1706" s="801"/>
      <c r="J1706" s="804"/>
      <c r="K1706" s="804"/>
      <c r="L1706" s="804"/>
      <c r="M1706" s="805">
        <v>27.14</v>
      </c>
      <c r="N1706" s="804"/>
      <c r="O1706" s="804"/>
      <c r="P1706" s="804"/>
      <c r="Q1706" s="804"/>
      <c r="R1706" s="804"/>
      <c r="S1706" s="804"/>
      <c r="T1706" s="804"/>
      <c r="U1706" s="804"/>
      <c r="V1706" s="804"/>
      <c r="W1706" s="804"/>
      <c r="X1706" s="808">
        <f>M1706</f>
        <v>27.14</v>
      </c>
      <c r="Y1706" s="809" t="str">
        <f>$M$3</f>
        <v>6673-2</v>
      </c>
      <c r="Z1706" s="519"/>
    </row>
    <row r="1707" spans="1:26" ht="15.75" customHeight="1">
      <c r="A1707" s="800">
        <v>45917</v>
      </c>
      <c r="B1707" s="801"/>
      <c r="C1707" s="802" t="s">
        <v>2316</v>
      </c>
      <c r="D1707" s="803"/>
      <c r="E1707" s="803"/>
      <c r="F1707" s="801"/>
      <c r="G1707" s="801"/>
      <c r="H1707" s="801"/>
      <c r="I1707" s="801"/>
      <c r="J1707" s="804"/>
      <c r="K1707" s="805">
        <v>34.99</v>
      </c>
      <c r="L1707" s="804"/>
      <c r="M1707" s="804"/>
      <c r="N1707" s="804"/>
      <c r="O1707" s="804"/>
      <c r="P1707" s="804"/>
      <c r="Q1707" s="804"/>
      <c r="R1707" s="804"/>
      <c r="S1707" s="804"/>
      <c r="T1707" s="804"/>
      <c r="U1707" s="804"/>
      <c r="V1707" s="804"/>
      <c r="W1707" s="804"/>
      <c r="X1707" s="808">
        <f>K1707</f>
        <v>34.99</v>
      </c>
      <c r="Y1707" s="809" t="str">
        <f>$K$3</f>
        <v>6495-1</v>
      </c>
      <c r="Z1707" s="519"/>
    </row>
    <row r="1708" spans="1:26" ht="15.75" customHeight="1">
      <c r="A1708" s="800">
        <v>45917</v>
      </c>
      <c r="B1708" s="801"/>
      <c r="C1708" s="802" t="s">
        <v>544</v>
      </c>
      <c r="D1708" s="803"/>
      <c r="E1708" s="803"/>
      <c r="F1708" s="801"/>
      <c r="G1708" s="801"/>
      <c r="H1708" s="801"/>
      <c r="I1708" s="801"/>
      <c r="J1708" s="804"/>
      <c r="K1708" s="804"/>
      <c r="L1708" s="804"/>
      <c r="M1708" s="805">
        <v>46.4</v>
      </c>
      <c r="N1708" s="804"/>
      <c r="O1708" s="804"/>
      <c r="P1708" s="804"/>
      <c r="Q1708" s="804"/>
      <c r="R1708" s="804"/>
      <c r="S1708" s="804"/>
      <c r="T1708" s="804"/>
      <c r="U1708" s="804"/>
      <c r="V1708" s="804"/>
      <c r="W1708" s="804"/>
      <c r="X1708" s="808">
        <f>M1708</f>
        <v>46.4</v>
      </c>
      <c r="Y1708" s="809" t="str">
        <f>$M$3</f>
        <v>6673-2</v>
      </c>
      <c r="Z1708" s="519"/>
    </row>
    <row r="1709" spans="1:26" ht="15.75" customHeight="1">
      <c r="A1709" s="800">
        <v>45917</v>
      </c>
      <c r="B1709" s="801"/>
      <c r="C1709" s="802" t="s">
        <v>426</v>
      </c>
      <c r="D1709" s="803"/>
      <c r="E1709" s="803"/>
      <c r="F1709" s="801"/>
      <c r="G1709" s="801"/>
      <c r="H1709" s="801"/>
      <c r="I1709" s="801"/>
      <c r="J1709" s="804"/>
      <c r="K1709" s="804"/>
      <c r="L1709" s="804"/>
      <c r="M1709" s="804"/>
      <c r="N1709" s="804"/>
      <c r="O1709" s="804"/>
      <c r="P1709" s="804"/>
      <c r="Q1709" s="805">
        <v>34.090000000000003</v>
      </c>
      <c r="R1709" s="804"/>
      <c r="S1709" s="804"/>
      <c r="T1709" s="804"/>
      <c r="U1709" s="804"/>
      <c r="V1709" s="804"/>
      <c r="W1709" s="804"/>
      <c r="X1709" s="808">
        <f>Q1709</f>
        <v>34.090000000000003</v>
      </c>
      <c r="Y1709" s="809" t="str">
        <f>$Q$3</f>
        <v>6495-2</v>
      </c>
      <c r="Z1709" s="519"/>
    </row>
    <row r="1710" spans="1:26" ht="15.75" customHeight="1">
      <c r="A1710" s="800">
        <v>45918</v>
      </c>
      <c r="B1710" s="801"/>
      <c r="C1710" s="802" t="s">
        <v>2295</v>
      </c>
      <c r="D1710" s="803"/>
      <c r="E1710" s="803"/>
      <c r="F1710" s="801"/>
      <c r="G1710" s="801"/>
      <c r="H1710" s="801"/>
      <c r="I1710" s="801"/>
      <c r="J1710" s="804"/>
      <c r="K1710" s="804"/>
      <c r="L1710" s="804"/>
      <c r="M1710" s="804"/>
      <c r="N1710" s="804"/>
      <c r="O1710" s="804"/>
      <c r="P1710" s="804"/>
      <c r="Q1710" s="805">
        <v>23</v>
      </c>
      <c r="R1710" s="804"/>
      <c r="S1710" s="804"/>
      <c r="T1710" s="804"/>
      <c r="U1710" s="804"/>
      <c r="V1710" s="804"/>
      <c r="W1710" s="804"/>
      <c r="X1710" s="808">
        <f>Q1710</f>
        <v>23</v>
      </c>
      <c r="Y1710" s="809" t="str">
        <f>$Q$3</f>
        <v>6495-2</v>
      </c>
      <c r="Z1710" s="519"/>
    </row>
    <row r="1711" spans="1:26" ht="15.75" customHeight="1">
      <c r="A1711" s="800">
        <v>45918</v>
      </c>
      <c r="B1711" s="801"/>
      <c r="C1711" s="802" t="s">
        <v>2318</v>
      </c>
      <c r="D1711" s="803"/>
      <c r="E1711" s="803"/>
      <c r="F1711" s="801"/>
      <c r="G1711" s="801"/>
      <c r="H1711" s="801"/>
      <c r="I1711" s="801"/>
      <c r="J1711" s="805">
        <v>21.06</v>
      </c>
      <c r="K1711" s="804"/>
      <c r="L1711" s="804"/>
      <c r="M1711" s="804"/>
      <c r="N1711" s="804"/>
      <c r="O1711" s="804"/>
      <c r="P1711" s="804"/>
      <c r="Q1711" s="804"/>
      <c r="R1711" s="804"/>
      <c r="S1711" s="804"/>
      <c r="T1711" s="804"/>
      <c r="U1711" s="804"/>
      <c r="V1711" s="804"/>
      <c r="W1711" s="804"/>
      <c r="X1711" s="808">
        <f>J1711</f>
        <v>21.06</v>
      </c>
      <c r="Y1711" s="809">
        <f>$J$3</f>
        <v>6805</v>
      </c>
      <c r="Z1711" s="519"/>
    </row>
    <row r="1712" spans="1:26" ht="15.75" customHeight="1">
      <c r="A1712" s="800">
        <v>45920</v>
      </c>
      <c r="B1712" s="801"/>
      <c r="C1712" s="802" t="s">
        <v>528</v>
      </c>
      <c r="D1712" s="803"/>
      <c r="E1712" s="803"/>
      <c r="F1712" s="801"/>
      <c r="G1712" s="801"/>
      <c r="H1712" s="801"/>
      <c r="I1712" s="801"/>
      <c r="J1712" s="804"/>
      <c r="K1712" s="804"/>
      <c r="L1712" s="804"/>
      <c r="M1712" s="804"/>
      <c r="N1712" s="804"/>
      <c r="O1712" s="805">
        <v>54.87</v>
      </c>
      <c r="P1712" s="804"/>
      <c r="Q1712" s="804"/>
      <c r="R1712" s="804"/>
      <c r="S1712" s="804"/>
      <c r="T1712" s="804"/>
      <c r="U1712" s="804"/>
      <c r="V1712" s="804"/>
      <c r="W1712" s="804"/>
      <c r="X1712" s="808">
        <f>O1712</f>
        <v>54.87</v>
      </c>
      <c r="Y1712" s="809">
        <f>$O$3</f>
        <v>6530</v>
      </c>
      <c r="Z1712" s="519"/>
    </row>
    <row r="1713" spans="1:26" ht="15.75" customHeight="1">
      <c r="A1713" s="800">
        <v>45923</v>
      </c>
      <c r="B1713" s="801"/>
      <c r="C1713" s="802" t="s">
        <v>2319</v>
      </c>
      <c r="D1713" s="803"/>
      <c r="E1713" s="803"/>
      <c r="F1713" s="801"/>
      <c r="G1713" s="801"/>
      <c r="H1713" s="801"/>
      <c r="I1713" s="801"/>
      <c r="J1713" s="805">
        <v>11.48</v>
      </c>
      <c r="K1713" s="804"/>
      <c r="L1713" s="804"/>
      <c r="M1713" s="804"/>
      <c r="N1713" s="804"/>
      <c r="O1713" s="804"/>
      <c r="P1713" s="804"/>
      <c r="Q1713" s="804"/>
      <c r="R1713" s="804"/>
      <c r="S1713" s="804"/>
      <c r="T1713" s="804"/>
      <c r="U1713" s="804"/>
      <c r="V1713" s="804"/>
      <c r="W1713" s="804"/>
      <c r="X1713" s="808">
        <f>J1713</f>
        <v>11.48</v>
      </c>
      <c r="Y1713" s="809">
        <f>$J$3</f>
        <v>6805</v>
      </c>
      <c r="Z1713" s="519"/>
    </row>
    <row r="1714" spans="1:26" ht="15.75" customHeight="1">
      <c r="A1714" s="800">
        <v>45923</v>
      </c>
      <c r="B1714" s="801"/>
      <c r="C1714" s="802" t="s">
        <v>426</v>
      </c>
      <c r="D1714" s="803"/>
      <c r="E1714" s="803"/>
      <c r="F1714" s="801"/>
      <c r="G1714" s="801"/>
      <c r="H1714" s="801"/>
      <c r="I1714" s="801"/>
      <c r="J1714" s="804"/>
      <c r="K1714" s="804"/>
      <c r="L1714" s="804"/>
      <c r="M1714" s="804"/>
      <c r="N1714" s="804"/>
      <c r="O1714" s="804"/>
      <c r="P1714" s="804"/>
      <c r="Q1714" s="805">
        <v>34.14</v>
      </c>
      <c r="R1714" s="804"/>
      <c r="S1714" s="804"/>
      <c r="T1714" s="804"/>
      <c r="U1714" s="804"/>
      <c r="V1714" s="804"/>
      <c r="W1714" s="804"/>
      <c r="X1714" s="808">
        <f>Q1714</f>
        <v>34.14</v>
      </c>
      <c r="Y1714" s="809" t="str">
        <f>$Q$3</f>
        <v>6495-2</v>
      </c>
      <c r="Z1714" s="519"/>
    </row>
    <row r="1715" spans="1:26" ht="15.75" customHeight="1">
      <c r="A1715" s="800">
        <v>45925</v>
      </c>
      <c r="B1715" s="801" t="s">
        <v>2191</v>
      </c>
      <c r="C1715" s="802" t="s">
        <v>2307</v>
      </c>
      <c r="D1715" s="810">
        <v>550</v>
      </c>
      <c r="E1715" s="803"/>
      <c r="F1715" s="801"/>
      <c r="G1715" s="801"/>
      <c r="H1715" s="801"/>
      <c r="I1715" s="801"/>
      <c r="J1715" s="804"/>
      <c r="K1715" s="804"/>
      <c r="L1715" s="804"/>
      <c r="M1715" s="804"/>
      <c r="N1715" s="804"/>
      <c r="O1715" s="804"/>
      <c r="P1715" s="804"/>
      <c r="Q1715" s="804"/>
      <c r="R1715" s="804"/>
      <c r="S1715" s="804"/>
      <c r="T1715" s="804"/>
      <c r="U1715" s="804"/>
      <c r="V1715" s="804"/>
      <c r="W1715" s="804"/>
      <c r="X1715" s="1034">
        <f>D1715</f>
        <v>550</v>
      </c>
      <c r="Y1715" s="809" t="s">
        <v>2300</v>
      </c>
      <c r="Z1715" s="519"/>
    </row>
    <row r="1716" spans="1:26" ht="15.75" customHeight="1">
      <c r="A1716" s="800">
        <v>45926</v>
      </c>
      <c r="B1716" s="801"/>
      <c r="C1716" s="802" t="s">
        <v>2320</v>
      </c>
      <c r="D1716" s="803"/>
      <c r="E1716" s="803"/>
      <c r="F1716" s="801"/>
      <c r="G1716" s="801"/>
      <c r="H1716" s="801"/>
      <c r="I1716" s="801"/>
      <c r="J1716" s="804"/>
      <c r="K1716" s="804"/>
      <c r="L1716" s="804"/>
      <c r="M1716" s="804"/>
      <c r="N1716" s="804"/>
      <c r="O1716" s="804"/>
      <c r="P1716" s="804"/>
      <c r="Q1716" s="804"/>
      <c r="R1716" s="804"/>
      <c r="S1716" s="805">
        <v>15.46</v>
      </c>
      <c r="T1716" s="804"/>
      <c r="U1716" s="804"/>
      <c r="V1716" s="804"/>
      <c r="W1716" s="804"/>
      <c r="X1716" s="808">
        <f>S1716</f>
        <v>15.46</v>
      </c>
      <c r="Y1716" s="809">
        <f>$S$3</f>
        <v>6855</v>
      </c>
      <c r="Z1716" s="519"/>
    </row>
    <row r="1717" spans="1:26" ht="15.75" customHeight="1">
      <c r="A1717" s="800">
        <v>45926</v>
      </c>
      <c r="B1717" s="801"/>
      <c r="C1717" s="802" t="s">
        <v>2375</v>
      </c>
      <c r="D1717" s="803"/>
      <c r="E1717" s="803"/>
      <c r="F1717" s="801"/>
      <c r="G1717" s="801"/>
      <c r="H1717" s="801"/>
      <c r="I1717" s="801"/>
      <c r="J1717" s="804"/>
      <c r="K1717" s="804"/>
      <c r="L1717" s="805">
        <v>405.35</v>
      </c>
      <c r="M1717" s="804"/>
      <c r="N1717" s="804"/>
      <c r="O1717" s="804"/>
      <c r="P1717" s="804"/>
      <c r="Q1717" s="804"/>
      <c r="R1717" s="804"/>
      <c r="S1717" s="804"/>
      <c r="T1717" s="804"/>
      <c r="U1717" s="804"/>
      <c r="V1717" s="804"/>
      <c r="W1717" s="804"/>
      <c r="X1717" s="808">
        <f>L1717</f>
        <v>405.35</v>
      </c>
      <c r="Y1717" s="809" t="str">
        <f>$L$3</f>
        <v>6673-1</v>
      </c>
      <c r="Z1717" s="519"/>
    </row>
    <row r="1718" spans="1:26" ht="15.75" customHeight="1">
      <c r="A1718" s="800">
        <v>45926</v>
      </c>
      <c r="B1718" s="801"/>
      <c r="C1718" s="802" t="s">
        <v>207</v>
      </c>
      <c r="D1718" s="803"/>
      <c r="E1718" s="803"/>
      <c r="F1718" s="801"/>
      <c r="G1718" s="801"/>
      <c r="H1718" s="801"/>
      <c r="I1718" s="801"/>
      <c r="J1718" s="804"/>
      <c r="K1718" s="804"/>
      <c r="L1718" s="804"/>
      <c r="M1718" s="805">
        <v>27.18</v>
      </c>
      <c r="N1718" s="804"/>
      <c r="O1718" s="804"/>
      <c r="P1718" s="804"/>
      <c r="Q1718" s="804"/>
      <c r="R1718" s="804"/>
      <c r="S1718" s="804"/>
      <c r="T1718" s="804"/>
      <c r="U1718" s="804"/>
      <c r="V1718" s="804"/>
      <c r="W1718" s="804"/>
      <c r="X1718" s="808">
        <f>M1718</f>
        <v>27.18</v>
      </c>
      <c r="Y1718" s="809" t="str">
        <f>$M$3</f>
        <v>6673-2</v>
      </c>
      <c r="Z1718" s="519"/>
    </row>
    <row r="1719" spans="1:26" ht="15.75" customHeight="1">
      <c r="A1719" s="800">
        <v>45926</v>
      </c>
      <c r="B1719" s="801"/>
      <c r="C1719" s="802" t="s">
        <v>544</v>
      </c>
      <c r="D1719" s="803"/>
      <c r="E1719" s="803"/>
      <c r="F1719" s="801"/>
      <c r="G1719" s="801"/>
      <c r="H1719" s="801"/>
      <c r="I1719" s="801"/>
      <c r="J1719" s="804"/>
      <c r="K1719" s="804"/>
      <c r="L1719" s="804"/>
      <c r="M1719" s="805">
        <v>16.63</v>
      </c>
      <c r="N1719" s="804"/>
      <c r="O1719" s="804"/>
      <c r="P1719" s="804"/>
      <c r="Q1719" s="804"/>
      <c r="R1719" s="804"/>
      <c r="S1719" s="804"/>
      <c r="T1719" s="804"/>
      <c r="U1719" s="804"/>
      <c r="V1719" s="804"/>
      <c r="W1719" s="804"/>
      <c r="X1719" s="808">
        <f>M1719</f>
        <v>16.63</v>
      </c>
      <c r="Y1719" s="809" t="str">
        <f>$M$3</f>
        <v>6673-2</v>
      </c>
      <c r="Z1719" s="519"/>
    </row>
    <row r="1720" spans="1:26" ht="15.75" customHeight="1">
      <c r="A1720" s="800">
        <v>45929</v>
      </c>
      <c r="B1720" s="801"/>
      <c r="C1720" s="802" t="s">
        <v>2376</v>
      </c>
      <c r="D1720" s="803"/>
      <c r="E1720" s="803"/>
      <c r="F1720" s="801"/>
      <c r="G1720" s="801"/>
      <c r="H1720" s="801"/>
      <c r="I1720" s="801"/>
      <c r="J1720" s="804"/>
      <c r="K1720" s="804"/>
      <c r="L1720" s="805">
        <v>11.5</v>
      </c>
      <c r="M1720" s="804"/>
      <c r="N1720" s="804"/>
      <c r="O1720" s="804"/>
      <c r="P1720" s="804"/>
      <c r="Q1720" s="804"/>
      <c r="R1720" s="804"/>
      <c r="S1720" s="804"/>
      <c r="T1720" s="804"/>
      <c r="U1720" s="804"/>
      <c r="V1720" s="804"/>
      <c r="W1720" s="804"/>
      <c r="X1720" s="808">
        <f>L1720</f>
        <v>11.5</v>
      </c>
      <c r="Y1720" s="809" t="str">
        <f>$L$3</f>
        <v>6673-1</v>
      </c>
      <c r="Z1720" s="519"/>
    </row>
    <row r="1721" spans="1:26" ht="15.75" customHeight="1">
      <c r="A1721" s="800">
        <v>45929</v>
      </c>
      <c r="B1721" s="801"/>
      <c r="C1721" s="802" t="s">
        <v>2360</v>
      </c>
      <c r="D1721" s="803"/>
      <c r="E1721" s="803"/>
      <c r="F1721" s="805">
        <v>3</v>
      </c>
      <c r="G1721" s="801"/>
      <c r="H1721" s="801"/>
      <c r="I1721" s="801"/>
      <c r="J1721" s="804"/>
      <c r="K1721" s="804"/>
      <c r="L1721" s="804"/>
      <c r="M1721" s="804"/>
      <c r="N1721" s="804"/>
      <c r="O1721" s="804"/>
      <c r="P1721" s="804"/>
      <c r="Q1721" s="804"/>
      <c r="R1721" s="804"/>
      <c r="S1721" s="804"/>
      <c r="T1721" s="804"/>
      <c r="U1721" s="804"/>
      <c r="V1721" s="804"/>
      <c r="W1721" s="804"/>
      <c r="X1721" s="808">
        <f>F1721</f>
        <v>3</v>
      </c>
      <c r="Y1721" s="809" t="s">
        <v>2325</v>
      </c>
      <c r="Z1721" s="519"/>
    </row>
    <row r="1722" spans="1:26" ht="15.75" customHeight="1">
      <c r="A1722" s="800">
        <v>45930</v>
      </c>
      <c r="B1722" s="801"/>
      <c r="C1722" s="802" t="s">
        <v>48</v>
      </c>
      <c r="D1722" s="803"/>
      <c r="E1722" s="803"/>
      <c r="F1722" s="801"/>
      <c r="G1722" s="801"/>
      <c r="H1722" s="801"/>
      <c r="I1722" s="801"/>
      <c r="J1722" s="804"/>
      <c r="K1722" s="804"/>
      <c r="L1722" s="804"/>
      <c r="M1722" s="804"/>
      <c r="N1722" s="804"/>
      <c r="O1722" s="804"/>
      <c r="P1722" s="804"/>
      <c r="Q1722" s="804"/>
      <c r="R1722" s="804"/>
      <c r="S1722" s="805">
        <v>20.7</v>
      </c>
      <c r="T1722" s="804"/>
      <c r="U1722" s="804"/>
      <c r="V1722" s="804"/>
      <c r="W1722" s="804"/>
      <c r="X1722" s="808">
        <f>S1722</f>
        <v>20.7</v>
      </c>
      <c r="Y1722" s="809">
        <f>$S$3</f>
        <v>6855</v>
      </c>
      <c r="Z1722" s="519"/>
    </row>
    <row r="1723" spans="1:26" ht="15.75" customHeight="1">
      <c r="A1723" s="800">
        <v>45930</v>
      </c>
      <c r="B1723" s="801"/>
      <c r="C1723" s="802" t="s">
        <v>2321</v>
      </c>
      <c r="D1723" s="803"/>
      <c r="E1723" s="805">
        <v>660.68</v>
      </c>
      <c r="F1723" s="801"/>
      <c r="G1723" s="801"/>
      <c r="H1723" s="801"/>
      <c r="I1723" s="801"/>
      <c r="J1723" s="804"/>
      <c r="K1723" s="804"/>
      <c r="L1723" s="804"/>
      <c r="M1723" s="804"/>
      <c r="N1723" s="804"/>
      <c r="O1723" s="804"/>
      <c r="P1723" s="804"/>
      <c r="Q1723" s="804"/>
      <c r="R1723" s="804"/>
      <c r="S1723" s="804"/>
      <c r="T1723" s="804"/>
      <c r="U1723" s="804"/>
      <c r="V1723" s="804"/>
      <c r="W1723" s="804"/>
      <c r="X1723" s="808">
        <f>E1723</f>
        <v>660.68</v>
      </c>
      <c r="Y1723" s="809" t="s">
        <v>2304</v>
      </c>
      <c r="Z1723" s="519"/>
    </row>
    <row r="1724" spans="1:26" ht="15.75" customHeight="1">
      <c r="A1724" s="800">
        <v>45930</v>
      </c>
      <c r="B1724" s="801"/>
      <c r="C1724" s="802" t="s">
        <v>440</v>
      </c>
      <c r="D1724" s="803"/>
      <c r="E1724" s="803"/>
      <c r="F1724" s="801"/>
      <c r="G1724" s="801"/>
      <c r="H1724" s="801"/>
      <c r="I1724" s="801"/>
      <c r="J1724" s="804"/>
      <c r="K1724" s="804"/>
      <c r="L1724" s="805">
        <v>94.03</v>
      </c>
      <c r="M1724" s="804"/>
      <c r="N1724" s="804"/>
      <c r="O1724" s="804"/>
      <c r="P1724" s="804"/>
      <c r="Q1724" s="804"/>
      <c r="R1724" s="804"/>
      <c r="S1724" s="804"/>
      <c r="T1724" s="804"/>
      <c r="U1724" s="804"/>
      <c r="V1724" s="804"/>
      <c r="W1724" s="804"/>
      <c r="X1724" s="808">
        <f>L1724</f>
        <v>94.03</v>
      </c>
      <c r="Y1724" s="809" t="str">
        <f>$L$3</f>
        <v>6673-1</v>
      </c>
      <c r="Z1724" s="519"/>
    </row>
    <row r="1725" spans="1:26" ht="15.75" customHeight="1">
      <c r="A1725" s="800"/>
      <c r="B1725" s="801"/>
      <c r="C1725" s="802"/>
      <c r="D1725" s="803"/>
      <c r="E1725" s="803"/>
      <c r="F1725" s="801"/>
      <c r="G1725" s="801"/>
      <c r="H1725" s="801"/>
      <c r="I1725" s="801"/>
      <c r="J1725" s="804"/>
      <c r="K1725" s="804"/>
      <c r="L1725" s="812"/>
      <c r="M1725" s="804"/>
      <c r="N1725" s="804"/>
      <c r="O1725" s="804"/>
      <c r="P1725" s="804"/>
      <c r="Q1725" s="804"/>
      <c r="R1725" s="804"/>
      <c r="S1725" s="804"/>
      <c r="T1725" s="804"/>
      <c r="U1725" s="804"/>
      <c r="V1725" s="804"/>
      <c r="W1725" s="804"/>
      <c r="X1725" s="811"/>
      <c r="Y1725" s="809"/>
      <c r="Z1725" s="519"/>
    </row>
    <row r="1726" spans="1:26" ht="15.75" customHeight="1">
      <c r="A1726" s="795"/>
      <c r="B1726" s="796">
        <v>45931</v>
      </c>
      <c r="C1726" s="795"/>
      <c r="D1726" s="795"/>
      <c r="E1726" s="795"/>
      <c r="F1726" s="795"/>
      <c r="G1726" s="795"/>
      <c r="H1726" s="795"/>
      <c r="I1726" s="795"/>
      <c r="J1726" s="795"/>
      <c r="K1726" s="795"/>
      <c r="L1726" s="795"/>
      <c r="M1726" s="795"/>
      <c r="N1726" s="795"/>
      <c r="O1726" s="795"/>
      <c r="P1726" s="795"/>
      <c r="Q1726" s="795"/>
      <c r="R1726" s="795"/>
      <c r="S1726" s="795"/>
      <c r="T1726" s="795"/>
      <c r="U1726" s="795"/>
      <c r="V1726" s="795"/>
      <c r="W1726" s="795"/>
      <c r="X1726" s="797"/>
      <c r="Y1726" s="799"/>
      <c r="Z1726" s="519"/>
    </row>
    <row r="1727" spans="1:26" ht="15.75" customHeight="1">
      <c r="A1727" s="800">
        <v>45931</v>
      </c>
      <c r="B1727" s="801"/>
      <c r="C1727" s="802" t="s">
        <v>2296</v>
      </c>
      <c r="D1727" s="803"/>
      <c r="E1727" s="803"/>
      <c r="F1727" s="801"/>
      <c r="G1727" s="801"/>
      <c r="H1727" s="801"/>
      <c r="I1727" s="801"/>
      <c r="J1727" s="804"/>
      <c r="K1727" s="804"/>
      <c r="L1727" s="804"/>
      <c r="M1727" s="805">
        <v>58</v>
      </c>
      <c r="N1727" s="804"/>
      <c r="O1727" s="804"/>
      <c r="P1727" s="804"/>
      <c r="Q1727" s="804"/>
      <c r="R1727" s="804"/>
      <c r="S1727" s="804"/>
      <c r="T1727" s="804"/>
      <c r="U1727" s="804"/>
      <c r="V1727" s="804"/>
      <c r="W1727" s="804"/>
      <c r="X1727" s="808">
        <f>M1727</f>
        <v>58</v>
      </c>
      <c r="Y1727" s="809" t="str">
        <f>$M$3</f>
        <v>6673-2</v>
      </c>
      <c r="Z1727" s="519"/>
    </row>
    <row r="1728" spans="1:26" ht="15.75" customHeight="1">
      <c r="A1728" s="800">
        <v>45931</v>
      </c>
      <c r="B1728" s="801"/>
      <c r="C1728" s="802" t="s">
        <v>2302</v>
      </c>
      <c r="D1728" s="803"/>
      <c r="E1728" s="803"/>
      <c r="F1728" s="801"/>
      <c r="G1728" s="801"/>
      <c r="H1728" s="801"/>
      <c r="I1728" s="801"/>
      <c r="J1728" s="804"/>
      <c r="K1728" s="804"/>
      <c r="L1728" s="804"/>
      <c r="M1728" s="804"/>
      <c r="N1728" s="805">
        <v>950</v>
      </c>
      <c r="O1728" s="804"/>
      <c r="P1728" s="804"/>
      <c r="Q1728" s="804"/>
      <c r="R1728" s="804"/>
      <c r="S1728" s="804"/>
      <c r="T1728" s="804"/>
      <c r="U1728" s="804"/>
      <c r="V1728" s="804"/>
      <c r="W1728" s="804"/>
      <c r="X1728" s="808">
        <f>N1728</f>
        <v>950</v>
      </c>
      <c r="Y1728" s="809">
        <f>$N$3</f>
        <v>6680</v>
      </c>
      <c r="Z1728" s="519"/>
    </row>
    <row r="1729" spans="1:26" ht="15.75" customHeight="1">
      <c r="A1729" s="800">
        <v>45931</v>
      </c>
      <c r="B1729" s="801"/>
      <c r="C1729" s="802" t="s">
        <v>2295</v>
      </c>
      <c r="D1729" s="803"/>
      <c r="E1729" s="803"/>
      <c r="F1729" s="801"/>
      <c r="G1729" s="801"/>
      <c r="H1729" s="801"/>
      <c r="I1729" s="801"/>
      <c r="J1729" s="804"/>
      <c r="K1729" s="804"/>
      <c r="L1729" s="804"/>
      <c r="M1729" s="804"/>
      <c r="N1729" s="804"/>
      <c r="O1729" s="804"/>
      <c r="P1729" s="804"/>
      <c r="Q1729" s="805">
        <v>23</v>
      </c>
      <c r="R1729" s="804"/>
      <c r="S1729" s="804"/>
      <c r="T1729" s="804"/>
      <c r="U1729" s="804"/>
      <c r="V1729" s="804"/>
      <c r="W1729" s="804"/>
      <c r="X1729" s="808">
        <f>Q1729</f>
        <v>23</v>
      </c>
      <c r="Y1729" s="809" t="str">
        <f>$Q$3</f>
        <v>6495-2</v>
      </c>
      <c r="Z1729" s="519"/>
    </row>
    <row r="1730" spans="1:26" ht="15.75" customHeight="1">
      <c r="A1730" s="800">
        <v>45931</v>
      </c>
      <c r="B1730" s="801" t="s">
        <v>2196</v>
      </c>
      <c r="C1730" s="802" t="s">
        <v>2341</v>
      </c>
      <c r="D1730" s="803"/>
      <c r="E1730" s="805">
        <v>4500</v>
      </c>
      <c r="F1730" s="801"/>
      <c r="G1730" s="801"/>
      <c r="H1730" s="801"/>
      <c r="I1730" s="801"/>
      <c r="J1730" s="804"/>
      <c r="K1730" s="804"/>
      <c r="L1730" s="804"/>
      <c r="M1730" s="804"/>
      <c r="N1730" s="804"/>
      <c r="O1730" s="804"/>
      <c r="P1730" s="804"/>
      <c r="Q1730" s="804"/>
      <c r="R1730" s="804"/>
      <c r="S1730" s="804"/>
      <c r="T1730" s="804"/>
      <c r="U1730" s="804"/>
      <c r="V1730" s="804"/>
      <c r="W1730" s="804"/>
      <c r="X1730" s="808">
        <f>E1730</f>
        <v>4500</v>
      </c>
      <c r="Y1730" s="809" t="s">
        <v>2304</v>
      </c>
      <c r="Z1730" s="519"/>
    </row>
    <row r="1731" spans="1:26" ht="15.75" customHeight="1">
      <c r="A1731" s="800">
        <v>45931</v>
      </c>
      <c r="B1731" s="801"/>
      <c r="C1731" s="802" t="s">
        <v>2298</v>
      </c>
      <c r="D1731" s="803"/>
      <c r="E1731" s="803"/>
      <c r="F1731" s="801"/>
      <c r="G1731" s="801"/>
      <c r="H1731" s="801"/>
      <c r="I1731" s="801"/>
      <c r="J1731" s="804"/>
      <c r="K1731" s="804"/>
      <c r="L1731" s="804"/>
      <c r="M1731" s="804"/>
      <c r="N1731" s="804"/>
      <c r="O1731" s="804"/>
      <c r="P1731" s="804"/>
      <c r="Q1731" s="804"/>
      <c r="R1731" s="804"/>
      <c r="S1731" s="804"/>
      <c r="T1731" s="805">
        <v>304.25</v>
      </c>
      <c r="U1731" s="804"/>
      <c r="V1731" s="804"/>
      <c r="W1731" s="804"/>
      <c r="X1731" s="808">
        <f>T1731</f>
        <v>304.25</v>
      </c>
      <c r="Y1731" s="809">
        <f>$T$3</f>
        <v>2300</v>
      </c>
      <c r="Z1731" s="519"/>
    </row>
    <row r="1732" spans="1:26" ht="15.75" customHeight="1">
      <c r="A1732" s="800">
        <v>45932</v>
      </c>
      <c r="B1732" s="801"/>
      <c r="C1732" s="802" t="s">
        <v>2297</v>
      </c>
      <c r="D1732" s="803"/>
      <c r="E1732" s="803"/>
      <c r="F1732" s="801"/>
      <c r="G1732" s="801"/>
      <c r="H1732" s="801"/>
      <c r="I1732" s="801"/>
      <c r="J1732" s="804"/>
      <c r="K1732" s="804"/>
      <c r="L1732" s="804"/>
      <c r="M1732" s="804"/>
      <c r="N1732" s="804"/>
      <c r="O1732" s="804"/>
      <c r="P1732" s="804"/>
      <c r="Q1732" s="804"/>
      <c r="R1732" s="804"/>
      <c r="S1732" s="804"/>
      <c r="T1732" s="805">
        <v>80</v>
      </c>
      <c r="U1732" s="804"/>
      <c r="V1732" s="804"/>
      <c r="W1732" s="804"/>
      <c r="X1732" s="808">
        <f>T1732</f>
        <v>80</v>
      </c>
      <c r="Y1732" s="809">
        <f>$T$3</f>
        <v>2300</v>
      </c>
      <c r="Z1732" s="519"/>
    </row>
    <row r="1733" spans="1:26" ht="15.75" customHeight="1">
      <c r="A1733" s="800">
        <v>45933</v>
      </c>
      <c r="B1733" s="801"/>
      <c r="C1733" s="802" t="s">
        <v>426</v>
      </c>
      <c r="D1733" s="803"/>
      <c r="E1733" s="803"/>
      <c r="F1733" s="801"/>
      <c r="G1733" s="801"/>
      <c r="H1733" s="801"/>
      <c r="I1733" s="801"/>
      <c r="J1733" s="804"/>
      <c r="K1733" s="804"/>
      <c r="L1733" s="804"/>
      <c r="M1733" s="804"/>
      <c r="N1733" s="804"/>
      <c r="O1733" s="804"/>
      <c r="P1733" s="804"/>
      <c r="Q1733" s="805">
        <v>34.409999999999997</v>
      </c>
      <c r="R1733" s="804"/>
      <c r="S1733" s="804"/>
      <c r="T1733" s="804"/>
      <c r="U1733" s="804"/>
      <c r="V1733" s="804"/>
      <c r="W1733" s="804"/>
      <c r="X1733" s="808">
        <f>Q1733</f>
        <v>34.409999999999997</v>
      </c>
      <c r="Y1733" s="809" t="str">
        <f>$Q$3</f>
        <v>6495-2</v>
      </c>
      <c r="Z1733" s="519"/>
    </row>
    <row r="1734" spans="1:26" ht="15.75" customHeight="1">
      <c r="A1734" s="800">
        <v>45937</v>
      </c>
      <c r="B1734" s="801"/>
      <c r="C1734" s="802" t="s">
        <v>2377</v>
      </c>
      <c r="D1734" s="803"/>
      <c r="E1734" s="803"/>
      <c r="F1734" s="801"/>
      <c r="G1734" s="801"/>
      <c r="H1734" s="801"/>
      <c r="I1734" s="801"/>
      <c r="J1734" s="804"/>
      <c r="K1734" s="804"/>
      <c r="L1734" s="804"/>
      <c r="M1734" s="804"/>
      <c r="N1734" s="804"/>
      <c r="O1734" s="804"/>
      <c r="P1734" s="805">
        <v>293.44</v>
      </c>
      <c r="Q1734" s="804"/>
      <c r="R1734" s="804"/>
      <c r="S1734" s="804"/>
      <c r="T1734" s="804"/>
      <c r="U1734" s="804"/>
      <c r="V1734" s="804"/>
      <c r="W1734" s="804"/>
      <c r="X1734" s="808">
        <f>P1734</f>
        <v>293.44</v>
      </c>
      <c r="Y1734" s="809">
        <f>$P$3</f>
        <v>6815</v>
      </c>
      <c r="Z1734" s="519"/>
    </row>
    <row r="1735" spans="1:26" ht="15.75" customHeight="1">
      <c r="A1735" s="800">
        <v>45938</v>
      </c>
      <c r="B1735" s="801" t="s">
        <v>2378</v>
      </c>
      <c r="C1735" s="802" t="s">
        <v>2301</v>
      </c>
      <c r="D1735" s="810">
        <v>4700</v>
      </c>
      <c r="E1735" s="803"/>
      <c r="F1735" s="801"/>
      <c r="G1735" s="801"/>
      <c r="H1735" s="801"/>
      <c r="I1735" s="801"/>
      <c r="J1735" s="804"/>
      <c r="K1735" s="804"/>
      <c r="L1735" s="804"/>
      <c r="M1735" s="804"/>
      <c r="N1735" s="804"/>
      <c r="O1735" s="804"/>
      <c r="P1735" s="804"/>
      <c r="Q1735" s="804"/>
      <c r="R1735" s="804"/>
      <c r="S1735" s="804"/>
      <c r="T1735" s="804"/>
      <c r="U1735" s="804"/>
      <c r="V1735" s="804"/>
      <c r="W1735" s="804"/>
      <c r="X1735" s="1034">
        <f>D1735</f>
        <v>4700</v>
      </c>
      <c r="Y1735" s="809" t="s">
        <v>2300</v>
      </c>
      <c r="Z1735" s="519"/>
    </row>
    <row r="1736" spans="1:26" ht="15.75" customHeight="1">
      <c r="A1736" s="800">
        <v>45943</v>
      </c>
      <c r="B1736" s="801" t="s">
        <v>2379</v>
      </c>
      <c r="C1736" s="802" t="s">
        <v>2303</v>
      </c>
      <c r="D1736" s="803"/>
      <c r="E1736" s="805">
        <v>4220</v>
      </c>
      <c r="F1736" s="801"/>
      <c r="G1736" s="801"/>
      <c r="H1736" s="801"/>
      <c r="I1736" s="801"/>
      <c r="J1736" s="804"/>
      <c r="K1736" s="804"/>
      <c r="L1736" s="804"/>
      <c r="M1736" s="804"/>
      <c r="N1736" s="804"/>
      <c r="O1736" s="804"/>
      <c r="P1736" s="804"/>
      <c r="Q1736" s="804"/>
      <c r="R1736" s="804"/>
      <c r="S1736" s="804"/>
      <c r="T1736" s="804"/>
      <c r="U1736" s="804"/>
      <c r="V1736" s="804"/>
      <c r="W1736" s="804"/>
      <c r="X1736" s="808">
        <f>E1736</f>
        <v>4220</v>
      </c>
      <c r="Y1736" s="809" t="s">
        <v>2304</v>
      </c>
      <c r="Z1736" s="519"/>
    </row>
    <row r="1737" spans="1:26" ht="15.75" customHeight="1">
      <c r="A1737" s="800">
        <v>45944</v>
      </c>
      <c r="B1737" s="801"/>
      <c r="C1737" s="802" t="s">
        <v>440</v>
      </c>
      <c r="D1737" s="803"/>
      <c r="E1737" s="803"/>
      <c r="F1737" s="801"/>
      <c r="G1737" s="801"/>
      <c r="H1737" s="801"/>
      <c r="I1737" s="801"/>
      <c r="J1737" s="804"/>
      <c r="K1737" s="804"/>
      <c r="L1737" s="805">
        <v>44.98</v>
      </c>
      <c r="M1737" s="804"/>
      <c r="N1737" s="804"/>
      <c r="O1737" s="804"/>
      <c r="P1737" s="804"/>
      <c r="Q1737" s="804"/>
      <c r="R1737" s="804"/>
      <c r="S1737" s="804"/>
      <c r="T1737" s="804"/>
      <c r="U1737" s="804"/>
      <c r="V1737" s="804"/>
      <c r="W1737" s="804"/>
      <c r="X1737" s="808">
        <f>L1737</f>
        <v>44.98</v>
      </c>
      <c r="Y1737" s="809" t="str">
        <f>$L$3</f>
        <v>6673-1</v>
      </c>
      <c r="Z1737" s="519"/>
    </row>
    <row r="1738" spans="1:26" ht="15.75" customHeight="1">
      <c r="A1738" s="800">
        <v>45944</v>
      </c>
      <c r="B1738" s="801"/>
      <c r="C1738" s="802" t="s">
        <v>2380</v>
      </c>
      <c r="D1738" s="803"/>
      <c r="E1738" s="803"/>
      <c r="F1738" s="801"/>
      <c r="G1738" s="801"/>
      <c r="H1738" s="801"/>
      <c r="I1738" s="801"/>
      <c r="J1738" s="804"/>
      <c r="K1738" s="804"/>
      <c r="L1738" s="805">
        <v>16</v>
      </c>
      <c r="M1738" s="804"/>
      <c r="N1738" s="804"/>
      <c r="O1738" s="804"/>
      <c r="P1738" s="804"/>
      <c r="Q1738" s="804"/>
      <c r="R1738" s="804"/>
      <c r="S1738" s="804"/>
      <c r="T1738" s="804"/>
      <c r="U1738" s="804"/>
      <c r="V1738" s="804"/>
      <c r="W1738" s="804"/>
      <c r="X1738" s="808">
        <f>L1738</f>
        <v>16</v>
      </c>
      <c r="Y1738" s="809" t="str">
        <f>$L$3</f>
        <v>6673-1</v>
      </c>
      <c r="Z1738" s="519"/>
    </row>
    <row r="1739" spans="1:26" ht="15.75" customHeight="1">
      <c r="A1739" s="800">
        <v>45944</v>
      </c>
      <c r="B1739" s="801"/>
      <c r="C1739" s="802" t="s">
        <v>194</v>
      </c>
      <c r="D1739" s="803"/>
      <c r="E1739" s="803"/>
      <c r="F1739" s="801"/>
      <c r="G1739" s="801"/>
      <c r="H1739" s="801"/>
      <c r="I1739" s="801"/>
      <c r="J1739" s="804"/>
      <c r="K1739" s="804"/>
      <c r="L1739" s="804"/>
      <c r="M1739" s="804"/>
      <c r="N1739" s="804"/>
      <c r="O1739" s="804"/>
      <c r="P1739" s="804"/>
      <c r="Q1739" s="804"/>
      <c r="R1739" s="804"/>
      <c r="S1739" s="805">
        <v>11.5</v>
      </c>
      <c r="T1739" s="804"/>
      <c r="U1739" s="804"/>
      <c r="V1739" s="804"/>
      <c r="W1739" s="804"/>
      <c r="X1739" s="808">
        <f>S1739</f>
        <v>11.5</v>
      </c>
      <c r="Y1739" s="809">
        <f>$S$3</f>
        <v>6855</v>
      </c>
      <c r="Z1739" s="519"/>
    </row>
    <row r="1740" spans="1:26" ht="15.75" customHeight="1">
      <c r="A1740" s="800">
        <v>45944</v>
      </c>
      <c r="B1740" s="801"/>
      <c r="C1740" s="802" t="s">
        <v>426</v>
      </c>
      <c r="D1740" s="803"/>
      <c r="E1740" s="803"/>
      <c r="F1740" s="801"/>
      <c r="G1740" s="801"/>
      <c r="H1740" s="801"/>
      <c r="I1740" s="801"/>
      <c r="J1740" s="804"/>
      <c r="K1740" s="804"/>
      <c r="L1740" s="804"/>
      <c r="M1740" s="804"/>
      <c r="N1740" s="804"/>
      <c r="O1740" s="804"/>
      <c r="P1740" s="804"/>
      <c r="Q1740" s="805">
        <v>34.6</v>
      </c>
      <c r="R1740" s="804"/>
      <c r="S1740" s="804"/>
      <c r="T1740" s="804"/>
      <c r="U1740" s="804"/>
      <c r="V1740" s="804"/>
      <c r="W1740" s="804"/>
      <c r="X1740" s="808">
        <f>Q1740</f>
        <v>34.6</v>
      </c>
      <c r="Y1740" s="809" t="str">
        <f>$Q$3</f>
        <v>6495-2</v>
      </c>
      <c r="Z1740" s="519"/>
    </row>
    <row r="1741" spans="1:26" ht="15.75" customHeight="1">
      <c r="A1741" s="800">
        <v>45945</v>
      </c>
      <c r="B1741" s="801"/>
      <c r="C1741" s="802" t="s">
        <v>394</v>
      </c>
      <c r="D1741" s="803"/>
      <c r="E1741" s="803"/>
      <c r="F1741" s="801"/>
      <c r="G1741" s="801"/>
      <c r="H1741" s="801"/>
      <c r="I1741" s="801"/>
      <c r="J1741" s="804"/>
      <c r="K1741" s="804"/>
      <c r="L1741" s="804"/>
      <c r="M1741" s="804"/>
      <c r="N1741" s="804"/>
      <c r="O1741" s="804"/>
      <c r="P1741" s="804"/>
      <c r="Q1741" s="804"/>
      <c r="R1741" s="804"/>
      <c r="S1741" s="804"/>
      <c r="T1741" s="805">
        <v>18.36</v>
      </c>
      <c r="U1741" s="804"/>
      <c r="V1741" s="804"/>
      <c r="W1741" s="804"/>
      <c r="X1741" s="808">
        <f>T1741</f>
        <v>18.36</v>
      </c>
      <c r="Y1741" s="809">
        <f>$T$3</f>
        <v>2300</v>
      </c>
      <c r="Z1741" s="519"/>
    </row>
    <row r="1742" spans="1:26" ht="15.75" customHeight="1">
      <c r="A1742" s="800">
        <v>45945</v>
      </c>
      <c r="B1742" s="801"/>
      <c r="C1742" s="802" t="s">
        <v>2312</v>
      </c>
      <c r="D1742" s="803"/>
      <c r="E1742" s="803"/>
      <c r="F1742" s="801"/>
      <c r="G1742" s="801"/>
      <c r="H1742" s="805">
        <v>924.69</v>
      </c>
      <c r="I1742" s="804"/>
      <c r="J1742" s="804"/>
      <c r="K1742" s="804"/>
      <c r="L1742" s="804"/>
      <c r="M1742" s="804"/>
      <c r="N1742" s="804"/>
      <c r="O1742" s="804"/>
      <c r="P1742" s="804"/>
      <c r="Q1742" s="804"/>
      <c r="R1742" s="804"/>
      <c r="S1742" s="804"/>
      <c r="T1742" s="804"/>
      <c r="U1742" s="804"/>
      <c r="V1742" s="804"/>
      <c r="W1742" s="804"/>
      <c r="X1742" s="808">
        <f>H1742</f>
        <v>924.69</v>
      </c>
      <c r="Y1742" s="809">
        <f>$H$3</f>
        <v>2200</v>
      </c>
      <c r="Z1742" s="519"/>
    </row>
    <row r="1743" spans="1:26" ht="15.75" customHeight="1">
      <c r="A1743" s="800">
        <v>45946</v>
      </c>
      <c r="B1743" s="801"/>
      <c r="C1743" s="802" t="s">
        <v>2315</v>
      </c>
      <c r="D1743" s="803"/>
      <c r="E1743" s="803"/>
      <c r="F1743" s="801"/>
      <c r="G1743" s="801"/>
      <c r="H1743" s="801"/>
      <c r="I1743" s="801"/>
      <c r="J1743" s="804"/>
      <c r="K1743" s="804"/>
      <c r="L1743" s="804"/>
      <c r="M1743" s="804"/>
      <c r="N1743" s="804"/>
      <c r="O1743" s="804"/>
      <c r="P1743" s="804"/>
      <c r="Q1743" s="805">
        <v>5.39</v>
      </c>
      <c r="R1743" s="804"/>
      <c r="S1743" s="804"/>
      <c r="T1743" s="804"/>
      <c r="U1743" s="804"/>
      <c r="V1743" s="804"/>
      <c r="W1743" s="804"/>
      <c r="X1743" s="808">
        <f>Q1743</f>
        <v>5.39</v>
      </c>
      <c r="Y1743" s="809" t="str">
        <f>$Q$3</f>
        <v>6495-2</v>
      </c>
      <c r="Z1743" s="519"/>
    </row>
    <row r="1744" spans="1:26" ht="15.75" customHeight="1">
      <c r="A1744" s="800">
        <v>45947</v>
      </c>
      <c r="B1744" s="801"/>
      <c r="C1744" s="802" t="s">
        <v>2316</v>
      </c>
      <c r="D1744" s="803"/>
      <c r="E1744" s="803"/>
      <c r="F1744" s="801"/>
      <c r="G1744" s="801"/>
      <c r="H1744" s="801"/>
      <c r="I1744" s="801"/>
      <c r="J1744" s="804"/>
      <c r="K1744" s="805">
        <v>34.99</v>
      </c>
      <c r="L1744" s="804"/>
      <c r="M1744" s="804"/>
      <c r="N1744" s="804"/>
      <c r="O1744" s="804"/>
      <c r="P1744" s="804"/>
      <c r="Q1744" s="804"/>
      <c r="R1744" s="804"/>
      <c r="S1744" s="804"/>
      <c r="T1744" s="804"/>
      <c r="U1744" s="804"/>
      <c r="V1744" s="804"/>
      <c r="W1744" s="804"/>
      <c r="X1744" s="808">
        <f>K1744</f>
        <v>34.99</v>
      </c>
      <c r="Y1744" s="809" t="str">
        <f>$K$3</f>
        <v>6495-1</v>
      </c>
      <c r="Z1744" s="519"/>
    </row>
    <row r="1745" spans="1:26" ht="15.75" customHeight="1">
      <c r="A1745" s="800">
        <v>45947</v>
      </c>
      <c r="B1745" s="801"/>
      <c r="C1745" s="802" t="s">
        <v>2381</v>
      </c>
      <c r="D1745" s="803"/>
      <c r="E1745" s="803"/>
      <c r="F1745" s="801"/>
      <c r="G1745" s="801"/>
      <c r="H1745" s="801"/>
      <c r="I1745" s="801"/>
      <c r="J1745" s="804"/>
      <c r="K1745" s="804"/>
      <c r="L1745" s="805">
        <v>24.5</v>
      </c>
      <c r="M1745" s="804"/>
      <c r="N1745" s="804"/>
      <c r="O1745" s="804"/>
      <c r="P1745" s="804"/>
      <c r="Q1745" s="804"/>
      <c r="R1745" s="804"/>
      <c r="S1745" s="804"/>
      <c r="T1745" s="804"/>
      <c r="U1745" s="804"/>
      <c r="V1745" s="804"/>
      <c r="W1745" s="804"/>
      <c r="X1745" s="808">
        <f>L1745</f>
        <v>24.5</v>
      </c>
      <c r="Y1745" s="809" t="str">
        <f>$L$3</f>
        <v>6673-1</v>
      </c>
      <c r="Z1745" s="519"/>
    </row>
    <row r="1746" spans="1:26" ht="15.75" customHeight="1">
      <c r="A1746" s="800">
        <v>45947</v>
      </c>
      <c r="B1746" s="801"/>
      <c r="C1746" s="802" t="s">
        <v>2380</v>
      </c>
      <c r="D1746" s="803"/>
      <c r="E1746" s="803"/>
      <c r="F1746" s="801"/>
      <c r="G1746" s="801"/>
      <c r="H1746" s="801"/>
      <c r="I1746" s="801"/>
      <c r="J1746" s="804"/>
      <c r="K1746" s="804"/>
      <c r="L1746" s="805">
        <v>5.37</v>
      </c>
      <c r="M1746" s="804"/>
      <c r="N1746" s="804"/>
      <c r="O1746" s="804"/>
      <c r="P1746" s="804"/>
      <c r="Q1746" s="804"/>
      <c r="R1746" s="804"/>
      <c r="S1746" s="804"/>
      <c r="T1746" s="804"/>
      <c r="U1746" s="804"/>
      <c r="V1746" s="804"/>
      <c r="W1746" s="804"/>
      <c r="X1746" s="808">
        <f>L1746</f>
        <v>5.37</v>
      </c>
      <c r="Y1746" s="809" t="str">
        <f>$L$3</f>
        <v>6673-1</v>
      </c>
      <c r="Z1746" s="519"/>
    </row>
    <row r="1747" spans="1:26" ht="15.75" customHeight="1">
      <c r="A1747" s="800">
        <v>45948</v>
      </c>
      <c r="B1747" s="801"/>
      <c r="C1747" s="802" t="s">
        <v>2295</v>
      </c>
      <c r="D1747" s="803"/>
      <c r="E1747" s="803"/>
      <c r="F1747" s="801"/>
      <c r="G1747" s="801"/>
      <c r="H1747" s="801"/>
      <c r="I1747" s="801"/>
      <c r="J1747" s="804"/>
      <c r="K1747" s="804"/>
      <c r="L1747" s="804"/>
      <c r="M1747" s="804"/>
      <c r="N1747" s="804"/>
      <c r="O1747" s="804"/>
      <c r="P1747" s="804"/>
      <c r="Q1747" s="805">
        <v>23</v>
      </c>
      <c r="R1747" s="804"/>
      <c r="S1747" s="804"/>
      <c r="T1747" s="804"/>
      <c r="U1747" s="804"/>
      <c r="V1747" s="804"/>
      <c r="W1747" s="804"/>
      <c r="X1747" s="808">
        <f>Q1747</f>
        <v>23</v>
      </c>
      <c r="Y1747" s="809" t="str">
        <f>$Q$3</f>
        <v>6495-2</v>
      </c>
      <c r="Z1747" s="519"/>
    </row>
    <row r="1748" spans="1:26" ht="15.75" customHeight="1">
      <c r="A1748" s="800">
        <v>45950</v>
      </c>
      <c r="B1748" s="801"/>
      <c r="C1748" s="802" t="s">
        <v>2318</v>
      </c>
      <c r="D1748" s="803"/>
      <c r="E1748" s="803"/>
      <c r="F1748" s="801"/>
      <c r="G1748" s="801"/>
      <c r="H1748" s="801"/>
      <c r="I1748" s="801"/>
      <c r="J1748" s="805">
        <v>39.700000000000003</v>
      </c>
      <c r="K1748" s="804"/>
      <c r="L1748" s="804"/>
      <c r="M1748" s="804"/>
      <c r="N1748" s="804"/>
      <c r="O1748" s="804"/>
      <c r="P1748" s="804"/>
      <c r="Q1748" s="804"/>
      <c r="R1748" s="804"/>
      <c r="S1748" s="804"/>
      <c r="T1748" s="804"/>
      <c r="U1748" s="804"/>
      <c r="V1748" s="804"/>
      <c r="W1748" s="804"/>
      <c r="X1748" s="808">
        <f>J1748</f>
        <v>39.700000000000003</v>
      </c>
      <c r="Y1748" s="809">
        <f>$J$3</f>
        <v>6805</v>
      </c>
      <c r="Z1748" s="519"/>
    </row>
    <row r="1749" spans="1:26" ht="15.75" customHeight="1">
      <c r="A1749" s="800">
        <v>45953</v>
      </c>
      <c r="B1749" s="801"/>
      <c r="C1749" s="802" t="s">
        <v>2319</v>
      </c>
      <c r="D1749" s="803"/>
      <c r="E1749" s="803"/>
      <c r="F1749" s="801"/>
      <c r="G1749" s="801"/>
      <c r="H1749" s="801"/>
      <c r="I1749" s="801"/>
      <c r="J1749" s="805">
        <v>11.52</v>
      </c>
      <c r="K1749" s="804"/>
      <c r="L1749" s="804"/>
      <c r="M1749" s="804"/>
      <c r="N1749" s="804"/>
      <c r="O1749" s="804"/>
      <c r="P1749" s="804"/>
      <c r="Q1749" s="804"/>
      <c r="R1749" s="804"/>
      <c r="S1749" s="804"/>
      <c r="T1749" s="804"/>
      <c r="U1749" s="804"/>
      <c r="V1749" s="804"/>
      <c r="W1749" s="804"/>
      <c r="X1749" s="808">
        <f>J1749</f>
        <v>11.52</v>
      </c>
      <c r="Y1749" s="809">
        <f>$J$3</f>
        <v>6805</v>
      </c>
      <c r="Z1749" s="519"/>
    </row>
    <row r="1750" spans="1:26" ht="15.75" customHeight="1">
      <c r="A1750" s="800">
        <v>45953</v>
      </c>
      <c r="B1750" s="801" t="s">
        <v>2195</v>
      </c>
      <c r="C1750" s="802" t="s">
        <v>2307</v>
      </c>
      <c r="D1750" s="810">
        <v>550</v>
      </c>
      <c r="E1750" s="803"/>
      <c r="F1750" s="801"/>
      <c r="G1750" s="801"/>
      <c r="H1750" s="801"/>
      <c r="I1750" s="801"/>
      <c r="J1750" s="804"/>
      <c r="K1750" s="804"/>
      <c r="L1750" s="804"/>
      <c r="M1750" s="804"/>
      <c r="N1750" s="804"/>
      <c r="O1750" s="804"/>
      <c r="P1750" s="804"/>
      <c r="Q1750" s="804"/>
      <c r="R1750" s="804"/>
      <c r="S1750" s="804"/>
      <c r="T1750" s="804"/>
      <c r="U1750" s="804"/>
      <c r="V1750" s="804"/>
      <c r="W1750" s="804"/>
      <c r="X1750" s="1034">
        <f>D1750</f>
        <v>550</v>
      </c>
      <c r="Y1750" s="809" t="s">
        <v>2300</v>
      </c>
      <c r="Z1750" s="519"/>
    </row>
    <row r="1751" spans="1:26" ht="15.75" customHeight="1">
      <c r="A1751" s="800">
        <v>45954</v>
      </c>
      <c r="B1751" s="801"/>
      <c r="C1751" s="802" t="s">
        <v>426</v>
      </c>
      <c r="D1751" s="803"/>
      <c r="E1751" s="803"/>
      <c r="F1751" s="801"/>
      <c r="G1751" s="801"/>
      <c r="H1751" s="801"/>
      <c r="I1751" s="801"/>
      <c r="J1751" s="804"/>
      <c r="K1751" s="804"/>
      <c r="L1751" s="804"/>
      <c r="M1751" s="804"/>
      <c r="N1751" s="804"/>
      <c r="O1751" s="804"/>
      <c r="P1751" s="804"/>
      <c r="Q1751" s="805">
        <v>34.5</v>
      </c>
      <c r="R1751" s="804"/>
      <c r="S1751" s="804"/>
      <c r="T1751" s="804"/>
      <c r="U1751" s="804"/>
      <c r="V1751" s="804"/>
      <c r="W1751" s="804"/>
      <c r="X1751" s="808">
        <f>Q1751</f>
        <v>34.5</v>
      </c>
      <c r="Y1751" s="809" t="str">
        <f>$Q$3</f>
        <v>6495-2</v>
      </c>
      <c r="Z1751" s="519"/>
    </row>
    <row r="1752" spans="1:26" ht="15.75" customHeight="1">
      <c r="A1752" s="800">
        <v>45956</v>
      </c>
      <c r="B1752" s="801"/>
      <c r="C1752" s="802" t="s">
        <v>2337</v>
      </c>
      <c r="D1752" s="803"/>
      <c r="E1752" s="803"/>
      <c r="F1752" s="801"/>
      <c r="G1752" s="801"/>
      <c r="H1752" s="801"/>
      <c r="I1752" s="801"/>
      <c r="J1752" s="804"/>
      <c r="K1752" s="804"/>
      <c r="L1752" s="804"/>
      <c r="M1752" s="805">
        <v>5</v>
      </c>
      <c r="N1752" s="804"/>
      <c r="O1752" s="804"/>
      <c r="P1752" s="804"/>
      <c r="Q1752" s="804"/>
      <c r="R1752" s="804"/>
      <c r="S1752" s="804"/>
      <c r="T1752" s="804"/>
      <c r="U1752" s="804"/>
      <c r="V1752" s="804"/>
      <c r="W1752" s="804"/>
      <c r="X1752" s="808">
        <f>M1752</f>
        <v>5</v>
      </c>
      <c r="Y1752" s="809" t="str">
        <f>$M$3</f>
        <v>6673-2</v>
      </c>
      <c r="Z1752" s="519"/>
    </row>
    <row r="1753" spans="1:26" ht="15.75" customHeight="1">
      <c r="A1753" s="800">
        <v>45957</v>
      </c>
      <c r="B1753" s="801"/>
      <c r="C1753" s="802" t="s">
        <v>2320</v>
      </c>
      <c r="D1753" s="803"/>
      <c r="E1753" s="803"/>
      <c r="F1753" s="801"/>
      <c r="G1753" s="801"/>
      <c r="H1753" s="801"/>
      <c r="I1753" s="801"/>
      <c r="J1753" s="804"/>
      <c r="K1753" s="804"/>
      <c r="L1753" s="804"/>
      <c r="M1753" s="804"/>
      <c r="N1753" s="804"/>
      <c r="O1753" s="804"/>
      <c r="P1753" s="804"/>
      <c r="Q1753" s="804"/>
      <c r="R1753" s="804"/>
      <c r="S1753" s="805">
        <v>10.63</v>
      </c>
      <c r="T1753" s="804"/>
      <c r="U1753" s="804"/>
      <c r="V1753" s="804"/>
      <c r="W1753" s="804"/>
      <c r="X1753" s="808">
        <f>S1753</f>
        <v>10.63</v>
      </c>
      <c r="Y1753" s="809">
        <f>$S$3</f>
        <v>6855</v>
      </c>
      <c r="Z1753" s="519"/>
    </row>
    <row r="1754" spans="1:26" ht="15.75" customHeight="1">
      <c r="A1754" s="800">
        <v>45957</v>
      </c>
      <c r="B1754" s="801"/>
      <c r="C1754" s="802" t="s">
        <v>2337</v>
      </c>
      <c r="D1754" s="803"/>
      <c r="E1754" s="803"/>
      <c r="F1754" s="801"/>
      <c r="G1754" s="801"/>
      <c r="H1754" s="801"/>
      <c r="I1754" s="801"/>
      <c r="J1754" s="804"/>
      <c r="K1754" s="804"/>
      <c r="L1754" s="804"/>
      <c r="M1754" s="805">
        <v>96.98</v>
      </c>
      <c r="N1754" s="804"/>
      <c r="O1754" s="804"/>
      <c r="P1754" s="804"/>
      <c r="Q1754" s="804"/>
      <c r="R1754" s="804"/>
      <c r="S1754" s="804"/>
      <c r="T1754" s="804"/>
      <c r="U1754" s="804"/>
      <c r="V1754" s="804"/>
      <c r="W1754" s="804"/>
      <c r="X1754" s="808">
        <f>M1754</f>
        <v>96.98</v>
      </c>
      <c r="Y1754" s="809" t="str">
        <f>$M$3</f>
        <v>6673-2</v>
      </c>
      <c r="Z1754" s="519"/>
    </row>
    <row r="1755" spans="1:26" ht="15.75" customHeight="1">
      <c r="A1755" s="800">
        <v>45961</v>
      </c>
      <c r="B1755" s="801"/>
      <c r="C1755" s="802" t="s">
        <v>2321</v>
      </c>
      <c r="D1755" s="803"/>
      <c r="E1755" s="805">
        <v>660.68</v>
      </c>
      <c r="F1755" s="801"/>
      <c r="G1755" s="801"/>
      <c r="H1755" s="801"/>
      <c r="I1755" s="801"/>
      <c r="J1755" s="804"/>
      <c r="K1755" s="804"/>
      <c r="L1755" s="804"/>
      <c r="M1755" s="804"/>
      <c r="N1755" s="804"/>
      <c r="O1755" s="804"/>
      <c r="P1755" s="804"/>
      <c r="Q1755" s="804"/>
      <c r="R1755" s="804"/>
      <c r="S1755" s="804"/>
      <c r="T1755" s="804"/>
      <c r="U1755" s="804"/>
      <c r="V1755" s="804"/>
      <c r="W1755" s="804"/>
      <c r="X1755" s="808">
        <f>E1755</f>
        <v>660.68</v>
      </c>
      <c r="Y1755" s="809" t="s">
        <v>2304</v>
      </c>
      <c r="Z1755" s="519"/>
    </row>
    <row r="1756" spans="1:26" ht="15.75" customHeight="1">
      <c r="A1756" s="800">
        <v>45961</v>
      </c>
      <c r="B1756" s="801"/>
      <c r="C1756" s="802" t="s">
        <v>2382</v>
      </c>
      <c r="D1756" s="803"/>
      <c r="E1756" s="803"/>
      <c r="F1756" s="801"/>
      <c r="G1756" s="801"/>
      <c r="H1756" s="801"/>
      <c r="I1756" s="801"/>
      <c r="J1756" s="804"/>
      <c r="K1756" s="805">
        <v>19.350000000000001</v>
      </c>
      <c r="L1756" s="804"/>
      <c r="M1756" s="804"/>
      <c r="N1756" s="804"/>
      <c r="O1756" s="804"/>
      <c r="P1756" s="804"/>
      <c r="Q1756" s="804"/>
      <c r="R1756" s="804"/>
      <c r="S1756" s="804"/>
      <c r="T1756" s="804"/>
      <c r="U1756" s="804"/>
      <c r="V1756" s="804"/>
      <c r="W1756" s="804"/>
      <c r="X1756" s="808">
        <f>K1756</f>
        <v>19.350000000000001</v>
      </c>
      <c r="Y1756" s="809" t="str">
        <f>$K$3</f>
        <v>6495-1</v>
      </c>
      <c r="Z1756" s="519"/>
    </row>
    <row r="1757" spans="1:26" ht="15.75" customHeight="1">
      <c r="A1757" s="800">
        <v>45961</v>
      </c>
      <c r="B1757" s="801"/>
      <c r="C1757" s="802" t="s">
        <v>2383</v>
      </c>
      <c r="D1757" s="803"/>
      <c r="E1757" s="803"/>
      <c r="F1757" s="801"/>
      <c r="G1757" s="801"/>
      <c r="H1757" s="801"/>
      <c r="I1757" s="801"/>
      <c r="J1757" s="804"/>
      <c r="K1757" s="804"/>
      <c r="L1757" s="805">
        <v>109.65</v>
      </c>
      <c r="M1757" s="804"/>
      <c r="N1757" s="804"/>
      <c r="O1757" s="804"/>
      <c r="P1757" s="804"/>
      <c r="Q1757" s="804"/>
      <c r="R1757" s="804"/>
      <c r="S1757" s="804"/>
      <c r="T1757" s="804"/>
      <c r="U1757" s="804"/>
      <c r="V1757" s="804"/>
      <c r="W1757" s="804"/>
      <c r="X1757" s="808">
        <f>L1757</f>
        <v>109.65</v>
      </c>
      <c r="Y1757" s="809" t="str">
        <f>$L$3</f>
        <v>6673-1</v>
      </c>
      <c r="Z1757" s="519"/>
    </row>
    <row r="1758" spans="1:26" ht="15.75" customHeight="1">
      <c r="A1758" s="800"/>
      <c r="B1758" s="801"/>
      <c r="C1758" s="802"/>
      <c r="D1758" s="803"/>
      <c r="E1758" s="803"/>
      <c r="F1758" s="801"/>
      <c r="G1758" s="801"/>
      <c r="H1758" s="801"/>
      <c r="I1758" s="801"/>
      <c r="J1758" s="804"/>
      <c r="K1758" s="804"/>
      <c r="L1758" s="812"/>
      <c r="M1758" s="804"/>
      <c r="N1758" s="804"/>
      <c r="O1758" s="804"/>
      <c r="P1758" s="804"/>
      <c r="Q1758" s="804"/>
      <c r="R1758" s="804"/>
      <c r="S1758" s="804"/>
      <c r="T1758" s="804"/>
      <c r="U1758" s="804"/>
      <c r="V1758" s="804"/>
      <c r="W1758" s="804"/>
      <c r="X1758" s="811"/>
      <c r="Y1758" s="809"/>
      <c r="Z1758" s="519"/>
    </row>
    <row r="1759" spans="1:26" ht="15.75" customHeight="1">
      <c r="A1759" s="795"/>
      <c r="B1759" s="796">
        <v>45962</v>
      </c>
      <c r="C1759" s="795"/>
      <c r="D1759" s="795"/>
      <c r="E1759" s="795"/>
      <c r="F1759" s="795"/>
      <c r="G1759" s="795"/>
      <c r="H1759" s="795"/>
      <c r="I1759" s="795"/>
      <c r="J1759" s="795"/>
      <c r="K1759" s="795"/>
      <c r="L1759" s="795"/>
      <c r="M1759" s="795"/>
      <c r="N1759" s="795"/>
      <c r="O1759" s="795"/>
      <c r="P1759" s="795"/>
      <c r="Q1759" s="795"/>
      <c r="R1759" s="795"/>
      <c r="S1759" s="795"/>
      <c r="T1759" s="795"/>
      <c r="U1759" s="795"/>
      <c r="V1759" s="795"/>
      <c r="W1759" s="795"/>
      <c r="X1759" s="797"/>
      <c r="Y1759" s="799"/>
      <c r="Z1759" s="519"/>
    </row>
    <row r="1760" spans="1:26" ht="15.75" customHeight="1">
      <c r="A1760" s="800">
        <v>45962</v>
      </c>
      <c r="B1760" s="801"/>
      <c r="C1760" s="802" t="s">
        <v>2384</v>
      </c>
      <c r="D1760" s="803"/>
      <c r="E1760" s="803"/>
      <c r="F1760" s="801"/>
      <c r="G1760" s="801"/>
      <c r="H1760" s="801"/>
      <c r="I1760" s="801"/>
      <c r="J1760" s="804"/>
      <c r="K1760" s="804"/>
      <c r="L1760" s="805">
        <v>15.87</v>
      </c>
      <c r="M1760" s="804"/>
      <c r="N1760" s="804"/>
      <c r="O1760" s="804"/>
      <c r="P1760" s="804"/>
      <c r="Q1760" s="804"/>
      <c r="R1760" s="804"/>
      <c r="S1760" s="804"/>
      <c r="T1760" s="804"/>
      <c r="U1760" s="804"/>
      <c r="V1760" s="804"/>
      <c r="W1760" s="804"/>
      <c r="X1760" s="808">
        <f>L1760</f>
        <v>15.87</v>
      </c>
      <c r="Y1760" s="809" t="str">
        <f>$L$3</f>
        <v>6673-1</v>
      </c>
      <c r="Z1760" s="519"/>
    </row>
    <row r="1761" spans="1:25" ht="15" customHeight="1">
      <c r="A1761" s="800">
        <v>45962</v>
      </c>
      <c r="B1761" s="801"/>
      <c r="C1761" s="802" t="s">
        <v>2295</v>
      </c>
      <c r="D1761" s="803"/>
      <c r="E1761" s="803"/>
      <c r="F1761" s="801"/>
      <c r="G1761" s="801"/>
      <c r="H1761" s="801"/>
      <c r="I1761" s="801"/>
      <c r="J1761" s="804"/>
      <c r="K1761" s="804"/>
      <c r="L1761" s="804"/>
      <c r="M1761" s="804"/>
      <c r="N1761" s="804"/>
      <c r="O1761" s="804"/>
      <c r="P1761" s="804"/>
      <c r="Q1761" s="805">
        <v>23</v>
      </c>
      <c r="R1761" s="804"/>
      <c r="S1761" s="804"/>
      <c r="T1761" s="804"/>
      <c r="U1761" s="804"/>
      <c r="V1761" s="804"/>
      <c r="W1761" s="804"/>
      <c r="X1761" s="808">
        <f>Q1761</f>
        <v>23</v>
      </c>
      <c r="Y1761" s="809" t="str">
        <f>$Q$3</f>
        <v>6495-2</v>
      </c>
    </row>
    <row r="1762" spans="1:25" ht="15" customHeight="1">
      <c r="A1762" s="800">
        <v>45964</v>
      </c>
      <c r="B1762" s="801"/>
      <c r="C1762" s="802" t="s">
        <v>2296</v>
      </c>
      <c r="D1762" s="803"/>
      <c r="E1762" s="803"/>
      <c r="F1762" s="801"/>
      <c r="G1762" s="801"/>
      <c r="H1762" s="801"/>
      <c r="I1762" s="801"/>
      <c r="J1762" s="804"/>
      <c r="K1762" s="804"/>
      <c r="L1762" s="804"/>
      <c r="M1762" s="805">
        <v>58</v>
      </c>
      <c r="N1762" s="804"/>
      <c r="O1762" s="804"/>
      <c r="P1762" s="804"/>
      <c r="Q1762" s="804"/>
      <c r="R1762" s="804"/>
      <c r="S1762" s="804"/>
      <c r="T1762" s="804"/>
      <c r="U1762" s="804"/>
      <c r="V1762" s="804"/>
      <c r="W1762" s="804"/>
      <c r="X1762" s="808">
        <f>M1762</f>
        <v>58</v>
      </c>
      <c r="Y1762" s="809" t="str">
        <f>$M$3</f>
        <v>6673-2</v>
      </c>
    </row>
    <row r="1763" spans="1:25" ht="15" customHeight="1">
      <c r="A1763" s="800">
        <v>45964</v>
      </c>
      <c r="B1763" s="801"/>
      <c r="C1763" s="802" t="s">
        <v>2297</v>
      </c>
      <c r="D1763" s="803"/>
      <c r="E1763" s="803"/>
      <c r="F1763" s="801"/>
      <c r="G1763" s="801"/>
      <c r="H1763" s="801"/>
      <c r="I1763" s="801"/>
      <c r="J1763" s="804"/>
      <c r="K1763" s="804"/>
      <c r="L1763" s="804"/>
      <c r="M1763" s="804"/>
      <c r="N1763" s="804"/>
      <c r="O1763" s="804"/>
      <c r="P1763" s="804"/>
      <c r="Q1763" s="804"/>
      <c r="R1763" s="804"/>
      <c r="S1763" s="804"/>
      <c r="T1763" s="805">
        <v>80</v>
      </c>
      <c r="U1763" s="804"/>
      <c r="V1763" s="804"/>
      <c r="W1763" s="804"/>
      <c r="X1763" s="808">
        <f>T1763</f>
        <v>80</v>
      </c>
      <c r="Y1763" s="809">
        <f>$T$3</f>
        <v>2300</v>
      </c>
    </row>
    <row r="1764" spans="1:25" ht="15" customHeight="1">
      <c r="A1764" s="800">
        <v>45964</v>
      </c>
      <c r="B1764" s="801"/>
      <c r="C1764" s="802" t="s">
        <v>426</v>
      </c>
      <c r="D1764" s="803"/>
      <c r="E1764" s="803"/>
      <c r="F1764" s="801"/>
      <c r="G1764" s="801"/>
      <c r="H1764" s="801"/>
      <c r="I1764" s="801"/>
      <c r="J1764" s="804"/>
      <c r="K1764" s="804"/>
      <c r="L1764" s="804"/>
      <c r="M1764" s="804"/>
      <c r="N1764" s="804"/>
      <c r="O1764" s="804"/>
      <c r="P1764" s="804"/>
      <c r="Q1764" s="805">
        <v>35.020000000000003</v>
      </c>
      <c r="R1764" s="804"/>
      <c r="S1764" s="804"/>
      <c r="T1764" s="804"/>
      <c r="U1764" s="804"/>
      <c r="V1764" s="804"/>
      <c r="W1764" s="804"/>
      <c r="X1764" s="808">
        <f>Q1764</f>
        <v>35.020000000000003</v>
      </c>
      <c r="Y1764" s="809" t="str">
        <f>$Q$3</f>
        <v>6495-2</v>
      </c>
    </row>
    <row r="1765" spans="1:25" ht="15" customHeight="1">
      <c r="A1765" s="800">
        <v>45964</v>
      </c>
      <c r="B1765" s="801"/>
      <c r="C1765" s="802" t="s">
        <v>2298</v>
      </c>
      <c r="D1765" s="803"/>
      <c r="E1765" s="803"/>
      <c r="F1765" s="801"/>
      <c r="G1765" s="801"/>
      <c r="H1765" s="801"/>
      <c r="I1765" s="801"/>
      <c r="J1765" s="804"/>
      <c r="K1765" s="804"/>
      <c r="L1765" s="804"/>
      <c r="M1765" s="804"/>
      <c r="N1765" s="804"/>
      <c r="O1765" s="804"/>
      <c r="P1765" s="804"/>
      <c r="Q1765" s="804"/>
      <c r="R1765" s="804"/>
      <c r="S1765" s="804"/>
      <c r="T1765" s="805">
        <v>304.25</v>
      </c>
      <c r="U1765" s="804"/>
      <c r="V1765" s="804"/>
      <c r="W1765" s="804"/>
      <c r="X1765" s="808">
        <f>T1765</f>
        <v>304.25</v>
      </c>
      <c r="Y1765" s="809">
        <f>$T$3</f>
        <v>2300</v>
      </c>
    </row>
    <row r="1766" spans="1:25" ht="15" customHeight="1">
      <c r="A1766" s="800">
        <v>45966</v>
      </c>
      <c r="B1766" s="801"/>
      <c r="C1766" s="802" t="s">
        <v>2385</v>
      </c>
      <c r="D1766" s="803"/>
      <c r="E1766" s="803"/>
      <c r="F1766" s="801"/>
      <c r="G1766" s="801"/>
      <c r="H1766" s="801"/>
      <c r="I1766" s="801"/>
      <c r="J1766" s="804"/>
      <c r="K1766" s="804"/>
      <c r="L1766" s="805">
        <v>258.99</v>
      </c>
      <c r="M1766" s="804"/>
      <c r="N1766" s="804"/>
      <c r="O1766" s="804"/>
      <c r="P1766" s="804"/>
      <c r="Q1766" s="804"/>
      <c r="R1766" s="804"/>
      <c r="S1766" s="804"/>
      <c r="T1766" s="804"/>
      <c r="U1766" s="804"/>
      <c r="V1766" s="804"/>
      <c r="W1766" s="804"/>
      <c r="X1766" s="808">
        <f>L1766</f>
        <v>258.99</v>
      </c>
      <c r="Y1766" s="809" t="str">
        <f>$L$3</f>
        <v>6673-1</v>
      </c>
    </row>
    <row r="1767" spans="1:25" ht="15" customHeight="1">
      <c r="A1767" s="800">
        <v>45966</v>
      </c>
      <c r="B1767" s="801"/>
      <c r="C1767" s="802" t="s">
        <v>545</v>
      </c>
      <c r="D1767" s="803"/>
      <c r="E1767" s="803"/>
      <c r="F1767" s="801"/>
      <c r="G1767" s="801"/>
      <c r="H1767" s="801"/>
      <c r="I1767" s="801"/>
      <c r="J1767" s="804"/>
      <c r="K1767" s="804"/>
      <c r="L1767" s="804"/>
      <c r="M1767" s="804"/>
      <c r="N1767" s="804"/>
      <c r="O1767" s="804"/>
      <c r="P1767" s="804"/>
      <c r="Q1767" s="804"/>
      <c r="R1767" s="804"/>
      <c r="S1767" s="805">
        <v>11.09</v>
      </c>
      <c r="T1767" s="804"/>
      <c r="U1767" s="804"/>
      <c r="V1767" s="804"/>
      <c r="W1767" s="804"/>
      <c r="X1767" s="808">
        <f>S1767</f>
        <v>11.09</v>
      </c>
      <c r="Y1767" s="809">
        <f>$S$3</f>
        <v>6855</v>
      </c>
    </row>
    <row r="1768" spans="1:25" ht="15" customHeight="1">
      <c r="A1768" s="800">
        <v>45966</v>
      </c>
      <c r="B1768" s="801"/>
      <c r="C1768" s="802" t="s">
        <v>2302</v>
      </c>
      <c r="D1768" s="803"/>
      <c r="E1768" s="803"/>
      <c r="F1768" s="801"/>
      <c r="G1768" s="801"/>
      <c r="H1768" s="801"/>
      <c r="I1768" s="801"/>
      <c r="J1768" s="804"/>
      <c r="K1768" s="804"/>
      <c r="L1768" s="804"/>
      <c r="M1768" s="804"/>
      <c r="N1768" s="805">
        <v>950</v>
      </c>
      <c r="O1768" s="804"/>
      <c r="P1768" s="804"/>
      <c r="Q1768" s="804"/>
      <c r="R1768" s="804"/>
      <c r="S1768" s="804"/>
      <c r="T1768" s="804"/>
      <c r="U1768" s="804"/>
      <c r="V1768" s="804"/>
      <c r="W1768" s="804"/>
      <c r="X1768" s="808">
        <f>N1768</f>
        <v>950</v>
      </c>
      <c r="Y1768" s="809">
        <f>$N$3</f>
        <v>6680</v>
      </c>
    </row>
    <row r="1769" spans="1:25" ht="15" customHeight="1">
      <c r="A1769" s="800">
        <v>45966</v>
      </c>
      <c r="B1769" s="801" t="s">
        <v>2386</v>
      </c>
      <c r="C1769" s="802" t="s">
        <v>2323</v>
      </c>
      <c r="D1769" s="810">
        <v>2000</v>
      </c>
      <c r="E1769" s="803"/>
      <c r="F1769" s="801"/>
      <c r="G1769" s="801"/>
      <c r="H1769" s="801"/>
      <c r="I1769" s="801"/>
      <c r="J1769" s="804"/>
      <c r="K1769" s="804"/>
      <c r="L1769" s="804"/>
      <c r="M1769" s="804"/>
      <c r="N1769" s="804"/>
      <c r="O1769" s="804"/>
      <c r="P1769" s="804"/>
      <c r="Q1769" s="804"/>
      <c r="R1769" s="804"/>
      <c r="S1769" s="804"/>
      <c r="T1769" s="804"/>
      <c r="U1769" s="804"/>
      <c r="V1769" s="804"/>
      <c r="W1769" s="804"/>
      <c r="X1769" s="1034">
        <f>D1769</f>
        <v>2000</v>
      </c>
      <c r="Y1769" s="809" t="s">
        <v>2300</v>
      </c>
    </row>
    <row r="1770" spans="1:25" ht="15" customHeight="1">
      <c r="A1770" s="800">
        <v>45966</v>
      </c>
      <c r="B1770" s="801"/>
      <c r="C1770" s="802" t="s">
        <v>2387</v>
      </c>
      <c r="D1770" s="803"/>
      <c r="E1770" s="803"/>
      <c r="F1770" s="801"/>
      <c r="G1770" s="801"/>
      <c r="H1770" s="801"/>
      <c r="I1770" s="801"/>
      <c r="J1770" s="804"/>
      <c r="K1770" s="804"/>
      <c r="L1770" s="805">
        <v>146.13999999999999</v>
      </c>
      <c r="M1770" s="804"/>
      <c r="N1770" s="804"/>
      <c r="O1770" s="804"/>
      <c r="P1770" s="804"/>
      <c r="Q1770" s="804"/>
      <c r="R1770" s="804"/>
      <c r="S1770" s="804"/>
      <c r="T1770" s="804"/>
      <c r="U1770" s="804"/>
      <c r="V1770" s="804"/>
      <c r="W1770" s="804"/>
      <c r="X1770" s="808">
        <f>L1770</f>
        <v>146.13999999999999</v>
      </c>
      <c r="Y1770" s="809" t="str">
        <f>$L$3</f>
        <v>6673-1</v>
      </c>
    </row>
    <row r="1771" spans="1:25" ht="15" customHeight="1">
      <c r="A1771" s="800">
        <v>45966</v>
      </c>
      <c r="B1771" s="801"/>
      <c r="C1771" s="802" t="s">
        <v>2388</v>
      </c>
      <c r="D1771" s="803"/>
      <c r="E1771" s="803"/>
      <c r="F1771" s="801"/>
      <c r="G1771" s="801"/>
      <c r="H1771" s="801"/>
      <c r="I1771" s="801"/>
      <c r="J1771" s="804"/>
      <c r="K1771" s="804"/>
      <c r="L1771" s="805">
        <v>145.49</v>
      </c>
      <c r="M1771" s="804"/>
      <c r="N1771" s="804"/>
      <c r="O1771" s="804"/>
      <c r="P1771" s="804"/>
      <c r="Q1771" s="804"/>
      <c r="R1771" s="804"/>
      <c r="S1771" s="804"/>
      <c r="T1771" s="804"/>
      <c r="U1771" s="804"/>
      <c r="V1771" s="804"/>
      <c r="W1771" s="804"/>
      <c r="X1771" s="808">
        <f>L1771</f>
        <v>145.49</v>
      </c>
      <c r="Y1771" s="809" t="str">
        <f>$L$3</f>
        <v>6673-1</v>
      </c>
    </row>
    <row r="1772" spans="1:25" ht="15" customHeight="1">
      <c r="A1772" s="800">
        <v>45968</v>
      </c>
      <c r="B1772" s="801"/>
      <c r="C1772" s="802" t="s">
        <v>2389</v>
      </c>
      <c r="D1772" s="803"/>
      <c r="E1772" s="803"/>
      <c r="F1772" s="801"/>
      <c r="G1772" s="801"/>
      <c r="H1772" s="801"/>
      <c r="I1772" s="801"/>
      <c r="J1772" s="804"/>
      <c r="K1772" s="804"/>
      <c r="L1772" s="805">
        <v>345.08</v>
      </c>
      <c r="M1772" s="804"/>
      <c r="N1772" s="804"/>
      <c r="O1772" s="804"/>
      <c r="P1772" s="804"/>
      <c r="Q1772" s="804"/>
      <c r="R1772" s="804"/>
      <c r="S1772" s="804"/>
      <c r="T1772" s="804"/>
      <c r="U1772" s="804"/>
      <c r="V1772" s="804"/>
      <c r="W1772" s="804"/>
      <c r="X1772" s="808">
        <f>L1772</f>
        <v>345.08</v>
      </c>
      <c r="Y1772" s="809" t="str">
        <f>$L$3</f>
        <v>6673-1</v>
      </c>
    </row>
    <row r="1773" spans="1:25" ht="15" customHeight="1">
      <c r="A1773" s="800">
        <v>45968</v>
      </c>
      <c r="B1773" s="801"/>
      <c r="C1773" s="802" t="s">
        <v>2390</v>
      </c>
      <c r="D1773" s="803"/>
      <c r="E1773" s="803"/>
      <c r="F1773" s="801"/>
      <c r="G1773" s="801"/>
      <c r="H1773" s="801"/>
      <c r="I1773" s="801"/>
      <c r="J1773" s="804"/>
      <c r="K1773" s="804"/>
      <c r="L1773" s="805">
        <v>345.08</v>
      </c>
      <c r="M1773" s="804"/>
      <c r="N1773" s="804"/>
      <c r="O1773" s="804"/>
      <c r="P1773" s="804"/>
      <c r="Q1773" s="804"/>
      <c r="R1773" s="804"/>
      <c r="S1773" s="804"/>
      <c r="T1773" s="804"/>
      <c r="U1773" s="804"/>
      <c r="V1773" s="804"/>
      <c r="W1773" s="804"/>
      <c r="X1773" s="808">
        <f>L1773</f>
        <v>345.08</v>
      </c>
      <c r="Y1773" s="809" t="str">
        <f>$L$3</f>
        <v>6673-1</v>
      </c>
    </row>
    <row r="1774" spans="1:25" ht="15" customHeight="1">
      <c r="A1774" s="800">
        <v>45969</v>
      </c>
      <c r="B1774" s="801"/>
      <c r="C1774" s="802" t="s">
        <v>426</v>
      </c>
      <c r="D1774" s="803"/>
      <c r="E1774" s="803"/>
      <c r="F1774" s="801"/>
      <c r="G1774" s="801"/>
      <c r="H1774" s="801"/>
      <c r="I1774" s="801"/>
      <c r="J1774" s="804"/>
      <c r="K1774" s="804"/>
      <c r="L1774" s="804"/>
      <c r="M1774" s="804"/>
      <c r="N1774" s="804"/>
      <c r="O1774" s="804"/>
      <c r="P1774" s="804"/>
      <c r="Q1774" s="805">
        <v>34.74</v>
      </c>
      <c r="R1774" s="804"/>
      <c r="S1774" s="804"/>
      <c r="T1774" s="804"/>
      <c r="U1774" s="804"/>
      <c r="V1774" s="804"/>
      <c r="W1774" s="804"/>
      <c r="X1774" s="808">
        <f>Q1774</f>
        <v>34.74</v>
      </c>
      <c r="Y1774" s="809" t="str">
        <f>$Q$3</f>
        <v>6495-2</v>
      </c>
    </row>
    <row r="1775" spans="1:25" ht="15" customHeight="1">
      <c r="A1775" s="800">
        <v>45972</v>
      </c>
      <c r="B1775" s="801"/>
      <c r="C1775" s="802" t="s">
        <v>2391</v>
      </c>
      <c r="D1775" s="803"/>
      <c r="E1775" s="803"/>
      <c r="F1775" s="801"/>
      <c r="G1775" s="801"/>
      <c r="H1775" s="801"/>
      <c r="I1775" s="801"/>
      <c r="J1775" s="804"/>
      <c r="K1775" s="804"/>
      <c r="L1775" s="805">
        <v>7.25</v>
      </c>
      <c r="M1775" s="804"/>
      <c r="N1775" s="804"/>
      <c r="O1775" s="804"/>
      <c r="P1775" s="804"/>
      <c r="Q1775" s="804"/>
      <c r="R1775" s="804"/>
      <c r="S1775" s="804"/>
      <c r="T1775" s="804"/>
      <c r="U1775" s="804"/>
      <c r="V1775" s="804"/>
      <c r="W1775" s="804"/>
      <c r="X1775" s="808">
        <f>L1775</f>
        <v>7.25</v>
      </c>
      <c r="Y1775" s="809" t="str">
        <f>$L$3</f>
        <v>6673-1</v>
      </c>
    </row>
    <row r="1776" spans="1:25" ht="15" customHeight="1">
      <c r="A1776" s="800">
        <v>45972</v>
      </c>
      <c r="B1776" s="801"/>
      <c r="C1776" s="802" t="s">
        <v>207</v>
      </c>
      <c r="D1776" s="803"/>
      <c r="E1776" s="803"/>
      <c r="F1776" s="801"/>
      <c r="G1776" s="801"/>
      <c r="H1776" s="801"/>
      <c r="I1776" s="801"/>
      <c r="J1776" s="804"/>
      <c r="K1776" s="804"/>
      <c r="L1776" s="804"/>
      <c r="M1776" s="805">
        <v>26.74</v>
      </c>
      <c r="N1776" s="804"/>
      <c r="O1776" s="804"/>
      <c r="P1776" s="804"/>
      <c r="Q1776" s="804"/>
      <c r="R1776" s="804"/>
      <c r="S1776" s="804"/>
      <c r="T1776" s="804"/>
      <c r="U1776" s="804"/>
      <c r="V1776" s="804"/>
      <c r="W1776" s="804"/>
      <c r="X1776" s="808">
        <f>M1776</f>
        <v>26.74</v>
      </c>
      <c r="Y1776" s="809" t="str">
        <f>$M$3</f>
        <v>6673-2</v>
      </c>
    </row>
    <row r="1777" spans="1:25" ht="15" customHeight="1">
      <c r="A1777" s="800">
        <v>45973</v>
      </c>
      <c r="B1777" s="801"/>
      <c r="C1777" s="802" t="s">
        <v>544</v>
      </c>
      <c r="D1777" s="803"/>
      <c r="E1777" s="803"/>
      <c r="F1777" s="801"/>
      <c r="G1777" s="801"/>
      <c r="H1777" s="801"/>
      <c r="I1777" s="801"/>
      <c r="J1777" s="804"/>
      <c r="K1777" s="804"/>
      <c r="L1777" s="804"/>
      <c r="M1777" s="805">
        <v>16.63</v>
      </c>
      <c r="N1777" s="804"/>
      <c r="O1777" s="804"/>
      <c r="P1777" s="804"/>
      <c r="Q1777" s="804"/>
      <c r="R1777" s="804"/>
      <c r="S1777" s="804"/>
      <c r="T1777" s="804"/>
      <c r="U1777" s="804"/>
      <c r="V1777" s="804"/>
      <c r="W1777" s="804"/>
      <c r="X1777" s="808">
        <f>M1777</f>
        <v>16.63</v>
      </c>
      <c r="Y1777" s="809" t="str">
        <f>$M$3</f>
        <v>6673-2</v>
      </c>
    </row>
    <row r="1778" spans="1:25" ht="15" customHeight="1">
      <c r="A1778" s="800">
        <v>45973</v>
      </c>
      <c r="B1778" s="801"/>
      <c r="C1778" s="802" t="s">
        <v>426</v>
      </c>
      <c r="D1778" s="803"/>
      <c r="E1778" s="803"/>
      <c r="F1778" s="801"/>
      <c r="G1778" s="801"/>
      <c r="H1778" s="801"/>
      <c r="I1778" s="801"/>
      <c r="J1778" s="804"/>
      <c r="K1778" s="804"/>
      <c r="L1778" s="804"/>
      <c r="M1778" s="804"/>
      <c r="N1778" s="804"/>
      <c r="O1778" s="804"/>
      <c r="P1778" s="804"/>
      <c r="Q1778" s="805">
        <v>35.65</v>
      </c>
      <c r="R1778" s="804"/>
      <c r="S1778" s="804"/>
      <c r="T1778" s="804"/>
      <c r="U1778" s="804"/>
      <c r="V1778" s="804"/>
      <c r="W1778" s="804"/>
      <c r="X1778" s="808">
        <f>Q1778</f>
        <v>35.65</v>
      </c>
      <c r="Y1778" s="809" t="str">
        <f>$Q$3</f>
        <v>6495-2</v>
      </c>
    </row>
    <row r="1779" spans="1:25" ht="15" customHeight="1">
      <c r="A1779" s="800">
        <v>45975</v>
      </c>
      <c r="B1779" s="801"/>
      <c r="C1779" s="802" t="s">
        <v>194</v>
      </c>
      <c r="D1779" s="803"/>
      <c r="E1779" s="803"/>
      <c r="F1779" s="801"/>
      <c r="G1779" s="801"/>
      <c r="H1779" s="801"/>
      <c r="I1779" s="801"/>
      <c r="J1779" s="804"/>
      <c r="K1779" s="804"/>
      <c r="L1779" s="804"/>
      <c r="M1779" s="804"/>
      <c r="N1779" s="804"/>
      <c r="O1779" s="804"/>
      <c r="P1779" s="804"/>
      <c r="Q1779" s="804"/>
      <c r="R1779" s="804"/>
      <c r="S1779" s="805">
        <v>11.5</v>
      </c>
      <c r="T1779" s="804"/>
      <c r="U1779" s="804"/>
      <c r="V1779" s="804"/>
      <c r="W1779" s="804"/>
      <c r="X1779" s="808">
        <f>S1779</f>
        <v>11.5</v>
      </c>
      <c r="Y1779" s="809">
        <f>$S$3</f>
        <v>6855</v>
      </c>
    </row>
    <row r="1780" spans="1:25" ht="15" customHeight="1">
      <c r="A1780" s="800">
        <v>45975</v>
      </c>
      <c r="B1780" s="801"/>
      <c r="C1780" s="802" t="s">
        <v>426</v>
      </c>
      <c r="D1780" s="803"/>
      <c r="E1780" s="803"/>
      <c r="F1780" s="801"/>
      <c r="G1780" s="801"/>
      <c r="H1780" s="801"/>
      <c r="I1780" s="801"/>
      <c r="J1780" s="804"/>
      <c r="K1780" s="804"/>
      <c r="L1780" s="804"/>
      <c r="M1780" s="804"/>
      <c r="N1780" s="804"/>
      <c r="O1780" s="804"/>
      <c r="P1780" s="804"/>
      <c r="Q1780" s="805">
        <v>34.5</v>
      </c>
      <c r="R1780" s="804"/>
      <c r="S1780" s="804"/>
      <c r="T1780" s="804"/>
      <c r="U1780" s="804"/>
      <c r="V1780" s="804"/>
      <c r="W1780" s="804"/>
      <c r="X1780" s="808">
        <f>Q1780</f>
        <v>34.5</v>
      </c>
      <c r="Y1780" s="809" t="str">
        <f>$Q$3</f>
        <v>6495-2</v>
      </c>
    </row>
    <row r="1781" spans="1:25" ht="15" customHeight="1">
      <c r="A1781" s="800">
        <v>45978</v>
      </c>
      <c r="B1781" s="801"/>
      <c r="C1781" s="802" t="s">
        <v>394</v>
      </c>
      <c r="D1781" s="803"/>
      <c r="E1781" s="803"/>
      <c r="F1781" s="801"/>
      <c r="G1781" s="801"/>
      <c r="H1781" s="801"/>
      <c r="I1781" s="801"/>
      <c r="J1781" s="804"/>
      <c r="K1781" s="804"/>
      <c r="L1781" s="804"/>
      <c r="M1781" s="804"/>
      <c r="N1781" s="804"/>
      <c r="O1781" s="804"/>
      <c r="P1781" s="804"/>
      <c r="Q1781" s="804"/>
      <c r="R1781" s="804"/>
      <c r="S1781" s="804"/>
      <c r="T1781" s="805">
        <v>18.36</v>
      </c>
      <c r="U1781" s="804"/>
      <c r="V1781" s="804"/>
      <c r="W1781" s="804"/>
      <c r="X1781" s="808">
        <f>T1781</f>
        <v>18.36</v>
      </c>
      <c r="Y1781" s="809">
        <f>$T$3</f>
        <v>2300</v>
      </c>
    </row>
    <row r="1782" spans="1:25" ht="15" customHeight="1">
      <c r="A1782" s="800">
        <v>45978</v>
      </c>
      <c r="B1782" s="801"/>
      <c r="C1782" s="802" t="s">
        <v>2315</v>
      </c>
      <c r="D1782" s="803"/>
      <c r="E1782" s="803"/>
      <c r="F1782" s="801"/>
      <c r="G1782" s="801"/>
      <c r="H1782" s="801"/>
      <c r="I1782" s="801"/>
      <c r="J1782" s="804"/>
      <c r="K1782" s="804"/>
      <c r="L1782" s="804"/>
      <c r="M1782" s="804"/>
      <c r="N1782" s="804"/>
      <c r="O1782" s="804"/>
      <c r="P1782" s="804"/>
      <c r="Q1782" s="805">
        <v>5.39</v>
      </c>
      <c r="R1782" s="804"/>
      <c r="S1782" s="804"/>
      <c r="T1782" s="804"/>
      <c r="U1782" s="804"/>
      <c r="V1782" s="804"/>
      <c r="W1782" s="804"/>
      <c r="X1782" s="808">
        <f>Q1782</f>
        <v>5.39</v>
      </c>
      <c r="Y1782" s="809" t="str">
        <f>$Q$3</f>
        <v>6495-2</v>
      </c>
    </row>
    <row r="1783" spans="1:25" ht="15" customHeight="1">
      <c r="A1783" s="800">
        <v>45978</v>
      </c>
      <c r="B1783" s="801"/>
      <c r="C1783" s="802" t="s">
        <v>2312</v>
      </c>
      <c r="D1783" s="803"/>
      <c r="E1783" s="803"/>
      <c r="F1783" s="801"/>
      <c r="G1783" s="801"/>
      <c r="H1783" s="805">
        <v>1293.99</v>
      </c>
      <c r="I1783" s="804"/>
      <c r="J1783" s="804"/>
      <c r="K1783" s="804"/>
      <c r="L1783" s="804"/>
      <c r="M1783" s="804"/>
      <c r="N1783" s="804"/>
      <c r="O1783" s="804"/>
      <c r="P1783" s="804"/>
      <c r="Q1783" s="804"/>
      <c r="R1783" s="804"/>
      <c r="S1783" s="804"/>
      <c r="T1783" s="804"/>
      <c r="U1783" s="804"/>
      <c r="V1783" s="804"/>
      <c r="W1783" s="804"/>
      <c r="X1783" s="808">
        <f>H1783</f>
        <v>1293.99</v>
      </c>
      <c r="Y1783" s="809">
        <f>$H$3</f>
        <v>2200</v>
      </c>
    </row>
    <row r="1784" spans="1:25" ht="15" customHeight="1">
      <c r="A1784" s="800">
        <v>45979</v>
      </c>
      <c r="B1784" s="801"/>
      <c r="C1784" s="802" t="s">
        <v>2316</v>
      </c>
      <c r="D1784" s="803"/>
      <c r="E1784" s="803"/>
      <c r="F1784" s="801"/>
      <c r="G1784" s="801"/>
      <c r="H1784" s="801"/>
      <c r="I1784" s="801"/>
      <c r="J1784" s="804"/>
      <c r="K1784" s="805">
        <v>343.66</v>
      </c>
      <c r="L1784" s="804"/>
      <c r="M1784" s="804"/>
      <c r="N1784" s="804"/>
      <c r="O1784" s="804"/>
      <c r="P1784" s="804"/>
      <c r="Q1784" s="804"/>
      <c r="R1784" s="804"/>
      <c r="S1784" s="804"/>
      <c r="T1784" s="804"/>
      <c r="U1784" s="804"/>
      <c r="V1784" s="804"/>
      <c r="W1784" s="804"/>
      <c r="X1784" s="808">
        <f>K1784</f>
        <v>343.66</v>
      </c>
      <c r="Y1784" s="809" t="str">
        <f>$K$3</f>
        <v>6495-1</v>
      </c>
    </row>
    <row r="1785" spans="1:25" ht="15" customHeight="1">
      <c r="A1785" s="800">
        <v>45979</v>
      </c>
      <c r="B1785" s="801"/>
      <c r="C1785" s="802" t="s">
        <v>2295</v>
      </c>
      <c r="D1785" s="803"/>
      <c r="E1785" s="803"/>
      <c r="F1785" s="801"/>
      <c r="G1785" s="801"/>
      <c r="H1785" s="801"/>
      <c r="I1785" s="801"/>
      <c r="J1785" s="804"/>
      <c r="K1785" s="804"/>
      <c r="L1785" s="804"/>
      <c r="M1785" s="804"/>
      <c r="N1785" s="804"/>
      <c r="O1785" s="804"/>
      <c r="P1785" s="804"/>
      <c r="Q1785" s="805">
        <v>23</v>
      </c>
      <c r="R1785" s="804"/>
      <c r="S1785" s="804"/>
      <c r="T1785" s="804"/>
      <c r="U1785" s="804"/>
      <c r="V1785" s="804"/>
      <c r="W1785" s="804"/>
      <c r="X1785" s="808">
        <f>Q1785</f>
        <v>23</v>
      </c>
      <c r="Y1785" s="809" t="str">
        <f>$Q$3</f>
        <v>6495-2</v>
      </c>
    </row>
    <row r="1786" spans="1:25" ht="15" customHeight="1">
      <c r="A1786" s="800">
        <v>45980</v>
      </c>
      <c r="B1786" s="801"/>
      <c r="C1786" s="802" t="s">
        <v>426</v>
      </c>
      <c r="D1786" s="803"/>
      <c r="E1786" s="803"/>
      <c r="F1786" s="801"/>
      <c r="G1786" s="801"/>
      <c r="H1786" s="801"/>
      <c r="I1786" s="801"/>
      <c r="J1786" s="804"/>
      <c r="K1786" s="804"/>
      <c r="L1786" s="804"/>
      <c r="M1786" s="804"/>
      <c r="N1786" s="804"/>
      <c r="O1786" s="804"/>
      <c r="P1786" s="804"/>
      <c r="Q1786" s="805">
        <v>34.9</v>
      </c>
      <c r="R1786" s="804"/>
      <c r="S1786" s="804"/>
      <c r="T1786" s="804"/>
      <c r="U1786" s="804"/>
      <c r="V1786" s="804"/>
      <c r="W1786" s="804"/>
      <c r="X1786" s="808">
        <f>Q1786</f>
        <v>34.9</v>
      </c>
      <c r="Y1786" s="809" t="str">
        <f>$Q$3</f>
        <v>6495-2</v>
      </c>
    </row>
    <row r="1787" spans="1:25" ht="15" customHeight="1">
      <c r="A1787" s="800">
        <v>45981</v>
      </c>
      <c r="B1787" s="801"/>
      <c r="C1787" s="802" t="s">
        <v>2327</v>
      </c>
      <c r="D1787" s="803"/>
      <c r="E1787" s="803"/>
      <c r="F1787" s="805">
        <v>17.5</v>
      </c>
      <c r="G1787" s="801"/>
      <c r="H1787" s="801"/>
      <c r="I1787" s="801"/>
      <c r="J1787" s="804"/>
      <c r="K1787" s="804"/>
      <c r="L1787" s="804"/>
      <c r="M1787" s="804"/>
      <c r="N1787" s="804"/>
      <c r="O1787" s="804"/>
      <c r="P1787" s="804"/>
      <c r="Q1787" s="804"/>
      <c r="R1787" s="804"/>
      <c r="S1787" s="804"/>
      <c r="T1787" s="804"/>
      <c r="U1787" s="804"/>
      <c r="V1787" s="804"/>
      <c r="W1787" s="804"/>
      <c r="X1787" s="808">
        <f>F1787</f>
        <v>17.5</v>
      </c>
      <c r="Y1787" s="809" t="s">
        <v>2325</v>
      </c>
    </row>
    <row r="1788" spans="1:25" ht="15" customHeight="1">
      <c r="A1788" s="800">
        <v>45981</v>
      </c>
      <c r="B1788" s="801"/>
      <c r="C1788" s="802" t="s">
        <v>2318</v>
      </c>
      <c r="D1788" s="803"/>
      <c r="E1788" s="803"/>
      <c r="F1788" s="801"/>
      <c r="G1788" s="801"/>
      <c r="H1788" s="801"/>
      <c r="I1788" s="801"/>
      <c r="J1788" s="805">
        <v>22.81</v>
      </c>
      <c r="K1788" s="804"/>
      <c r="L1788" s="804"/>
      <c r="M1788" s="804"/>
      <c r="N1788" s="804"/>
      <c r="O1788" s="804"/>
      <c r="P1788" s="804"/>
      <c r="Q1788" s="804"/>
      <c r="R1788" s="804"/>
      <c r="S1788" s="804"/>
      <c r="T1788" s="804"/>
      <c r="U1788" s="804"/>
      <c r="V1788" s="804"/>
      <c r="W1788" s="804"/>
      <c r="X1788" s="808">
        <f>J1788</f>
        <v>22.81</v>
      </c>
      <c r="Y1788" s="809">
        <f>$J$3</f>
        <v>6805</v>
      </c>
    </row>
    <row r="1789" spans="1:25" ht="15" customHeight="1">
      <c r="A1789" s="800">
        <v>45981</v>
      </c>
      <c r="B1789" s="801" t="s">
        <v>2246</v>
      </c>
      <c r="C1789" s="802" t="s">
        <v>2307</v>
      </c>
      <c r="D1789" s="810">
        <v>550</v>
      </c>
      <c r="E1789" s="803"/>
      <c r="F1789" s="801"/>
      <c r="G1789" s="801"/>
      <c r="H1789" s="801"/>
      <c r="I1789" s="801"/>
      <c r="J1789" s="804"/>
      <c r="K1789" s="804"/>
      <c r="L1789" s="804"/>
      <c r="M1789" s="804"/>
      <c r="N1789" s="804"/>
      <c r="O1789" s="804"/>
      <c r="P1789" s="804"/>
      <c r="Q1789" s="804"/>
      <c r="R1789" s="804"/>
      <c r="S1789" s="804"/>
      <c r="T1789" s="804"/>
      <c r="U1789" s="804"/>
      <c r="V1789" s="804"/>
      <c r="W1789" s="804"/>
      <c r="X1789" s="1034">
        <f>D1789</f>
        <v>550</v>
      </c>
      <c r="Y1789" s="809" t="s">
        <v>2300</v>
      </c>
    </row>
    <row r="1790" spans="1:25" ht="15" customHeight="1">
      <c r="A1790" s="800">
        <v>45984</v>
      </c>
      <c r="B1790" s="801"/>
      <c r="C1790" s="802" t="s">
        <v>2319</v>
      </c>
      <c r="D1790" s="803"/>
      <c r="E1790" s="803"/>
      <c r="F1790" s="801"/>
      <c r="G1790" s="801"/>
      <c r="H1790" s="801"/>
      <c r="I1790" s="801"/>
      <c r="J1790" s="805">
        <v>11.39</v>
      </c>
      <c r="K1790" s="804"/>
      <c r="L1790" s="804"/>
      <c r="M1790" s="804"/>
      <c r="N1790" s="804"/>
      <c r="O1790" s="804"/>
      <c r="P1790" s="804"/>
      <c r="Q1790" s="804"/>
      <c r="R1790" s="804"/>
      <c r="S1790" s="804"/>
      <c r="T1790" s="804"/>
      <c r="U1790" s="804"/>
      <c r="V1790" s="804"/>
      <c r="W1790" s="804"/>
      <c r="X1790" s="808">
        <f>J1790</f>
        <v>11.39</v>
      </c>
      <c r="Y1790" s="809">
        <f>$J$3</f>
        <v>6805</v>
      </c>
    </row>
    <row r="1791" spans="1:25" ht="15" customHeight="1">
      <c r="A1791" s="800">
        <v>45988</v>
      </c>
      <c r="B1791" s="801"/>
      <c r="C1791" s="802" t="s">
        <v>2320</v>
      </c>
      <c r="D1791" s="803"/>
      <c r="E1791" s="803"/>
      <c r="F1791" s="801"/>
      <c r="G1791" s="801"/>
      <c r="H1791" s="801"/>
      <c r="I1791" s="801"/>
      <c r="J1791" s="804"/>
      <c r="K1791" s="804"/>
      <c r="L1791" s="804"/>
      <c r="M1791" s="804"/>
      <c r="N1791" s="804"/>
      <c r="O1791" s="804"/>
      <c r="P1791" s="804"/>
      <c r="Q1791" s="804"/>
      <c r="R1791" s="804"/>
      <c r="S1791" s="805">
        <v>11.04</v>
      </c>
      <c r="T1791" s="804"/>
      <c r="U1791" s="804"/>
      <c r="V1791" s="804"/>
      <c r="W1791" s="804"/>
      <c r="X1791" s="808">
        <f>S1791</f>
        <v>11.04</v>
      </c>
      <c r="Y1791" s="809">
        <f>$S$3</f>
        <v>6855</v>
      </c>
    </row>
    <row r="1792" spans="1:25" ht="15" customHeight="1">
      <c r="A1792" s="800">
        <v>45988</v>
      </c>
      <c r="B1792" s="801"/>
      <c r="C1792" s="802" t="s">
        <v>528</v>
      </c>
      <c r="D1792" s="803"/>
      <c r="E1792" s="803"/>
      <c r="F1792" s="801"/>
      <c r="G1792" s="801"/>
      <c r="H1792" s="801"/>
      <c r="I1792" s="801"/>
      <c r="J1792" s="804"/>
      <c r="K1792" s="804"/>
      <c r="L1792" s="804"/>
      <c r="M1792" s="804"/>
      <c r="N1792" s="804"/>
      <c r="O1792" s="805">
        <v>46.71</v>
      </c>
      <c r="P1792" s="804"/>
      <c r="Q1792" s="804"/>
      <c r="R1792" s="804"/>
      <c r="S1792" s="804"/>
      <c r="T1792" s="804"/>
      <c r="U1792" s="804"/>
      <c r="V1792" s="804"/>
      <c r="W1792" s="804"/>
      <c r="X1792" s="808">
        <f>O1792</f>
        <v>46.71</v>
      </c>
      <c r="Y1792" s="809">
        <f>$O$3</f>
        <v>6530</v>
      </c>
    </row>
    <row r="1793" spans="1:25" ht="15" customHeight="1">
      <c r="A1793" s="800">
        <v>45988</v>
      </c>
      <c r="B1793" s="801"/>
      <c r="C1793" s="802" t="s">
        <v>2331</v>
      </c>
      <c r="D1793" s="803"/>
      <c r="E1793" s="803"/>
      <c r="F1793" s="805">
        <v>2733</v>
      </c>
      <c r="G1793" s="801"/>
      <c r="H1793" s="801"/>
      <c r="I1793" s="801"/>
      <c r="J1793" s="804"/>
      <c r="K1793" s="804"/>
      <c r="L1793" s="804"/>
      <c r="M1793" s="804"/>
      <c r="N1793" s="804"/>
      <c r="O1793" s="804"/>
      <c r="P1793" s="804"/>
      <c r="Q1793" s="804"/>
      <c r="R1793" s="804"/>
      <c r="S1793" s="804"/>
      <c r="T1793" s="804"/>
      <c r="U1793" s="804"/>
      <c r="V1793" s="804"/>
      <c r="W1793" s="804"/>
      <c r="X1793" s="808">
        <f>F1793</f>
        <v>2733</v>
      </c>
      <c r="Y1793" s="809" t="s">
        <v>2325</v>
      </c>
    </row>
    <row r="1794" spans="1:25" ht="15" customHeight="1">
      <c r="A1794" s="800">
        <v>45989</v>
      </c>
      <c r="B1794" s="805"/>
      <c r="C1794" s="802" t="s">
        <v>2321</v>
      </c>
      <c r="D1794" s="803"/>
      <c r="E1794" s="805">
        <v>660.68</v>
      </c>
      <c r="F1794" s="801"/>
      <c r="G1794" s="801"/>
      <c r="H1794" s="801"/>
      <c r="I1794" s="801"/>
      <c r="J1794" s="804"/>
      <c r="K1794" s="804"/>
      <c r="L1794" s="804"/>
      <c r="M1794" s="804"/>
      <c r="N1794" s="804"/>
      <c r="O1794" s="804"/>
      <c r="P1794" s="804"/>
      <c r="Q1794" s="804"/>
      <c r="R1794" s="804"/>
      <c r="S1794" s="804"/>
      <c r="T1794" s="804"/>
      <c r="U1794" s="804"/>
      <c r="V1794" s="804"/>
      <c r="W1794" s="804"/>
      <c r="X1794" s="808">
        <f>E1794</f>
        <v>660.68</v>
      </c>
      <c r="Y1794" s="809" t="s">
        <v>2304</v>
      </c>
    </row>
    <row r="1795" spans="1:25" ht="15" customHeight="1">
      <c r="A1795" s="800">
        <v>45989</v>
      </c>
      <c r="B1795" s="801"/>
      <c r="C1795" s="802" t="s">
        <v>2370</v>
      </c>
      <c r="D1795" s="803"/>
      <c r="E1795" s="803"/>
      <c r="F1795" s="801"/>
      <c r="G1795" s="801"/>
      <c r="H1795" s="801"/>
      <c r="I1795" s="801"/>
      <c r="J1795" s="804"/>
      <c r="K1795" s="804"/>
      <c r="L1795" s="805">
        <v>10.45</v>
      </c>
      <c r="M1795" s="804"/>
      <c r="N1795" s="804"/>
      <c r="O1795" s="804"/>
      <c r="P1795" s="804"/>
      <c r="Q1795" s="804"/>
      <c r="R1795" s="804"/>
      <c r="S1795" s="804"/>
      <c r="T1795" s="804"/>
      <c r="U1795" s="804"/>
      <c r="V1795" s="804"/>
      <c r="W1795" s="804"/>
      <c r="X1795" s="808">
        <f>L1795</f>
        <v>10.45</v>
      </c>
      <c r="Y1795" s="809" t="str">
        <f>$L$3</f>
        <v>6673-1</v>
      </c>
    </row>
    <row r="1796" spans="1:25" ht="15" customHeight="1">
      <c r="A1796" s="800">
        <v>45989</v>
      </c>
      <c r="B1796" s="801"/>
      <c r="C1796" s="802" t="s">
        <v>2370</v>
      </c>
      <c r="D1796" s="803"/>
      <c r="E1796" s="803"/>
      <c r="F1796" s="801"/>
      <c r="G1796" s="801"/>
      <c r="H1796" s="801"/>
      <c r="I1796" s="801"/>
      <c r="J1796" s="804"/>
      <c r="K1796" s="804"/>
      <c r="L1796" s="805">
        <v>17.22</v>
      </c>
      <c r="M1796" s="804"/>
      <c r="N1796" s="804"/>
      <c r="O1796" s="804"/>
      <c r="P1796" s="804"/>
      <c r="Q1796" s="804"/>
      <c r="R1796" s="804"/>
      <c r="S1796" s="804"/>
      <c r="T1796" s="804"/>
      <c r="U1796" s="804"/>
      <c r="V1796" s="804"/>
      <c r="W1796" s="804"/>
      <c r="X1796" s="808">
        <f>L1796</f>
        <v>17.22</v>
      </c>
      <c r="Y1796" s="809" t="str">
        <f>$L$3</f>
        <v>6673-1</v>
      </c>
    </row>
    <row r="1797" spans="1:25" ht="15" customHeight="1">
      <c r="A1797" s="800">
        <v>45989</v>
      </c>
      <c r="B1797" s="801"/>
      <c r="C1797" s="802" t="s">
        <v>2392</v>
      </c>
      <c r="D1797" s="803"/>
      <c r="E1797" s="803"/>
      <c r="F1797" s="801"/>
      <c r="G1797" s="801"/>
      <c r="H1797" s="801"/>
      <c r="I1797" s="801"/>
      <c r="J1797" s="804"/>
      <c r="K1797" s="804"/>
      <c r="L1797" s="805">
        <v>296.64</v>
      </c>
      <c r="M1797" s="804"/>
      <c r="N1797" s="804"/>
      <c r="O1797" s="804"/>
      <c r="P1797" s="804"/>
      <c r="Q1797" s="804"/>
      <c r="R1797" s="804"/>
      <c r="S1797" s="804"/>
      <c r="T1797" s="804"/>
      <c r="U1797" s="804"/>
      <c r="V1797" s="804"/>
      <c r="W1797" s="804"/>
      <c r="X1797" s="808">
        <f>L1797</f>
        <v>296.64</v>
      </c>
      <c r="Y1797" s="809" t="str">
        <f>$L$3</f>
        <v>6673-1</v>
      </c>
    </row>
    <row r="1798" spans="1:25" ht="15" customHeight="1">
      <c r="A1798" s="800">
        <v>45989</v>
      </c>
      <c r="B1798" s="801"/>
      <c r="C1798" s="802" t="s">
        <v>207</v>
      </c>
      <c r="D1798" s="803"/>
      <c r="E1798" s="803"/>
      <c r="F1798" s="801"/>
      <c r="G1798" s="801"/>
      <c r="H1798" s="801"/>
      <c r="I1798" s="801"/>
      <c r="J1798" s="804"/>
      <c r="K1798" s="804"/>
      <c r="L1798" s="804"/>
      <c r="M1798" s="805">
        <v>27.11</v>
      </c>
      <c r="N1798" s="804"/>
      <c r="O1798" s="804"/>
      <c r="P1798" s="804"/>
      <c r="Q1798" s="804"/>
      <c r="R1798" s="804"/>
      <c r="S1798" s="804"/>
      <c r="T1798" s="804"/>
      <c r="U1798" s="804"/>
      <c r="V1798" s="804"/>
      <c r="W1798" s="804"/>
      <c r="X1798" s="808">
        <f>M1798</f>
        <v>27.11</v>
      </c>
      <c r="Y1798" s="809" t="str">
        <f>$M$3</f>
        <v>6673-2</v>
      </c>
    </row>
    <row r="1799" spans="1:25" ht="15" customHeight="1">
      <c r="A1799" s="800">
        <v>45989</v>
      </c>
      <c r="B1799" s="801"/>
      <c r="C1799" s="802" t="s">
        <v>426</v>
      </c>
      <c r="D1799" s="803"/>
      <c r="E1799" s="803"/>
      <c r="F1799" s="801"/>
      <c r="G1799" s="801"/>
      <c r="H1799" s="801"/>
      <c r="I1799" s="801"/>
      <c r="J1799" s="804"/>
      <c r="K1799" s="804"/>
      <c r="L1799" s="804"/>
      <c r="M1799" s="804"/>
      <c r="N1799" s="804"/>
      <c r="O1799" s="804"/>
      <c r="P1799" s="804"/>
      <c r="Q1799" s="805">
        <v>34.64</v>
      </c>
      <c r="R1799" s="804"/>
      <c r="S1799" s="804"/>
      <c r="T1799" s="804"/>
      <c r="U1799" s="804"/>
      <c r="V1799" s="804"/>
      <c r="W1799" s="804"/>
      <c r="X1799" s="808">
        <f>Q1799</f>
        <v>34.64</v>
      </c>
      <c r="Y1799" s="809" t="str">
        <f>$Q$3</f>
        <v>6495-2</v>
      </c>
    </row>
    <row r="1800" spans="1:25" ht="15" customHeight="1">
      <c r="A1800" s="800">
        <v>45990</v>
      </c>
      <c r="B1800" s="801"/>
      <c r="C1800" s="802" t="s">
        <v>544</v>
      </c>
      <c r="D1800" s="803"/>
      <c r="E1800" s="803"/>
      <c r="F1800" s="801"/>
      <c r="G1800" s="801"/>
      <c r="H1800" s="801"/>
      <c r="I1800" s="801"/>
      <c r="J1800" s="804"/>
      <c r="K1800" s="804"/>
      <c r="L1800" s="804"/>
      <c r="M1800" s="805">
        <v>16.63</v>
      </c>
      <c r="N1800" s="804"/>
      <c r="O1800" s="804"/>
      <c r="P1800" s="804"/>
      <c r="Q1800" s="804"/>
      <c r="R1800" s="804"/>
      <c r="S1800" s="804"/>
      <c r="T1800" s="804"/>
      <c r="U1800" s="804"/>
      <c r="V1800" s="804"/>
      <c r="W1800" s="804"/>
      <c r="X1800" s="808">
        <f>M1800</f>
        <v>16.63</v>
      </c>
      <c r="Y1800" s="809" t="str">
        <f>$M$3</f>
        <v>6673-2</v>
      </c>
    </row>
    <row r="1801" spans="1:25" ht="15" customHeight="1">
      <c r="A1801" s="800"/>
      <c r="B1801" s="801"/>
      <c r="C1801" s="802"/>
      <c r="D1801" s="803"/>
      <c r="E1801" s="803"/>
      <c r="F1801" s="801"/>
      <c r="G1801" s="801"/>
      <c r="H1801" s="801"/>
      <c r="I1801" s="801"/>
      <c r="J1801" s="804"/>
      <c r="K1801" s="804"/>
      <c r="L1801" s="804"/>
      <c r="M1801" s="805"/>
      <c r="N1801" s="804"/>
      <c r="O1801" s="804"/>
      <c r="P1801" s="804"/>
      <c r="Q1801" s="804"/>
      <c r="R1801" s="804"/>
      <c r="S1801" s="804"/>
      <c r="T1801" s="804"/>
      <c r="U1801" s="804"/>
      <c r="V1801" s="804"/>
      <c r="W1801" s="804"/>
      <c r="X1801" s="811"/>
      <c r="Y1801" s="809"/>
    </row>
    <row r="1802" spans="1:25" ht="15" customHeight="1">
      <c r="A1802" s="795"/>
      <c r="B1802" s="796">
        <v>45992</v>
      </c>
      <c r="C1802" s="795"/>
      <c r="D1802" s="795"/>
      <c r="E1802" s="795"/>
      <c r="F1802" s="795"/>
      <c r="G1802" s="795"/>
      <c r="H1802" s="795"/>
      <c r="I1802" s="795"/>
      <c r="J1802" s="795"/>
      <c r="K1802" s="795"/>
      <c r="L1802" s="795"/>
      <c r="M1802" s="795"/>
      <c r="N1802" s="795"/>
      <c r="O1802" s="795"/>
      <c r="P1802" s="795"/>
      <c r="Q1802" s="795"/>
      <c r="R1802" s="795"/>
      <c r="S1802" s="795"/>
      <c r="T1802" s="795"/>
      <c r="U1802" s="795"/>
      <c r="V1802" s="795"/>
      <c r="W1802" s="795"/>
      <c r="X1802" s="797"/>
      <c r="Y1802" s="799"/>
    </row>
    <row r="1803" spans="1:25" ht="15" customHeight="1">
      <c r="A1803" s="800">
        <v>45992</v>
      </c>
      <c r="B1803" s="801"/>
      <c r="C1803" s="802" t="s">
        <v>2393</v>
      </c>
      <c r="D1803" s="803"/>
      <c r="E1803" s="803"/>
      <c r="F1803" s="801"/>
      <c r="G1803" s="801"/>
      <c r="H1803" s="801"/>
      <c r="I1803" s="801"/>
      <c r="J1803" s="804"/>
      <c r="K1803" s="804"/>
      <c r="L1803" s="804"/>
      <c r="M1803" s="804"/>
      <c r="N1803" s="804"/>
      <c r="O1803" s="804"/>
      <c r="P1803" s="805">
        <v>106.88</v>
      </c>
      <c r="Q1803" s="804"/>
      <c r="R1803" s="804"/>
      <c r="S1803" s="804"/>
      <c r="T1803" s="804"/>
      <c r="U1803" s="804"/>
      <c r="V1803" s="804"/>
      <c r="W1803" s="804"/>
      <c r="X1803" s="808">
        <f>P1803</f>
        <v>106.88</v>
      </c>
      <c r="Y1803" s="809">
        <f>$P$3</f>
        <v>6815</v>
      </c>
    </row>
    <row r="1804" spans="1:25" ht="15" customHeight="1">
      <c r="A1804" s="800">
        <v>45992</v>
      </c>
      <c r="B1804" s="801"/>
      <c r="C1804" s="802" t="s">
        <v>2296</v>
      </c>
      <c r="D1804" s="803"/>
      <c r="E1804" s="803"/>
      <c r="F1804" s="801"/>
      <c r="G1804" s="801"/>
      <c r="H1804" s="801"/>
      <c r="I1804" s="801"/>
      <c r="J1804" s="804"/>
      <c r="K1804" s="804"/>
      <c r="L1804" s="804"/>
      <c r="M1804" s="805">
        <v>58</v>
      </c>
      <c r="N1804" s="804"/>
      <c r="O1804" s="804"/>
      <c r="P1804" s="804"/>
      <c r="Q1804" s="804"/>
      <c r="R1804" s="804"/>
      <c r="S1804" s="804"/>
      <c r="T1804" s="804"/>
      <c r="U1804" s="804"/>
      <c r="V1804" s="804"/>
      <c r="W1804" s="804"/>
      <c r="X1804" s="808">
        <f>M1804</f>
        <v>58</v>
      </c>
      <c r="Y1804" s="809" t="str">
        <f>$M$3</f>
        <v>6673-2</v>
      </c>
    </row>
    <row r="1805" spans="1:25" ht="15" customHeight="1">
      <c r="A1805" s="800">
        <v>45992</v>
      </c>
      <c r="B1805" s="801"/>
      <c r="C1805" s="802" t="s">
        <v>2297</v>
      </c>
      <c r="D1805" s="803"/>
      <c r="E1805" s="803"/>
      <c r="F1805" s="801"/>
      <c r="G1805" s="801"/>
      <c r="H1805" s="801"/>
      <c r="I1805" s="801"/>
      <c r="J1805" s="804"/>
      <c r="K1805" s="804"/>
      <c r="L1805" s="804"/>
      <c r="M1805" s="804"/>
      <c r="N1805" s="804"/>
      <c r="O1805" s="804"/>
      <c r="P1805" s="804"/>
      <c r="Q1805" s="804"/>
      <c r="R1805" s="804"/>
      <c r="S1805" s="804"/>
      <c r="T1805" s="805">
        <v>-237.28</v>
      </c>
      <c r="U1805" s="804"/>
      <c r="V1805" s="804"/>
      <c r="W1805" s="804"/>
      <c r="X1805" s="808">
        <f>T1805</f>
        <v>-237.28</v>
      </c>
      <c r="Y1805" s="809">
        <f>$T$3</f>
        <v>2300</v>
      </c>
    </row>
    <row r="1806" spans="1:25" ht="15" customHeight="1">
      <c r="A1806" s="800">
        <v>45992</v>
      </c>
      <c r="B1806" s="801"/>
      <c r="C1806" s="802" t="s">
        <v>2295</v>
      </c>
      <c r="D1806" s="803"/>
      <c r="E1806" s="803"/>
      <c r="F1806" s="801"/>
      <c r="G1806" s="801"/>
      <c r="H1806" s="801"/>
      <c r="I1806" s="801"/>
      <c r="J1806" s="804"/>
      <c r="K1806" s="804"/>
      <c r="L1806" s="804"/>
      <c r="M1806" s="804"/>
      <c r="N1806" s="804"/>
      <c r="O1806" s="804"/>
      <c r="P1806" s="804"/>
      <c r="Q1806" s="805">
        <v>23</v>
      </c>
      <c r="R1806" s="804"/>
      <c r="S1806" s="804"/>
      <c r="T1806" s="804"/>
      <c r="U1806" s="804"/>
      <c r="V1806" s="804"/>
      <c r="W1806" s="804"/>
      <c r="X1806" s="808">
        <f>Q1806</f>
        <v>23</v>
      </c>
      <c r="Y1806" s="809" t="str">
        <f>$Q$3</f>
        <v>6495-2</v>
      </c>
    </row>
    <row r="1807" spans="1:25" ht="15" customHeight="1">
      <c r="A1807" s="800">
        <v>45992</v>
      </c>
      <c r="B1807" s="801"/>
      <c r="C1807" s="802" t="s">
        <v>2298</v>
      </c>
      <c r="D1807" s="803"/>
      <c r="E1807" s="803"/>
      <c r="F1807" s="801"/>
      <c r="G1807" s="801"/>
      <c r="H1807" s="801"/>
      <c r="I1807" s="801"/>
      <c r="J1807" s="804"/>
      <c r="K1807" s="804"/>
      <c r="L1807" s="804"/>
      <c r="M1807" s="804"/>
      <c r="N1807" s="804"/>
      <c r="O1807" s="804"/>
      <c r="P1807" s="804"/>
      <c r="Q1807" s="804"/>
      <c r="R1807" s="804"/>
      <c r="S1807" s="804"/>
      <c r="T1807" s="805">
        <v>304.25</v>
      </c>
      <c r="U1807" s="804"/>
      <c r="V1807" s="804"/>
      <c r="W1807" s="804"/>
      <c r="X1807" s="808">
        <f>T1807</f>
        <v>304.25</v>
      </c>
      <c r="Y1807" s="809">
        <f>$T$3</f>
        <v>2300</v>
      </c>
    </row>
    <row r="1808" spans="1:25" ht="15" customHeight="1">
      <c r="A1808" s="800">
        <v>45993</v>
      </c>
      <c r="B1808" s="801"/>
      <c r="C1808" s="802" t="s">
        <v>2297</v>
      </c>
      <c r="D1808" s="803"/>
      <c r="E1808" s="803"/>
      <c r="F1808" s="801"/>
      <c r="G1808" s="801"/>
      <c r="H1808" s="801"/>
      <c r="I1808" s="801"/>
      <c r="J1808" s="804"/>
      <c r="K1808" s="804"/>
      <c r="L1808" s="804"/>
      <c r="M1808" s="804"/>
      <c r="N1808" s="804"/>
      <c r="O1808" s="804"/>
      <c r="P1808" s="804"/>
      <c r="Q1808" s="804"/>
      <c r="R1808" s="804"/>
      <c r="S1808" s="804"/>
      <c r="T1808" s="805">
        <v>80</v>
      </c>
      <c r="U1808" s="804"/>
      <c r="V1808" s="804"/>
      <c r="W1808" s="804"/>
      <c r="X1808" s="808">
        <f>T1808</f>
        <v>80</v>
      </c>
      <c r="Y1808" s="809">
        <f>$T$3</f>
        <v>2300</v>
      </c>
    </row>
    <row r="1809" spans="1:25" ht="15" customHeight="1">
      <c r="A1809" s="800">
        <v>45993</v>
      </c>
      <c r="B1809" s="801"/>
      <c r="C1809" s="802" t="s">
        <v>545</v>
      </c>
      <c r="D1809" s="803"/>
      <c r="E1809" s="803"/>
      <c r="F1809" s="801"/>
      <c r="G1809" s="801"/>
      <c r="H1809" s="801"/>
      <c r="I1809" s="801"/>
      <c r="J1809" s="804"/>
      <c r="K1809" s="804"/>
      <c r="L1809" s="804"/>
      <c r="M1809" s="804"/>
      <c r="N1809" s="804"/>
      <c r="O1809" s="804"/>
      <c r="P1809" s="804"/>
      <c r="Q1809" s="804"/>
      <c r="R1809" s="804"/>
      <c r="S1809" s="805">
        <v>11.09</v>
      </c>
      <c r="T1809" s="804"/>
      <c r="U1809" s="804"/>
      <c r="V1809" s="804"/>
      <c r="W1809" s="804"/>
      <c r="X1809" s="808">
        <f>S1809</f>
        <v>11.09</v>
      </c>
      <c r="Y1809" s="809">
        <f>$S$3</f>
        <v>6855</v>
      </c>
    </row>
    <row r="1810" spans="1:25" ht="15" customHeight="1">
      <c r="A1810" s="800">
        <v>45994</v>
      </c>
      <c r="B1810" s="801"/>
      <c r="C1810" s="802" t="s">
        <v>2360</v>
      </c>
      <c r="D1810" s="803"/>
      <c r="E1810" s="803"/>
      <c r="F1810" s="805">
        <v>3</v>
      </c>
      <c r="G1810" s="801"/>
      <c r="H1810" s="801"/>
      <c r="I1810" s="801"/>
      <c r="J1810" s="804"/>
      <c r="K1810" s="804"/>
      <c r="L1810" s="804"/>
      <c r="M1810" s="804"/>
      <c r="N1810" s="804"/>
      <c r="O1810" s="804"/>
      <c r="P1810" s="804"/>
      <c r="Q1810" s="804"/>
      <c r="R1810" s="804"/>
      <c r="S1810" s="804"/>
      <c r="T1810" s="804"/>
      <c r="U1810" s="804"/>
      <c r="V1810" s="804"/>
      <c r="W1810" s="804"/>
      <c r="X1810" s="808">
        <f>F1810</f>
        <v>3</v>
      </c>
      <c r="Y1810" s="809" t="s">
        <v>2325</v>
      </c>
    </row>
    <row r="1811" spans="1:25" ht="15" customHeight="1">
      <c r="A1811" s="800">
        <v>45994</v>
      </c>
      <c r="B1811" s="801" t="s">
        <v>2394</v>
      </c>
      <c r="C1811" s="802" t="s">
        <v>2301</v>
      </c>
      <c r="D1811" s="810">
        <v>4450</v>
      </c>
      <c r="E1811" s="803"/>
      <c r="F1811" s="801"/>
      <c r="G1811" s="801"/>
      <c r="H1811" s="801"/>
      <c r="I1811" s="801"/>
      <c r="J1811" s="804"/>
      <c r="K1811" s="804"/>
      <c r="L1811" s="804"/>
      <c r="M1811" s="804"/>
      <c r="N1811" s="804"/>
      <c r="O1811" s="804"/>
      <c r="P1811" s="804"/>
      <c r="Q1811" s="804"/>
      <c r="R1811" s="804"/>
      <c r="S1811" s="804"/>
      <c r="T1811" s="804"/>
      <c r="U1811" s="804"/>
      <c r="V1811" s="804"/>
      <c r="W1811" s="804"/>
      <c r="X1811" s="1034">
        <f>D1811</f>
        <v>4450</v>
      </c>
      <c r="Y1811" s="809" t="s">
        <v>2300</v>
      </c>
    </row>
    <row r="1812" spans="1:25" ht="15" customHeight="1">
      <c r="A1812" s="800">
        <v>45995</v>
      </c>
      <c r="B1812" s="801" t="s">
        <v>2252</v>
      </c>
      <c r="C1812" s="802" t="s">
        <v>2395</v>
      </c>
      <c r="D1812" s="803"/>
      <c r="E1812" s="805">
        <v>2355</v>
      </c>
      <c r="F1812" s="801"/>
      <c r="G1812" s="801"/>
      <c r="H1812" s="801"/>
      <c r="I1812" s="801"/>
      <c r="J1812" s="804"/>
      <c r="K1812" s="804"/>
      <c r="L1812" s="804"/>
      <c r="M1812" s="804"/>
      <c r="N1812" s="804"/>
      <c r="O1812" s="804"/>
      <c r="P1812" s="804"/>
      <c r="Q1812" s="804"/>
      <c r="R1812" s="804"/>
      <c r="S1812" s="804"/>
      <c r="T1812" s="804"/>
      <c r="U1812" s="804"/>
      <c r="V1812" s="804"/>
      <c r="W1812" s="804"/>
      <c r="X1812" s="808">
        <f>E1812</f>
        <v>2355</v>
      </c>
      <c r="Y1812" s="809" t="s">
        <v>2304</v>
      </c>
    </row>
    <row r="1813" spans="1:25" ht="15" customHeight="1">
      <c r="A1813" s="800">
        <v>45996</v>
      </c>
      <c r="B1813" s="801"/>
      <c r="C1813" s="802" t="s">
        <v>2302</v>
      </c>
      <c r="D1813" s="803"/>
      <c r="E1813" s="803"/>
      <c r="F1813" s="801"/>
      <c r="G1813" s="801"/>
      <c r="H1813" s="801"/>
      <c r="I1813" s="801"/>
      <c r="J1813" s="804"/>
      <c r="K1813" s="804"/>
      <c r="L1813" s="804"/>
      <c r="M1813" s="804"/>
      <c r="N1813" s="805">
        <v>950</v>
      </c>
      <c r="O1813" s="804"/>
      <c r="P1813" s="804"/>
      <c r="Q1813" s="804"/>
      <c r="R1813" s="804"/>
      <c r="S1813" s="804"/>
      <c r="T1813" s="804"/>
      <c r="U1813" s="804"/>
      <c r="V1813" s="804"/>
      <c r="W1813" s="804"/>
      <c r="X1813" s="808">
        <f>N1813</f>
        <v>950</v>
      </c>
      <c r="Y1813" s="809">
        <f>$N$3</f>
        <v>6680</v>
      </c>
    </row>
    <row r="1814" spans="1:25" ht="15" customHeight="1">
      <c r="A1814" s="800">
        <v>45999</v>
      </c>
      <c r="B1814" s="801"/>
      <c r="C1814" s="802" t="s">
        <v>426</v>
      </c>
      <c r="D1814" s="803"/>
      <c r="E1814" s="803"/>
      <c r="F1814" s="801"/>
      <c r="G1814" s="801"/>
      <c r="H1814" s="801"/>
      <c r="I1814" s="801"/>
      <c r="J1814" s="804"/>
      <c r="K1814" s="804"/>
      <c r="L1814" s="804"/>
      <c r="M1814" s="804"/>
      <c r="N1814" s="804"/>
      <c r="O1814" s="804"/>
      <c r="P1814" s="804"/>
      <c r="Q1814" s="805">
        <v>34.67</v>
      </c>
      <c r="R1814" s="804"/>
      <c r="S1814" s="804"/>
      <c r="T1814" s="804"/>
      <c r="U1814" s="804"/>
      <c r="V1814" s="804"/>
      <c r="W1814" s="804"/>
      <c r="X1814" s="808">
        <f>Q1814</f>
        <v>34.67</v>
      </c>
      <c r="Y1814" s="809" t="str">
        <f>$Q$3</f>
        <v>6495-2</v>
      </c>
    </row>
    <row r="1815" spans="1:25" ht="15" customHeight="1">
      <c r="A1815" s="800">
        <v>46000</v>
      </c>
      <c r="B1815" s="801"/>
      <c r="C1815" s="802" t="s">
        <v>2391</v>
      </c>
      <c r="D1815" s="803"/>
      <c r="E1815" s="803"/>
      <c r="F1815" s="801"/>
      <c r="G1815" s="801"/>
      <c r="H1815" s="801"/>
      <c r="I1815" s="801"/>
      <c r="J1815" s="804"/>
      <c r="K1815" s="804"/>
      <c r="L1815" s="805">
        <v>4.5</v>
      </c>
      <c r="M1815" s="804"/>
      <c r="N1815" s="804"/>
      <c r="O1815" s="804"/>
      <c r="P1815" s="804"/>
      <c r="Q1815" s="804"/>
      <c r="R1815" s="804"/>
      <c r="S1815" s="804"/>
      <c r="T1815" s="804"/>
      <c r="U1815" s="804"/>
      <c r="V1815" s="804"/>
      <c r="W1815" s="804"/>
      <c r="X1815" s="808">
        <f>L1815</f>
        <v>4.5</v>
      </c>
      <c r="Y1815" s="809" t="str">
        <f>$L$3</f>
        <v>6673-1</v>
      </c>
    </row>
    <row r="1816" spans="1:25" ht="15" customHeight="1">
      <c r="A1816" s="800">
        <v>46000</v>
      </c>
      <c r="B1816" s="801"/>
      <c r="C1816" s="802" t="s">
        <v>2391</v>
      </c>
      <c r="D1816" s="803"/>
      <c r="E1816" s="803"/>
      <c r="F1816" s="801"/>
      <c r="G1816" s="801"/>
      <c r="H1816" s="801"/>
      <c r="I1816" s="801"/>
      <c r="J1816" s="804"/>
      <c r="K1816" s="804"/>
      <c r="L1816" s="805">
        <v>1.9</v>
      </c>
      <c r="M1816" s="804"/>
      <c r="N1816" s="804"/>
      <c r="O1816" s="804"/>
      <c r="P1816" s="804"/>
      <c r="Q1816" s="804"/>
      <c r="R1816" s="804"/>
      <c r="S1816" s="804"/>
      <c r="T1816" s="804"/>
      <c r="U1816" s="804"/>
      <c r="V1816" s="804"/>
      <c r="W1816" s="804"/>
      <c r="X1816" s="808">
        <f>L1816</f>
        <v>1.9</v>
      </c>
      <c r="Y1816" s="809" t="str">
        <f>$L$3</f>
        <v>6673-1</v>
      </c>
    </row>
    <row r="1817" spans="1:25" ht="15" customHeight="1">
      <c r="A1817" s="800">
        <v>46003</v>
      </c>
      <c r="B1817" s="801"/>
      <c r="C1817" s="802" t="s">
        <v>545</v>
      </c>
      <c r="D1817" s="803"/>
      <c r="E1817" s="803"/>
      <c r="F1817" s="801"/>
      <c r="G1817" s="801"/>
      <c r="H1817" s="801"/>
      <c r="I1817" s="801"/>
      <c r="J1817" s="804"/>
      <c r="K1817" s="804"/>
      <c r="L1817" s="804"/>
      <c r="M1817" s="804"/>
      <c r="N1817" s="804"/>
      <c r="O1817" s="804"/>
      <c r="P1817" s="804"/>
      <c r="Q1817" s="804"/>
      <c r="R1817" s="804"/>
      <c r="S1817" s="805">
        <v>11.09</v>
      </c>
      <c r="T1817" s="804"/>
      <c r="U1817" s="804"/>
      <c r="V1817" s="804"/>
      <c r="W1817" s="804"/>
      <c r="X1817" s="808">
        <f>S1817</f>
        <v>11.09</v>
      </c>
      <c r="Y1817" s="809">
        <f>$S$3</f>
        <v>6855</v>
      </c>
    </row>
    <row r="1818" spans="1:25" ht="15" customHeight="1">
      <c r="A1818" s="800">
        <v>46003</v>
      </c>
      <c r="B1818" s="801"/>
      <c r="C1818" s="802" t="s">
        <v>194</v>
      </c>
      <c r="D1818" s="803"/>
      <c r="E1818" s="803"/>
      <c r="F1818" s="801"/>
      <c r="G1818" s="801"/>
      <c r="H1818" s="801"/>
      <c r="I1818" s="801"/>
      <c r="J1818" s="804"/>
      <c r="K1818" s="804"/>
      <c r="L1818" s="804"/>
      <c r="M1818" s="804"/>
      <c r="N1818" s="804"/>
      <c r="O1818" s="804"/>
      <c r="P1818" s="804"/>
      <c r="Q1818" s="804"/>
      <c r="R1818" s="804"/>
      <c r="S1818" s="805">
        <v>11.5</v>
      </c>
      <c r="T1818" s="804"/>
      <c r="U1818" s="804"/>
      <c r="V1818" s="804"/>
      <c r="W1818" s="804"/>
      <c r="X1818" s="808">
        <f>S1818</f>
        <v>11.5</v>
      </c>
      <c r="Y1818" s="809">
        <f>$S$3</f>
        <v>6855</v>
      </c>
    </row>
    <row r="1819" spans="1:25" ht="15" customHeight="1">
      <c r="A1819" s="800">
        <v>46004</v>
      </c>
      <c r="B1819" s="801"/>
      <c r="C1819" s="802" t="s">
        <v>2396</v>
      </c>
      <c r="D1819" s="803"/>
      <c r="E1819" s="803"/>
      <c r="F1819" s="801"/>
      <c r="G1819" s="801"/>
      <c r="H1819" s="801"/>
      <c r="I1819" s="801"/>
      <c r="J1819" s="804"/>
      <c r="K1819" s="804"/>
      <c r="L1819" s="805">
        <v>3.7</v>
      </c>
      <c r="M1819" s="804"/>
      <c r="N1819" s="804"/>
      <c r="O1819" s="804"/>
      <c r="P1819" s="804"/>
      <c r="Q1819" s="804"/>
      <c r="R1819" s="804"/>
      <c r="S1819" s="804"/>
      <c r="T1819" s="804"/>
      <c r="U1819" s="804"/>
      <c r="V1819" s="804"/>
      <c r="W1819" s="804"/>
      <c r="X1819" s="808">
        <f>L1819</f>
        <v>3.7</v>
      </c>
      <c r="Y1819" s="809" t="str">
        <f>$L$3</f>
        <v>6673-1</v>
      </c>
    </row>
    <row r="1820" spans="1:25" ht="15" customHeight="1">
      <c r="A1820" s="800">
        <v>46005</v>
      </c>
      <c r="B1820" s="801"/>
      <c r="C1820" s="802" t="s">
        <v>2391</v>
      </c>
      <c r="D1820" s="803"/>
      <c r="E1820" s="803"/>
      <c r="F1820" s="801"/>
      <c r="G1820" s="801"/>
      <c r="H1820" s="801"/>
      <c r="I1820" s="801"/>
      <c r="J1820" s="804"/>
      <c r="K1820" s="804"/>
      <c r="L1820" s="805">
        <v>4.5</v>
      </c>
      <c r="M1820" s="804"/>
      <c r="N1820" s="804"/>
      <c r="O1820" s="804"/>
      <c r="P1820" s="804"/>
      <c r="Q1820" s="804"/>
      <c r="R1820" s="804"/>
      <c r="S1820" s="804"/>
      <c r="T1820" s="804"/>
      <c r="U1820" s="804"/>
      <c r="V1820" s="804"/>
      <c r="W1820" s="804"/>
      <c r="X1820" s="808">
        <f>L1820</f>
        <v>4.5</v>
      </c>
      <c r="Y1820" s="809" t="str">
        <f>$L$3</f>
        <v>6673-1</v>
      </c>
    </row>
    <row r="1821" spans="1:25" ht="15" customHeight="1">
      <c r="A1821" s="800">
        <v>46005</v>
      </c>
      <c r="B1821" s="801"/>
      <c r="C1821" s="802" t="s">
        <v>207</v>
      </c>
      <c r="D1821" s="803"/>
      <c r="E1821" s="803"/>
      <c r="F1821" s="801"/>
      <c r="G1821" s="801"/>
      <c r="H1821" s="801"/>
      <c r="I1821" s="801"/>
      <c r="J1821" s="804"/>
      <c r="K1821" s="804"/>
      <c r="L1821" s="804"/>
      <c r="M1821" s="805">
        <v>17.71</v>
      </c>
      <c r="N1821" s="804"/>
      <c r="O1821" s="804"/>
      <c r="P1821" s="804"/>
      <c r="Q1821" s="804"/>
      <c r="R1821" s="804"/>
      <c r="S1821" s="804"/>
      <c r="T1821" s="804"/>
      <c r="U1821" s="804"/>
      <c r="V1821" s="804"/>
      <c r="W1821" s="804"/>
      <c r="X1821" s="808">
        <f>M1821</f>
        <v>17.71</v>
      </c>
      <c r="Y1821" s="809" t="str">
        <f>$M$3</f>
        <v>6673-2</v>
      </c>
    </row>
    <row r="1822" spans="1:25" ht="15" customHeight="1">
      <c r="A1822" s="800">
        <v>46006</v>
      </c>
      <c r="B1822" s="801"/>
      <c r="C1822" s="802" t="s">
        <v>394</v>
      </c>
      <c r="D1822" s="803"/>
      <c r="E1822" s="803"/>
      <c r="F1822" s="801"/>
      <c r="G1822" s="801"/>
      <c r="H1822" s="801"/>
      <c r="I1822" s="801"/>
      <c r="J1822" s="804"/>
      <c r="K1822" s="804"/>
      <c r="L1822" s="804"/>
      <c r="M1822" s="804"/>
      <c r="N1822" s="804"/>
      <c r="O1822" s="804"/>
      <c r="P1822" s="804"/>
      <c r="Q1822" s="804"/>
      <c r="R1822" s="804"/>
      <c r="S1822" s="804"/>
      <c r="T1822" s="805">
        <v>18.36</v>
      </c>
      <c r="U1822" s="804"/>
      <c r="V1822" s="804"/>
      <c r="W1822" s="804"/>
      <c r="X1822" s="808">
        <f>T1822</f>
        <v>18.36</v>
      </c>
      <c r="Y1822" s="809">
        <f>$T$3</f>
        <v>2300</v>
      </c>
    </row>
    <row r="1823" spans="1:25" ht="15" customHeight="1">
      <c r="A1823" s="800">
        <v>46006</v>
      </c>
      <c r="B1823" s="801"/>
      <c r="C1823" s="802" t="s">
        <v>2397</v>
      </c>
      <c r="D1823" s="803"/>
      <c r="E1823" s="803"/>
      <c r="F1823" s="801"/>
      <c r="G1823" s="801"/>
      <c r="H1823" s="801"/>
      <c r="I1823" s="801"/>
      <c r="J1823" s="804"/>
      <c r="K1823" s="804"/>
      <c r="L1823" s="805">
        <v>1035.56</v>
      </c>
      <c r="M1823" s="804"/>
      <c r="N1823" s="804"/>
      <c r="O1823" s="804"/>
      <c r="P1823" s="804"/>
      <c r="Q1823" s="804"/>
      <c r="R1823" s="804"/>
      <c r="S1823" s="804"/>
      <c r="T1823" s="804"/>
      <c r="U1823" s="804"/>
      <c r="V1823" s="804"/>
      <c r="W1823" s="804"/>
      <c r="X1823" s="808">
        <f>L1823</f>
        <v>1035.56</v>
      </c>
      <c r="Y1823" s="809" t="str">
        <f>$L$3</f>
        <v>6673-1</v>
      </c>
    </row>
    <row r="1824" spans="1:25" ht="15" customHeight="1">
      <c r="A1824" s="800">
        <v>46006</v>
      </c>
      <c r="B1824" s="801"/>
      <c r="C1824" s="802" t="s">
        <v>2398</v>
      </c>
      <c r="D1824" s="803"/>
      <c r="E1824" s="803"/>
      <c r="F1824" s="801"/>
      <c r="G1824" s="801"/>
      <c r="H1824" s="801"/>
      <c r="I1824" s="801"/>
      <c r="J1824" s="804"/>
      <c r="K1824" s="804"/>
      <c r="L1824" s="805">
        <v>45</v>
      </c>
      <c r="M1824" s="804"/>
      <c r="N1824" s="804"/>
      <c r="O1824" s="804"/>
      <c r="P1824" s="804"/>
      <c r="Q1824" s="804"/>
      <c r="R1824" s="804"/>
      <c r="S1824" s="804"/>
      <c r="T1824" s="804"/>
      <c r="U1824" s="804"/>
      <c r="V1824" s="804"/>
      <c r="W1824" s="804"/>
      <c r="X1824" s="808">
        <f>L1824</f>
        <v>45</v>
      </c>
      <c r="Y1824" s="809" t="str">
        <f>$L$3</f>
        <v>6673-1</v>
      </c>
    </row>
    <row r="1825" spans="1:25" ht="15" customHeight="1">
      <c r="A1825" s="800">
        <v>46006</v>
      </c>
      <c r="B1825" s="801"/>
      <c r="C1825" s="802" t="s">
        <v>2312</v>
      </c>
      <c r="D1825" s="803"/>
      <c r="E1825" s="803"/>
      <c r="F1825" s="801"/>
      <c r="G1825" s="801"/>
      <c r="H1825" s="805">
        <v>1411.99</v>
      </c>
      <c r="I1825" s="804"/>
      <c r="J1825" s="804"/>
      <c r="K1825" s="804"/>
      <c r="L1825" s="804"/>
      <c r="M1825" s="804"/>
      <c r="N1825" s="804"/>
      <c r="O1825" s="804"/>
      <c r="P1825" s="804"/>
      <c r="Q1825" s="804"/>
      <c r="R1825" s="804"/>
      <c r="S1825" s="804"/>
      <c r="T1825" s="804"/>
      <c r="U1825" s="804"/>
      <c r="V1825" s="804"/>
      <c r="W1825" s="804"/>
      <c r="X1825" s="808">
        <f>H1825</f>
        <v>1411.99</v>
      </c>
      <c r="Y1825" s="809">
        <f>$H$3</f>
        <v>2200</v>
      </c>
    </row>
    <row r="1826" spans="1:25" ht="15" customHeight="1">
      <c r="A1826" s="800">
        <v>46006</v>
      </c>
      <c r="B1826" s="801"/>
      <c r="C1826" s="802" t="s">
        <v>544</v>
      </c>
      <c r="D1826" s="803"/>
      <c r="E1826" s="803"/>
      <c r="F1826" s="801"/>
      <c r="G1826" s="801"/>
      <c r="H1826" s="801"/>
      <c r="I1826" s="801"/>
      <c r="J1826" s="804"/>
      <c r="K1826" s="804"/>
      <c r="L1826" s="804"/>
      <c r="M1826" s="805">
        <v>16.63</v>
      </c>
      <c r="N1826" s="804"/>
      <c r="O1826" s="804"/>
      <c r="P1826" s="804"/>
      <c r="Q1826" s="804"/>
      <c r="R1826" s="804"/>
      <c r="S1826" s="804"/>
      <c r="T1826" s="804"/>
      <c r="U1826" s="804"/>
      <c r="V1826" s="804"/>
      <c r="W1826" s="804"/>
      <c r="X1826" s="808">
        <f>M1826</f>
        <v>16.63</v>
      </c>
      <c r="Y1826" s="809" t="str">
        <f>$M$3</f>
        <v>6673-2</v>
      </c>
    </row>
    <row r="1827" spans="1:25" ht="15" customHeight="1">
      <c r="A1827" s="800">
        <v>46007</v>
      </c>
      <c r="B1827" s="801"/>
      <c r="C1827" s="802" t="s">
        <v>2355</v>
      </c>
      <c r="D1827" s="803"/>
      <c r="E1827" s="803"/>
      <c r="F1827" s="801"/>
      <c r="G1827" s="801"/>
      <c r="H1827" s="801"/>
      <c r="I1827" s="801"/>
      <c r="J1827" s="804"/>
      <c r="K1827" s="804"/>
      <c r="L1827" s="804"/>
      <c r="M1827" s="804"/>
      <c r="N1827" s="804"/>
      <c r="O1827" s="805">
        <v>197.91</v>
      </c>
      <c r="P1827" s="804"/>
      <c r="Q1827" s="804"/>
      <c r="R1827" s="804"/>
      <c r="S1827" s="804"/>
      <c r="T1827" s="804"/>
      <c r="U1827" s="804"/>
      <c r="V1827" s="804"/>
      <c r="W1827" s="804"/>
      <c r="X1827" s="808">
        <f>O1827</f>
        <v>197.91</v>
      </c>
      <c r="Y1827" s="809">
        <f>$O$3</f>
        <v>6530</v>
      </c>
    </row>
    <row r="1828" spans="1:25" ht="15" customHeight="1">
      <c r="A1828" s="800">
        <v>46007</v>
      </c>
      <c r="B1828" s="801"/>
      <c r="C1828" s="802" t="s">
        <v>2315</v>
      </c>
      <c r="D1828" s="803"/>
      <c r="E1828" s="803"/>
      <c r="F1828" s="801"/>
      <c r="G1828" s="801"/>
      <c r="H1828" s="801"/>
      <c r="I1828" s="801"/>
      <c r="J1828" s="804"/>
      <c r="K1828" s="804"/>
      <c r="L1828" s="804"/>
      <c r="M1828" s="804"/>
      <c r="N1828" s="804"/>
      <c r="O1828" s="804"/>
      <c r="P1828" s="804"/>
      <c r="Q1828" s="805">
        <v>5.39</v>
      </c>
      <c r="R1828" s="804"/>
      <c r="S1828" s="804"/>
      <c r="T1828" s="804"/>
      <c r="U1828" s="804"/>
      <c r="V1828" s="804"/>
      <c r="W1828" s="804"/>
      <c r="X1828" s="808">
        <f>Q1828</f>
        <v>5.39</v>
      </c>
      <c r="Y1828" s="809" t="str">
        <f>$Q$3</f>
        <v>6495-2</v>
      </c>
    </row>
    <row r="1829" spans="1:25" ht="15" customHeight="1">
      <c r="A1829" s="800">
        <v>46008</v>
      </c>
      <c r="B1829" s="801"/>
      <c r="C1829" s="802" t="s">
        <v>2316</v>
      </c>
      <c r="D1829" s="803"/>
      <c r="E1829" s="803"/>
      <c r="F1829" s="801"/>
      <c r="G1829" s="801"/>
      <c r="H1829" s="801"/>
      <c r="I1829" s="801"/>
      <c r="J1829" s="804"/>
      <c r="K1829" s="805">
        <v>233.96</v>
      </c>
      <c r="L1829" s="804"/>
      <c r="M1829" s="804"/>
      <c r="N1829" s="804"/>
      <c r="O1829" s="804"/>
      <c r="P1829" s="804"/>
      <c r="Q1829" s="804"/>
      <c r="R1829" s="804"/>
      <c r="S1829" s="804"/>
      <c r="T1829" s="804"/>
      <c r="U1829" s="804"/>
      <c r="V1829" s="804"/>
      <c r="W1829" s="804"/>
      <c r="X1829" s="808">
        <f>K1829</f>
        <v>233.96</v>
      </c>
      <c r="Y1829" s="809" t="str">
        <f>$K$3</f>
        <v>6495-1</v>
      </c>
    </row>
    <row r="1830" spans="1:25" ht="15" customHeight="1">
      <c r="A1830" s="800">
        <v>46009</v>
      </c>
      <c r="B1830" s="801"/>
      <c r="C1830" s="802" t="s">
        <v>2295</v>
      </c>
      <c r="D1830" s="803"/>
      <c r="E1830" s="803"/>
      <c r="F1830" s="801"/>
      <c r="G1830" s="801"/>
      <c r="H1830" s="801"/>
      <c r="I1830" s="801"/>
      <c r="J1830" s="804"/>
      <c r="K1830" s="804"/>
      <c r="L1830" s="804"/>
      <c r="M1830" s="804"/>
      <c r="N1830" s="804"/>
      <c r="O1830" s="804"/>
      <c r="P1830" s="804"/>
      <c r="Q1830" s="805">
        <v>23</v>
      </c>
      <c r="R1830" s="804"/>
      <c r="S1830" s="804"/>
      <c r="T1830" s="804"/>
      <c r="U1830" s="804"/>
      <c r="V1830" s="804"/>
      <c r="W1830" s="804"/>
      <c r="X1830" s="808">
        <f>Q1830</f>
        <v>23</v>
      </c>
      <c r="Y1830" s="809" t="str">
        <f>$Q$3</f>
        <v>6495-2</v>
      </c>
    </row>
    <row r="1831" spans="1:25" ht="15" customHeight="1">
      <c r="A1831" s="800">
        <v>46009</v>
      </c>
      <c r="B1831" s="801"/>
      <c r="C1831" s="802" t="s">
        <v>2318</v>
      </c>
      <c r="D1831" s="803"/>
      <c r="E1831" s="803"/>
      <c r="F1831" s="801"/>
      <c r="G1831" s="801"/>
      <c r="H1831" s="801"/>
      <c r="I1831" s="801"/>
      <c r="J1831" s="805">
        <v>20.27</v>
      </c>
      <c r="K1831" s="804"/>
      <c r="L1831" s="804"/>
      <c r="M1831" s="804"/>
      <c r="N1831" s="804"/>
      <c r="O1831" s="804"/>
      <c r="P1831" s="804"/>
      <c r="Q1831" s="804"/>
      <c r="R1831" s="804"/>
      <c r="S1831" s="804"/>
      <c r="T1831" s="804"/>
      <c r="U1831" s="804"/>
      <c r="V1831" s="804"/>
      <c r="W1831" s="804"/>
      <c r="X1831" s="808">
        <f>J1831</f>
        <v>20.27</v>
      </c>
      <c r="Y1831" s="809">
        <f>$J$3</f>
        <v>6805</v>
      </c>
    </row>
    <row r="1832" spans="1:25" ht="15" customHeight="1">
      <c r="A1832" s="800">
        <v>46009</v>
      </c>
      <c r="B1832" s="801"/>
      <c r="C1832" s="802" t="s">
        <v>207</v>
      </c>
      <c r="D1832" s="803"/>
      <c r="E1832" s="803"/>
      <c r="F1832" s="801"/>
      <c r="G1832" s="801"/>
      <c r="H1832" s="801"/>
      <c r="I1832" s="801"/>
      <c r="J1832" s="804"/>
      <c r="K1832" s="804"/>
      <c r="L1832" s="804"/>
      <c r="M1832" s="805">
        <v>28.62</v>
      </c>
      <c r="N1832" s="804"/>
      <c r="O1832" s="804"/>
      <c r="P1832" s="804"/>
      <c r="Q1832" s="804"/>
      <c r="R1832" s="804"/>
      <c r="S1832" s="804"/>
      <c r="T1832" s="804"/>
      <c r="U1832" s="804"/>
      <c r="V1832" s="804"/>
      <c r="W1832" s="804"/>
      <c r="X1832" s="808">
        <f>M1832</f>
        <v>28.62</v>
      </c>
      <c r="Y1832" s="809" t="str">
        <f>$M$3</f>
        <v>6673-2</v>
      </c>
    </row>
    <row r="1833" spans="1:25" ht="15" customHeight="1">
      <c r="A1833" s="800">
        <v>46010</v>
      </c>
      <c r="B1833" s="801" t="s">
        <v>2285</v>
      </c>
      <c r="C1833" s="802" t="s">
        <v>2323</v>
      </c>
      <c r="D1833" s="810">
        <v>1360</v>
      </c>
      <c r="E1833" s="803"/>
      <c r="F1833" s="801"/>
      <c r="G1833" s="801"/>
      <c r="H1833" s="801"/>
      <c r="I1833" s="801"/>
      <c r="J1833" s="804"/>
      <c r="K1833" s="804"/>
      <c r="L1833" s="804"/>
      <c r="M1833" s="804"/>
      <c r="N1833" s="804"/>
      <c r="O1833" s="804"/>
      <c r="P1833" s="804"/>
      <c r="Q1833" s="804"/>
      <c r="R1833" s="804"/>
      <c r="S1833" s="804"/>
      <c r="T1833" s="804"/>
      <c r="U1833" s="804"/>
      <c r="V1833" s="804"/>
      <c r="W1833" s="804"/>
      <c r="X1833" s="1034">
        <f>D1833</f>
        <v>1360</v>
      </c>
      <c r="Y1833" s="809" t="s">
        <v>2300</v>
      </c>
    </row>
    <row r="1834" spans="1:25" ht="15" customHeight="1">
      <c r="A1834" s="800">
        <v>46010</v>
      </c>
      <c r="B1834" s="801"/>
      <c r="C1834" s="802" t="s">
        <v>544</v>
      </c>
      <c r="D1834" s="803"/>
      <c r="E1834" s="803"/>
      <c r="F1834" s="801"/>
      <c r="G1834" s="801"/>
      <c r="H1834" s="801"/>
      <c r="I1834" s="801"/>
      <c r="J1834" s="804"/>
      <c r="K1834" s="804"/>
      <c r="L1834" s="804"/>
      <c r="M1834" s="805">
        <v>16.63</v>
      </c>
      <c r="N1834" s="804"/>
      <c r="O1834" s="804"/>
      <c r="P1834" s="804"/>
      <c r="Q1834" s="804"/>
      <c r="R1834" s="804"/>
      <c r="S1834" s="804"/>
      <c r="T1834" s="804"/>
      <c r="U1834" s="804"/>
      <c r="V1834" s="804"/>
      <c r="W1834" s="804"/>
      <c r="X1834" s="808">
        <f>M1834</f>
        <v>16.63</v>
      </c>
      <c r="Y1834" s="809" t="str">
        <f>$M$3</f>
        <v>6673-2</v>
      </c>
    </row>
    <row r="1835" spans="1:25" ht="15" customHeight="1">
      <c r="A1835" s="800">
        <v>46014</v>
      </c>
      <c r="B1835" s="801"/>
      <c r="C1835" s="802" t="s">
        <v>2319</v>
      </c>
      <c r="D1835" s="803"/>
      <c r="E1835" s="803"/>
      <c r="F1835" s="801"/>
      <c r="G1835" s="801"/>
      <c r="H1835" s="801"/>
      <c r="I1835" s="801"/>
      <c r="J1835" s="805">
        <v>11.47</v>
      </c>
      <c r="K1835" s="804"/>
      <c r="L1835" s="804"/>
      <c r="M1835" s="804"/>
      <c r="N1835" s="804"/>
      <c r="O1835" s="804"/>
      <c r="P1835" s="804"/>
      <c r="Q1835" s="804"/>
      <c r="R1835" s="804"/>
      <c r="S1835" s="804"/>
      <c r="T1835" s="804"/>
      <c r="U1835" s="804"/>
      <c r="V1835" s="804"/>
      <c r="W1835" s="804"/>
      <c r="X1835" s="808">
        <f>J1835</f>
        <v>11.47</v>
      </c>
      <c r="Y1835" s="809">
        <f>$J$3</f>
        <v>6805</v>
      </c>
    </row>
    <row r="1836" spans="1:25" ht="15" customHeight="1">
      <c r="A1836" s="800">
        <v>46014</v>
      </c>
      <c r="B1836" s="801"/>
      <c r="C1836" s="802" t="s">
        <v>2399</v>
      </c>
      <c r="D1836" s="803"/>
      <c r="E1836" s="803"/>
      <c r="F1836" s="801"/>
      <c r="G1836" s="801"/>
      <c r="H1836" s="801"/>
      <c r="I1836" s="801"/>
      <c r="J1836" s="804"/>
      <c r="K1836" s="804"/>
      <c r="L1836" s="805">
        <v>14</v>
      </c>
      <c r="M1836" s="804"/>
      <c r="N1836" s="804"/>
      <c r="O1836" s="804"/>
      <c r="P1836" s="804"/>
      <c r="Q1836" s="804"/>
      <c r="R1836" s="804"/>
      <c r="S1836" s="804"/>
      <c r="T1836" s="804"/>
      <c r="U1836" s="804"/>
      <c r="V1836" s="804"/>
      <c r="W1836" s="804"/>
      <c r="X1836" s="808">
        <f>L1836</f>
        <v>14</v>
      </c>
      <c r="Y1836" s="809" t="str">
        <f>$L$3</f>
        <v>6673-1</v>
      </c>
    </row>
    <row r="1837" spans="1:25" ht="15" customHeight="1">
      <c r="A1837" s="800">
        <v>46015</v>
      </c>
      <c r="B1837" s="801"/>
      <c r="C1837" s="802" t="s">
        <v>2391</v>
      </c>
      <c r="D1837" s="803"/>
      <c r="E1837" s="803"/>
      <c r="F1837" s="801"/>
      <c r="G1837" s="801"/>
      <c r="H1837" s="801"/>
      <c r="I1837" s="801"/>
      <c r="J1837" s="804"/>
      <c r="K1837" s="804"/>
      <c r="L1837" s="805">
        <v>4.5</v>
      </c>
      <c r="M1837" s="804"/>
      <c r="N1837" s="804"/>
      <c r="O1837" s="804"/>
      <c r="P1837" s="804"/>
      <c r="Q1837" s="804"/>
      <c r="R1837" s="804"/>
      <c r="S1837" s="804"/>
      <c r="T1837" s="804"/>
      <c r="U1837" s="804"/>
      <c r="V1837" s="804"/>
      <c r="W1837" s="804"/>
      <c r="X1837" s="808">
        <f>L1837</f>
        <v>4.5</v>
      </c>
      <c r="Y1837" s="809" t="str">
        <f>$L$3</f>
        <v>6673-1</v>
      </c>
    </row>
    <row r="1838" spans="1:25" ht="15" customHeight="1">
      <c r="A1838" s="800">
        <v>46019</v>
      </c>
      <c r="B1838" s="801"/>
      <c r="C1838" s="802" t="s">
        <v>426</v>
      </c>
      <c r="D1838" s="803"/>
      <c r="E1838" s="803"/>
      <c r="F1838" s="801"/>
      <c r="G1838" s="801"/>
      <c r="H1838" s="801"/>
      <c r="I1838" s="801"/>
      <c r="J1838" s="804"/>
      <c r="K1838" s="804"/>
      <c r="L1838" s="804"/>
      <c r="M1838" s="804"/>
      <c r="N1838" s="804"/>
      <c r="O1838" s="804"/>
      <c r="P1838" s="804"/>
      <c r="Q1838" s="805">
        <v>34.28</v>
      </c>
      <c r="R1838" s="804"/>
      <c r="S1838" s="804"/>
      <c r="T1838" s="804"/>
      <c r="U1838" s="804"/>
      <c r="V1838" s="804"/>
      <c r="W1838" s="804"/>
      <c r="X1838" s="808">
        <f>Q1838</f>
        <v>34.28</v>
      </c>
      <c r="Y1838" s="809" t="str">
        <f>$Q$3</f>
        <v>6495-2</v>
      </c>
    </row>
    <row r="1839" spans="1:25" ht="15" customHeight="1">
      <c r="A1839" s="800">
        <v>46021</v>
      </c>
      <c r="B1839" s="801"/>
      <c r="C1839" s="802" t="s">
        <v>2320</v>
      </c>
      <c r="D1839" s="803"/>
      <c r="E1839" s="803"/>
      <c r="F1839" s="801"/>
      <c r="G1839" s="801"/>
      <c r="H1839" s="801"/>
      <c r="I1839" s="801"/>
      <c r="J1839" s="804"/>
      <c r="K1839" s="804"/>
      <c r="L1839" s="804"/>
      <c r="M1839" s="804"/>
      <c r="N1839" s="804"/>
      <c r="O1839" s="804"/>
      <c r="P1839" s="804"/>
      <c r="Q1839" s="804"/>
      <c r="R1839" s="804"/>
      <c r="S1839" s="805">
        <v>13.93</v>
      </c>
      <c r="T1839" s="804"/>
      <c r="U1839" s="804"/>
      <c r="V1839" s="804"/>
      <c r="W1839" s="804"/>
      <c r="X1839" s="808">
        <f>S1839</f>
        <v>13.93</v>
      </c>
      <c r="Y1839" s="809">
        <f>$S$3</f>
        <v>6855</v>
      </c>
    </row>
    <row r="1840" spans="1:25" ht="15" customHeight="1" thickBot="1">
      <c r="A1840" s="800"/>
      <c r="B1840" s="801"/>
      <c r="C1840" s="802"/>
      <c r="D1840" s="803"/>
      <c r="E1840" s="803"/>
      <c r="F1840" s="801"/>
      <c r="G1840" s="801"/>
      <c r="H1840" s="801"/>
      <c r="I1840" s="801"/>
      <c r="J1840" s="804"/>
      <c r="K1840" s="804"/>
      <c r="L1840" s="804"/>
      <c r="M1840" s="804"/>
      <c r="N1840" s="804"/>
      <c r="O1840" s="804"/>
      <c r="P1840" s="804"/>
      <c r="Q1840" s="804"/>
      <c r="R1840" s="804"/>
      <c r="S1840" s="804"/>
      <c r="T1840" s="804"/>
      <c r="U1840" s="804"/>
      <c r="V1840" s="804"/>
      <c r="W1840" s="804"/>
      <c r="X1840" s="813"/>
      <c r="Y1840" s="814"/>
    </row>
    <row r="1841" spans="1:25" ht="15" customHeight="1">
      <c r="A1841" s="815"/>
      <c r="B1841" s="815"/>
      <c r="C1841" s="816"/>
      <c r="D1841" s="815"/>
      <c r="E1841" s="815"/>
      <c r="F1841" s="815"/>
      <c r="G1841" s="815"/>
      <c r="H1841" s="815"/>
      <c r="I1841" s="815"/>
      <c r="J1841" s="817"/>
      <c r="K1841" s="817"/>
      <c r="L1841" s="817"/>
      <c r="M1841" s="817"/>
      <c r="N1841" s="817"/>
      <c r="O1841" s="817"/>
      <c r="P1841" s="817"/>
      <c r="Q1841" s="817"/>
      <c r="R1841" s="817"/>
      <c r="S1841" s="817"/>
      <c r="T1841" s="817"/>
      <c r="U1841" s="817"/>
      <c r="V1841" s="817"/>
      <c r="W1841" s="817"/>
      <c r="X1841" s="817"/>
      <c r="Y1841" s="818"/>
    </row>
    <row r="1842" spans="1:25" ht="15" customHeight="1" thickBot="1"/>
    <row r="1843" spans="1:25" ht="15" customHeight="1" thickTop="1" thickBot="1">
      <c r="A1843" s="643"/>
      <c r="B1843" s="644"/>
      <c r="C1843" s="843" t="s">
        <v>2400</v>
      </c>
      <c r="D1843" s="680">
        <f t="shared" ref="D1843:W1843" si="23">SUM(D1379:D1840)-(D9+D8)</f>
        <v>0</v>
      </c>
      <c r="E1843" s="842">
        <f t="shared" si="23"/>
        <v>0</v>
      </c>
      <c r="F1843" s="842">
        <f t="shared" si="23"/>
        <v>0</v>
      </c>
      <c r="G1843" s="680">
        <f t="shared" si="23"/>
        <v>0</v>
      </c>
      <c r="H1843" s="842">
        <f t="shared" si="23"/>
        <v>0</v>
      </c>
      <c r="I1843" s="842">
        <f t="shared" si="23"/>
        <v>0</v>
      </c>
      <c r="J1843" s="842">
        <f t="shared" si="23"/>
        <v>0</v>
      </c>
      <c r="K1843" s="842">
        <f t="shared" si="23"/>
        <v>0</v>
      </c>
      <c r="L1843" s="842">
        <f t="shared" si="23"/>
        <v>0</v>
      </c>
      <c r="M1843" s="842">
        <f t="shared" si="23"/>
        <v>0</v>
      </c>
      <c r="N1843" s="842">
        <f t="shared" si="23"/>
        <v>0</v>
      </c>
      <c r="O1843" s="842">
        <f t="shared" si="23"/>
        <v>0</v>
      </c>
      <c r="P1843" s="842">
        <f t="shared" si="23"/>
        <v>0</v>
      </c>
      <c r="Q1843" s="842">
        <f t="shared" si="23"/>
        <v>0</v>
      </c>
      <c r="R1843" s="842">
        <f t="shared" si="23"/>
        <v>0</v>
      </c>
      <c r="S1843" s="842">
        <f t="shared" si="23"/>
        <v>0</v>
      </c>
      <c r="T1843" s="842">
        <f t="shared" si="23"/>
        <v>0</v>
      </c>
      <c r="U1843" s="842">
        <f t="shared" si="23"/>
        <v>0</v>
      </c>
      <c r="V1843" s="842">
        <f t="shared" si="23"/>
        <v>0</v>
      </c>
      <c r="W1843" s="842">
        <f t="shared" si="23"/>
        <v>0</v>
      </c>
    </row>
    <row r="1844" spans="1:25" ht="15" customHeight="1" thickTop="1"/>
  </sheetData>
  <conditionalFormatting sqref="B3:B11">
    <cfRule type="cellIs" dxfId="30" priority="5" operator="lessThan">
      <formula>0</formula>
    </cfRule>
  </conditionalFormatting>
  <conditionalFormatting sqref="D1053:W1053 D1376:W1376 D1843:W1843">
    <cfRule type="cellIs" dxfId="29" priority="6" operator="between">
      <formula>1</formula>
      <formula>-1</formula>
    </cfRule>
    <cfRule type="cellIs" dxfId="28" priority="7" operator="notBetween">
      <formula>-1</formula>
      <formula>1</formula>
    </cfRule>
  </conditionalFormatting>
  <hyperlinks>
    <hyperlink ref="B3" r:id="rId1" xr:uid="{00000000-0004-0000-0200-000000000000}"/>
    <hyperlink ref="C745" r:id="rId2" xr:uid="{00000000-0004-0000-0200-000001000000}"/>
    <hyperlink ref="C786" r:id="rId3" xr:uid="{00000000-0004-0000-0200-000002000000}"/>
    <hyperlink ref="C823" r:id="rId4" xr:uid="{00000000-0004-0000-0200-000003000000}"/>
    <hyperlink ref="C879" r:id="rId5" xr:uid="{00000000-0004-0000-0200-000004000000}"/>
    <hyperlink ref="C880" r:id="rId6" xr:uid="{00000000-0004-0000-0200-000005000000}"/>
    <hyperlink ref="C913" r:id="rId7" xr:uid="{00000000-0004-0000-0200-000006000000}"/>
    <hyperlink ref="C1089" r:id="rId8" xr:uid="{00000000-0004-0000-0200-000007000000}"/>
    <hyperlink ref="C1214" r:id="rId9" xr:uid="{00000000-0004-0000-0200-000008000000}"/>
    <hyperlink ref="C1215" r:id="rId10" xr:uid="{00000000-0004-0000-0200-000009000000}"/>
    <hyperlink ref="C1332" r:id="rId11" xr:uid="{00000000-0004-0000-0200-00000A000000}"/>
  </hyperlinks>
  <pageMargins left="0.7" right="0.7" top="0.78740157499999996" bottom="0.78740157499999996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73D5-5261-4BF5-B257-860A3E661400}">
  <sheetPr codeName="Sheet6"/>
  <dimension ref="A1:AM129"/>
  <sheetViews>
    <sheetView workbookViewId="0">
      <selection activeCell="H6" sqref="H6"/>
    </sheetView>
  </sheetViews>
  <sheetFormatPr defaultRowHeight="13.2"/>
  <cols>
    <col min="1" max="1" width="10.109375" bestFit="1" customWidth="1"/>
    <col min="2" max="2" width="14.109375" bestFit="1" customWidth="1"/>
    <col min="3" max="3" width="33" bestFit="1" customWidth="1"/>
    <col min="4" max="4" width="8.109375" bestFit="1" customWidth="1"/>
    <col min="5" max="5" width="7.5546875" bestFit="1" customWidth="1"/>
    <col min="6" max="6" width="5" bestFit="1" customWidth="1"/>
    <col min="7" max="7" width="9.77734375" customWidth="1"/>
    <col min="8" max="26" width="9.5546875" customWidth="1"/>
    <col min="27" max="27" width="11.5546875" customWidth="1"/>
    <col min="28" max="36" width="8.88671875" customWidth="1"/>
  </cols>
  <sheetData>
    <row r="1" spans="1:39" ht="73.8" customHeight="1">
      <c r="A1" s="886"/>
      <c r="B1" s="887" t="s">
        <v>640</v>
      </c>
      <c r="C1" s="888" t="s">
        <v>2</v>
      </c>
      <c r="D1" s="888"/>
      <c r="E1" s="888"/>
      <c r="F1" s="888"/>
      <c r="G1" s="888"/>
      <c r="H1" s="889" t="str">
        <f>'Einnahmen Ausgaben'!D2</f>
        <v>Income 
(UK)</v>
      </c>
      <c r="I1" s="889" t="str">
        <f>'Einnahmen Ausgaben'!E2</f>
        <v>Income (Germany)</v>
      </c>
      <c r="J1" s="889" t="str">
        <f>'Einnahmen Ausgaben'!F2</f>
        <v>Steuer
DE
Finanzamt 2150
Gemeinde 7610</v>
      </c>
      <c r="K1" s="889" t="str">
        <f>'Einnahmen Ausgaben'!G2</f>
        <v>Steuer
(UK)</v>
      </c>
      <c r="L1" s="889" t="str">
        <f>'Einnahmen Ausgaben'!H2</f>
        <v>Krankenkasse ens.</v>
      </c>
      <c r="M1" s="890" t="str">
        <f>'Einnahmen Ausgaben'!I2</f>
        <v>Medical</v>
      </c>
      <c r="N1" s="889" t="str">
        <f>'Einnahmen Ausgaben'!J2</f>
        <v>Telephone</v>
      </c>
      <c r="O1" s="889" t="str">
        <f>'Einnahmen Ausgaben'!K2</f>
        <v>Data SIM Cards, Internet</v>
      </c>
      <c r="P1" s="889" t="str">
        <f>'Einnahmen Ausgaben'!L2</f>
        <v>Airline tickets &amp; Covid Tests</v>
      </c>
      <c r="Q1" s="887" t="str">
        <f>'Einnahmen Ausgaben'!M2</f>
        <v>Taxi, Train, Toll, Parking</v>
      </c>
      <c r="R1" s="887" t="str">
        <f>'Einnahmen Ausgaben'!N2</f>
        <v>Hotel, Apartment</v>
      </c>
      <c r="S1" s="887" t="str">
        <f>'Einnahmen Ausgaben'!O2</f>
        <v>Auto</v>
      </c>
      <c r="T1" s="887" t="str">
        <f>'Einnahmen Ausgaben'!P2</f>
        <v>Office equipment, hardware, Insurance</v>
      </c>
      <c r="U1" s="887" t="str">
        <f>'Einnahmen Ausgaben'!Q2</f>
        <v>Software Cloud Services</v>
      </c>
      <c r="V1" s="887" t="str">
        <f>'Einnahmen Ausgaben'!R2</f>
        <v>Professional fees</v>
      </c>
      <c r="W1" s="887" t="str">
        <f>'Einnahmen Ausgaben'!S2</f>
        <v>Bank charges</v>
      </c>
      <c r="X1" s="887" t="str">
        <f>'Einnahmen Ausgaben'!T2</f>
        <v>Wohnung</v>
      </c>
      <c r="Y1" s="887" t="str">
        <f>'Einnahmen Ausgaben'!U2</f>
        <v>Mortgage / Hypothek</v>
      </c>
      <c r="Z1" s="887" t="str">
        <f>'Einnahmen Ausgaben'!V2</f>
        <v>South Africa Pension Medical</v>
      </c>
      <c r="AA1" s="887" t="str">
        <f>'Einnahmen Ausgaben'!W2</f>
        <v>Unassigned</v>
      </c>
      <c r="AB1" s="891" t="s">
        <v>641</v>
      </c>
      <c r="AC1" s="891" t="s">
        <v>641</v>
      </c>
      <c r="AD1" s="891" t="s">
        <v>642</v>
      </c>
      <c r="AE1" s="891" t="s">
        <v>642</v>
      </c>
      <c r="AF1" s="891" t="s">
        <v>642</v>
      </c>
      <c r="AG1" s="891" t="s">
        <v>642</v>
      </c>
      <c r="AH1" s="891" t="s">
        <v>642</v>
      </c>
      <c r="AI1" s="891" t="s">
        <v>642</v>
      </c>
      <c r="AJ1" s="1049" t="s">
        <v>2417</v>
      </c>
      <c r="AK1" s="824" t="s">
        <v>2488</v>
      </c>
      <c r="AL1" s="824" t="s">
        <v>2402</v>
      </c>
      <c r="AM1" s="824" t="s">
        <v>2446</v>
      </c>
    </row>
    <row r="2" spans="1:39" ht="36.75" customHeight="1" thickBot="1">
      <c r="A2" s="892"/>
      <c r="B2" s="893" t="s">
        <v>1</v>
      </c>
      <c r="C2" s="894" t="s">
        <v>643</v>
      </c>
      <c r="D2" s="1024"/>
      <c r="E2" s="1024"/>
      <c r="F2" s="1024"/>
      <c r="G2" s="1024"/>
      <c r="H2" s="1090" t="str">
        <f>'Einnahmen Ausgaben'!D3</f>
        <v>4338-1</v>
      </c>
      <c r="I2" s="1090">
        <f>'Einnahmen Ausgaben'!E3</f>
        <v>2180</v>
      </c>
      <c r="J2" s="1090">
        <f>'Einnahmen Ausgaben'!F3</f>
        <v>2150</v>
      </c>
      <c r="K2" s="1090" t="str">
        <f>'Einnahmen Ausgaben'!G3</f>
        <v>4338-2</v>
      </c>
      <c r="L2" s="1090">
        <f>'Einnahmen Ausgaben'!H3</f>
        <v>2200</v>
      </c>
      <c r="M2" s="1090">
        <f>'Einnahmen Ausgaben'!I3</f>
        <v>900</v>
      </c>
      <c r="N2" s="1090">
        <f>'Einnahmen Ausgaben'!J3</f>
        <v>6805</v>
      </c>
      <c r="O2" s="1090" t="str">
        <f>'Einnahmen Ausgaben'!K3</f>
        <v>6495-1</v>
      </c>
      <c r="P2" s="1090" t="str">
        <f>'Einnahmen Ausgaben'!L3</f>
        <v>6673-1</v>
      </c>
      <c r="Q2" s="1090" t="str">
        <f>'Einnahmen Ausgaben'!M3</f>
        <v>6673-2</v>
      </c>
      <c r="R2" s="1090">
        <f>'Einnahmen Ausgaben'!N3</f>
        <v>6680</v>
      </c>
      <c r="S2" s="1090">
        <f>'Einnahmen Ausgaben'!O3</f>
        <v>6530</v>
      </c>
      <c r="T2" s="1090">
        <f>'Einnahmen Ausgaben'!P3</f>
        <v>6815</v>
      </c>
      <c r="U2" s="1090" t="str">
        <f>'Einnahmen Ausgaben'!Q3</f>
        <v>6495-2</v>
      </c>
      <c r="V2" s="1090">
        <f>'Einnahmen Ausgaben'!R3</f>
        <v>6827</v>
      </c>
      <c r="W2" s="1090">
        <f>'Einnahmen Ausgaben'!S3</f>
        <v>6855</v>
      </c>
      <c r="X2" s="1090">
        <f>'Einnahmen Ausgaben'!T3</f>
        <v>2300</v>
      </c>
      <c r="Y2" s="1090">
        <f>'Einnahmen Ausgaben'!U3</f>
        <v>901</v>
      </c>
      <c r="Z2" s="1090">
        <f>'Einnahmen Ausgaben'!V3</f>
        <v>902</v>
      </c>
      <c r="AA2" s="1090">
        <f>'Einnahmen Ausgaben'!W3</f>
        <v>999</v>
      </c>
      <c r="AB2" s="895"/>
      <c r="AC2" s="895"/>
      <c r="AD2" s="895"/>
      <c r="AE2" s="895"/>
      <c r="AF2" s="895"/>
      <c r="AG2" s="895"/>
      <c r="AH2" s="895"/>
      <c r="AI2" s="895"/>
    </row>
    <row r="3" spans="1:39" ht="17.25" customHeight="1">
      <c r="A3" s="896"/>
      <c r="B3" s="896"/>
      <c r="C3" s="896"/>
      <c r="D3" s="896"/>
      <c r="E3" s="896"/>
      <c r="F3" s="896"/>
      <c r="G3" s="896"/>
      <c r="H3" s="896"/>
      <c r="I3" s="896"/>
      <c r="J3" s="896"/>
      <c r="K3" s="896"/>
      <c r="L3" s="896"/>
      <c r="M3" s="896"/>
      <c r="N3" s="896"/>
      <c r="O3" s="896"/>
      <c r="P3" s="900"/>
      <c r="Q3" s="900"/>
      <c r="R3" s="900"/>
      <c r="S3" s="900"/>
      <c r="T3" s="900"/>
      <c r="U3" s="900"/>
      <c r="V3" s="900"/>
      <c r="W3" s="900"/>
      <c r="X3" s="900"/>
      <c r="Y3" s="900"/>
      <c r="Z3" s="900"/>
      <c r="AA3" s="900"/>
      <c r="AB3" s="900"/>
      <c r="AC3" s="900"/>
      <c r="AD3" s="900"/>
      <c r="AE3" s="900"/>
      <c r="AF3" s="900"/>
      <c r="AG3" s="900"/>
      <c r="AH3" s="900"/>
      <c r="AI3" s="900"/>
      <c r="AJ3" s="900"/>
      <c r="AK3" s="900"/>
      <c r="AL3" s="900"/>
      <c r="AM3" s="900"/>
    </row>
    <row r="4" spans="1:39">
      <c r="A4" s="1091">
        <v>45985</v>
      </c>
      <c r="C4" t="s">
        <v>2447</v>
      </c>
      <c r="D4" s="1092"/>
      <c r="E4" s="1092">
        <v>41.8</v>
      </c>
      <c r="F4" t="s">
        <v>678</v>
      </c>
      <c r="G4" s="1093">
        <v>999</v>
      </c>
      <c r="K4" s="518"/>
      <c r="L4" s="518"/>
      <c r="M4" s="518"/>
      <c r="N4" s="518"/>
      <c r="O4" s="518"/>
      <c r="P4" s="518"/>
      <c r="Q4" s="518"/>
      <c r="R4" s="518"/>
      <c r="S4" s="518"/>
      <c r="T4" s="518"/>
      <c r="U4" s="518"/>
      <c r="V4" s="518"/>
      <c r="W4" s="518"/>
      <c r="X4" s="518"/>
      <c r="Y4" s="518"/>
      <c r="Z4" s="518"/>
      <c r="AA4">
        <v>41.8</v>
      </c>
      <c r="AK4">
        <v>41.8</v>
      </c>
      <c r="AL4">
        <v>999</v>
      </c>
      <c r="AM4" t="s">
        <v>678</v>
      </c>
    </row>
    <row r="5" spans="1:39">
      <c r="A5" s="1091">
        <v>45987</v>
      </c>
      <c r="C5" t="s">
        <v>2447</v>
      </c>
      <c r="D5" s="1092"/>
      <c r="E5" s="1092">
        <v>87.04</v>
      </c>
      <c r="F5" t="s">
        <v>678</v>
      </c>
      <c r="G5" s="1093">
        <v>999</v>
      </c>
      <c r="K5" s="518"/>
      <c r="L5" s="518"/>
      <c r="M5" s="518"/>
      <c r="N5" s="518"/>
      <c r="O5" s="518"/>
      <c r="P5" s="518"/>
      <c r="Q5" s="518"/>
      <c r="R5" s="518"/>
      <c r="S5" s="518"/>
      <c r="T5" s="518"/>
      <c r="U5" s="518"/>
      <c r="V5" s="518"/>
      <c r="W5" s="518"/>
      <c r="X5" s="518"/>
      <c r="Y5" s="518"/>
      <c r="Z5" s="518"/>
      <c r="AA5">
        <v>87.04</v>
      </c>
      <c r="AK5">
        <v>87.04</v>
      </c>
      <c r="AL5">
        <v>999</v>
      </c>
      <c r="AM5" t="s">
        <v>678</v>
      </c>
    </row>
    <row r="6" spans="1:39">
      <c r="A6" s="1091">
        <v>45967</v>
      </c>
      <c r="C6" t="s">
        <v>2448</v>
      </c>
      <c r="D6" s="1092"/>
      <c r="E6" s="1092">
        <v>11.99</v>
      </c>
      <c r="F6" t="s">
        <v>678</v>
      </c>
      <c r="G6" s="1093">
        <v>999</v>
      </c>
      <c r="K6" s="518"/>
      <c r="L6" s="518"/>
      <c r="M6" s="518"/>
      <c r="N6" s="518"/>
      <c r="O6" s="518"/>
      <c r="P6" s="518"/>
      <c r="Q6" s="518"/>
      <c r="R6" s="518"/>
      <c r="S6" s="518"/>
      <c r="T6" s="518"/>
      <c r="U6" s="518"/>
      <c r="V6" s="518"/>
      <c r="W6" s="518"/>
      <c r="X6" s="518"/>
      <c r="Y6" s="518"/>
      <c r="Z6" s="518"/>
      <c r="AA6">
        <v>11.99</v>
      </c>
      <c r="AK6">
        <v>11.99</v>
      </c>
      <c r="AL6">
        <v>999</v>
      </c>
      <c r="AM6" t="s">
        <v>678</v>
      </c>
    </row>
    <row r="7" spans="1:39">
      <c r="A7" s="1091">
        <v>45965</v>
      </c>
      <c r="C7" t="s">
        <v>2449</v>
      </c>
      <c r="D7" s="1092"/>
      <c r="E7" s="1092">
        <v>42.09</v>
      </c>
      <c r="F7" t="s">
        <v>678</v>
      </c>
      <c r="G7" s="1093">
        <v>999</v>
      </c>
      <c r="K7" s="518"/>
      <c r="L7" s="518"/>
      <c r="M7" s="518"/>
      <c r="N7" s="518"/>
      <c r="O7" s="518"/>
      <c r="P7" s="518"/>
      <c r="Q7" s="518"/>
      <c r="R7" s="518"/>
      <c r="S7" s="518"/>
      <c r="T7" s="518"/>
      <c r="U7" s="518"/>
      <c r="V7" s="518"/>
      <c r="W7" s="518"/>
      <c r="X7" s="518"/>
      <c r="Y7" s="518"/>
      <c r="Z7" s="518"/>
      <c r="AA7">
        <v>42.09</v>
      </c>
      <c r="AK7">
        <v>42.09</v>
      </c>
      <c r="AL7">
        <v>999</v>
      </c>
      <c r="AM7" t="s">
        <v>678</v>
      </c>
    </row>
    <row r="8" spans="1:39">
      <c r="A8" s="1091">
        <v>45987</v>
      </c>
      <c r="C8" t="s">
        <v>2450</v>
      </c>
      <c r="D8" s="1092"/>
      <c r="E8" s="1092">
        <v>15.98</v>
      </c>
      <c r="F8" t="s">
        <v>678</v>
      </c>
      <c r="G8" s="1093">
        <v>999</v>
      </c>
      <c r="K8" s="518"/>
      <c r="L8" s="518"/>
      <c r="M8" s="518"/>
      <c r="N8" s="518"/>
      <c r="O8" s="518"/>
      <c r="P8" s="518"/>
      <c r="Q8" s="518"/>
      <c r="R8" s="518"/>
      <c r="S8" s="518"/>
      <c r="T8" s="518"/>
      <c r="U8" s="518"/>
      <c r="V8" s="518"/>
      <c r="W8" s="518"/>
      <c r="X8" s="518"/>
      <c r="Y8" s="518"/>
      <c r="Z8" s="518"/>
      <c r="AA8">
        <v>15.98</v>
      </c>
      <c r="AK8">
        <v>15.98</v>
      </c>
      <c r="AL8">
        <v>999</v>
      </c>
      <c r="AM8" t="s">
        <v>678</v>
      </c>
    </row>
    <row r="9" spans="1:39">
      <c r="A9" s="1091">
        <v>45990</v>
      </c>
      <c r="C9" t="s">
        <v>2451</v>
      </c>
      <c r="D9" s="1092"/>
      <c r="E9" s="1092">
        <v>208.99</v>
      </c>
      <c r="F9" t="s">
        <v>678</v>
      </c>
      <c r="G9" s="1093">
        <v>999</v>
      </c>
      <c r="K9" s="518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/>
      <c r="W9" s="518"/>
      <c r="X9" s="518"/>
      <c r="Y9" s="518"/>
      <c r="Z9" s="518"/>
      <c r="AA9">
        <v>208.99</v>
      </c>
      <c r="AK9">
        <v>208.99</v>
      </c>
      <c r="AL9">
        <v>999</v>
      </c>
      <c r="AM9" t="s">
        <v>678</v>
      </c>
    </row>
    <row r="10" spans="1:39" ht="12.6" customHeight="1">
      <c r="A10" s="1091">
        <v>45966</v>
      </c>
      <c r="C10" t="s">
        <v>2385</v>
      </c>
      <c r="D10" s="1092"/>
      <c r="E10" s="1092">
        <v>258.99</v>
      </c>
      <c r="F10" t="s">
        <v>678</v>
      </c>
      <c r="G10" s="1093">
        <v>6680</v>
      </c>
      <c r="K10" s="518"/>
      <c r="L10" s="518"/>
      <c r="M10" s="518"/>
      <c r="N10" s="518"/>
      <c r="O10" s="518"/>
      <c r="P10" s="518"/>
      <c r="Q10" s="518"/>
      <c r="R10" s="518">
        <v>258.99</v>
      </c>
      <c r="S10" s="518"/>
      <c r="T10" s="518"/>
      <c r="U10" s="518"/>
      <c r="V10" s="518"/>
      <c r="W10" s="518"/>
      <c r="X10" s="518"/>
      <c r="Y10" s="518"/>
      <c r="Z10" s="518"/>
      <c r="AK10">
        <v>258.99</v>
      </c>
      <c r="AL10">
        <v>6680</v>
      </c>
      <c r="AM10" t="s">
        <v>678</v>
      </c>
    </row>
    <row r="11" spans="1:39">
      <c r="A11" s="1091">
        <v>45984</v>
      </c>
      <c r="C11" t="s">
        <v>2319</v>
      </c>
      <c r="D11" s="1092"/>
      <c r="E11" s="1092">
        <v>11.39</v>
      </c>
      <c r="F11" t="s">
        <v>678</v>
      </c>
      <c r="G11" s="1093">
        <v>6805</v>
      </c>
      <c r="K11" s="518"/>
      <c r="L11" s="518"/>
      <c r="M11" s="518"/>
      <c r="N11" s="518">
        <v>11.39</v>
      </c>
      <c r="O11" s="518"/>
      <c r="P11" s="518"/>
      <c r="Q11" s="518"/>
      <c r="R11" s="518"/>
      <c r="S11" s="518"/>
      <c r="T11" s="518"/>
      <c r="U11" s="518"/>
      <c r="V11" s="518"/>
      <c r="W11" s="518"/>
      <c r="X11" s="518"/>
      <c r="Y11" s="518"/>
      <c r="Z11" s="518"/>
      <c r="AK11">
        <v>11.39</v>
      </c>
      <c r="AL11">
        <v>6805</v>
      </c>
      <c r="AM11" t="s">
        <v>678</v>
      </c>
    </row>
    <row r="12" spans="1:39">
      <c r="A12" s="1091">
        <v>45978</v>
      </c>
      <c r="C12" t="s">
        <v>2315</v>
      </c>
      <c r="D12" s="1092"/>
      <c r="E12" s="1092">
        <v>5.39</v>
      </c>
      <c r="F12" t="s">
        <v>678</v>
      </c>
      <c r="G12" s="1093" t="s">
        <v>2487</v>
      </c>
      <c r="K12" s="518"/>
      <c r="L12" s="518"/>
      <c r="M12" s="518"/>
      <c r="N12" s="518"/>
      <c r="O12" s="518"/>
      <c r="P12" s="518"/>
      <c r="Q12" s="518"/>
      <c r="R12" s="518"/>
      <c r="S12" s="518"/>
      <c r="T12" s="518"/>
      <c r="U12" s="518">
        <v>5.39</v>
      </c>
      <c r="V12" s="518"/>
      <c r="W12" s="518"/>
      <c r="X12" s="518"/>
      <c r="Y12" s="518"/>
      <c r="Z12" s="518"/>
      <c r="AK12">
        <v>5.39</v>
      </c>
      <c r="AL12">
        <v>6495</v>
      </c>
      <c r="AM12" t="s">
        <v>678</v>
      </c>
    </row>
    <row r="13" spans="1:39">
      <c r="A13" s="1091">
        <v>45966</v>
      </c>
      <c r="C13" t="s">
        <v>2387</v>
      </c>
      <c r="D13" s="1092"/>
      <c r="E13" s="1092">
        <v>146.13999999999999</v>
      </c>
      <c r="F13" t="s">
        <v>678</v>
      </c>
      <c r="G13" s="1093" t="s">
        <v>2483</v>
      </c>
      <c r="K13" s="518"/>
      <c r="L13" s="518"/>
      <c r="M13" s="518"/>
      <c r="N13" s="518"/>
      <c r="O13" s="518"/>
      <c r="P13" s="518">
        <v>146.13999999999999</v>
      </c>
      <c r="Q13" s="518"/>
      <c r="R13" s="518"/>
      <c r="S13" s="518"/>
      <c r="T13" s="518"/>
      <c r="U13" s="518"/>
      <c r="V13" s="518"/>
      <c r="W13" s="518"/>
      <c r="X13" s="518"/>
      <c r="Y13" s="518"/>
      <c r="Z13" s="518"/>
      <c r="AK13">
        <v>146.13999999999999</v>
      </c>
      <c r="AL13">
        <v>6673</v>
      </c>
      <c r="AM13" t="s">
        <v>678</v>
      </c>
    </row>
    <row r="14" spans="1:39">
      <c r="A14" s="1091">
        <v>45966</v>
      </c>
      <c r="C14" t="s">
        <v>2388</v>
      </c>
      <c r="D14" s="1092"/>
      <c r="E14" s="1092">
        <v>145.49</v>
      </c>
      <c r="F14" t="s">
        <v>678</v>
      </c>
      <c r="G14" s="1093" t="s">
        <v>2483</v>
      </c>
      <c r="K14" s="518"/>
      <c r="L14" s="518"/>
      <c r="M14" s="518"/>
      <c r="N14" s="518"/>
      <c r="O14" s="518"/>
      <c r="P14" s="518">
        <v>145.49</v>
      </c>
      <c r="Q14" s="518"/>
      <c r="R14" s="518"/>
      <c r="S14" s="518"/>
      <c r="T14" s="518"/>
      <c r="U14" s="518"/>
      <c r="V14" s="518"/>
      <c r="W14" s="518"/>
      <c r="X14" s="518"/>
      <c r="Y14" s="518"/>
      <c r="Z14" s="518"/>
      <c r="AK14">
        <v>145.49</v>
      </c>
      <c r="AL14">
        <v>6673</v>
      </c>
      <c r="AM14" t="s">
        <v>678</v>
      </c>
    </row>
    <row r="15" spans="1:39">
      <c r="A15" s="1091">
        <v>45968</v>
      </c>
      <c r="C15" t="s">
        <v>2389</v>
      </c>
      <c r="D15" s="1092"/>
      <c r="E15" s="1092">
        <v>345.08</v>
      </c>
      <c r="F15" t="s">
        <v>678</v>
      </c>
      <c r="G15" s="1093" t="s">
        <v>2483</v>
      </c>
      <c r="K15" s="518"/>
      <c r="L15" s="518"/>
      <c r="M15" s="518"/>
      <c r="N15" s="518"/>
      <c r="O15" s="518"/>
      <c r="P15" s="518">
        <v>345.08</v>
      </c>
      <c r="Q15" s="518"/>
      <c r="R15" s="518"/>
      <c r="S15" s="518"/>
      <c r="T15" s="518"/>
      <c r="U15" s="518"/>
      <c r="V15" s="518"/>
      <c r="W15" s="518"/>
      <c r="X15" s="518"/>
      <c r="Y15" s="518"/>
      <c r="Z15" s="518"/>
      <c r="AK15">
        <v>345.08</v>
      </c>
      <c r="AL15">
        <v>6673</v>
      </c>
      <c r="AM15" t="s">
        <v>678</v>
      </c>
    </row>
    <row r="16" spans="1:39">
      <c r="A16" s="1091">
        <v>45968</v>
      </c>
      <c r="C16" t="s">
        <v>2390</v>
      </c>
      <c r="D16" s="1092"/>
      <c r="E16" s="1092">
        <v>345.08</v>
      </c>
      <c r="F16" t="s">
        <v>678</v>
      </c>
      <c r="G16" s="1093" t="s">
        <v>2483</v>
      </c>
      <c r="K16" s="518"/>
      <c r="L16" s="518"/>
      <c r="M16" s="518"/>
      <c r="N16" s="518"/>
      <c r="O16" s="518"/>
      <c r="P16" s="518">
        <v>345.08</v>
      </c>
      <c r="Q16" s="518"/>
      <c r="R16" s="518"/>
      <c r="S16" s="518"/>
      <c r="T16" s="518"/>
      <c r="U16" s="518"/>
      <c r="V16" s="518"/>
      <c r="W16" s="518"/>
      <c r="X16" s="518"/>
      <c r="Y16" s="518"/>
      <c r="Z16" s="518"/>
      <c r="AK16">
        <v>345.08</v>
      </c>
      <c r="AL16">
        <v>6673</v>
      </c>
      <c r="AM16" t="s">
        <v>678</v>
      </c>
    </row>
    <row r="17" spans="1:39">
      <c r="A17" s="1091">
        <v>45966</v>
      </c>
      <c r="C17" t="s">
        <v>2452</v>
      </c>
      <c r="D17" s="1092"/>
      <c r="E17" s="1092">
        <v>94.58</v>
      </c>
      <c r="F17" t="s">
        <v>678</v>
      </c>
      <c r="G17" s="1093" t="s">
        <v>2483</v>
      </c>
      <c r="K17" s="518"/>
      <c r="L17" s="518"/>
      <c r="M17" s="518"/>
      <c r="N17" s="518"/>
      <c r="O17" s="518"/>
      <c r="P17" s="518">
        <v>94.58</v>
      </c>
      <c r="Q17" s="518"/>
      <c r="R17" s="518"/>
      <c r="S17" s="518"/>
      <c r="T17" s="518"/>
      <c r="U17" s="518"/>
      <c r="V17" s="518"/>
      <c r="W17" s="518"/>
      <c r="X17" s="518"/>
      <c r="Y17" s="518"/>
      <c r="Z17" s="518"/>
      <c r="AK17">
        <v>94.58</v>
      </c>
      <c r="AL17">
        <v>6673</v>
      </c>
      <c r="AM17" t="s">
        <v>678</v>
      </c>
    </row>
    <row r="18" spans="1:39">
      <c r="A18" s="1091">
        <v>45968</v>
      </c>
      <c r="B18" t="s">
        <v>2489</v>
      </c>
      <c r="C18" t="s">
        <v>2452</v>
      </c>
      <c r="D18" s="1092">
        <v>94.58</v>
      </c>
      <c r="E18" s="1092"/>
      <c r="F18" t="s">
        <v>678</v>
      </c>
      <c r="G18" s="1093" t="s">
        <v>2483</v>
      </c>
      <c r="K18" s="518"/>
      <c r="L18" s="518"/>
      <c r="M18" s="518"/>
      <c r="N18" s="518"/>
      <c r="O18" s="518"/>
      <c r="P18" s="518">
        <v>94.58</v>
      </c>
      <c r="Q18" s="518"/>
      <c r="R18" s="518"/>
      <c r="S18" s="518"/>
      <c r="T18" s="518"/>
      <c r="U18" s="518"/>
      <c r="V18" s="518"/>
      <c r="W18" s="518"/>
      <c r="X18" s="518"/>
      <c r="Y18" s="518"/>
      <c r="Z18" s="518"/>
      <c r="AK18">
        <v>94.58</v>
      </c>
      <c r="AL18">
        <v>6673</v>
      </c>
      <c r="AM18" t="s">
        <v>678</v>
      </c>
    </row>
    <row r="19" spans="1:39">
      <c r="A19" s="1091">
        <v>45989</v>
      </c>
      <c r="C19" t="s">
        <v>2392</v>
      </c>
      <c r="D19" s="1092"/>
      <c r="E19" s="1092">
        <v>296.64</v>
      </c>
      <c r="F19" t="s">
        <v>678</v>
      </c>
      <c r="G19" s="1093" t="s">
        <v>2483</v>
      </c>
      <c r="K19" s="518"/>
      <c r="L19" s="518"/>
      <c r="M19" s="518"/>
      <c r="N19" s="518"/>
      <c r="O19" s="518"/>
      <c r="P19" s="518">
        <v>296.64</v>
      </c>
      <c r="Q19" s="518"/>
      <c r="R19" s="518"/>
      <c r="S19" s="518"/>
      <c r="T19" s="518"/>
      <c r="U19" s="518"/>
      <c r="V19" s="518"/>
      <c r="W19" s="518"/>
      <c r="X19" s="518"/>
      <c r="Y19" s="518"/>
      <c r="Z19" s="518"/>
      <c r="AK19">
        <v>296.64</v>
      </c>
      <c r="AL19">
        <v>6673</v>
      </c>
      <c r="AM19" t="s">
        <v>678</v>
      </c>
    </row>
    <row r="20" spans="1:39">
      <c r="A20" s="1091">
        <v>45988</v>
      </c>
      <c r="C20" t="s">
        <v>2453</v>
      </c>
      <c r="D20" s="1092"/>
      <c r="E20" s="1092">
        <v>22.54</v>
      </c>
      <c r="F20" t="s">
        <v>678</v>
      </c>
      <c r="G20" s="1093">
        <v>6855</v>
      </c>
      <c r="K20" s="518"/>
      <c r="L20" s="518"/>
      <c r="M20" s="518"/>
      <c r="N20" s="518"/>
      <c r="O20" s="518"/>
      <c r="P20" s="518"/>
      <c r="Q20" s="518"/>
      <c r="R20" s="518"/>
      <c r="S20" s="518"/>
      <c r="T20" s="518"/>
      <c r="U20" s="518"/>
      <c r="V20" s="518"/>
      <c r="W20" s="518">
        <v>22.54</v>
      </c>
      <c r="X20" s="518"/>
      <c r="Y20" s="518"/>
      <c r="Z20" s="518"/>
      <c r="AK20">
        <v>22.54</v>
      </c>
      <c r="AL20">
        <v>6855</v>
      </c>
      <c r="AM20" t="s">
        <v>678</v>
      </c>
    </row>
    <row r="21" spans="1:39">
      <c r="A21" s="1091">
        <v>45962</v>
      </c>
      <c r="C21" t="s">
        <v>2454</v>
      </c>
      <c r="D21" s="1092"/>
      <c r="E21" s="1092">
        <v>20.66</v>
      </c>
      <c r="F21" t="s">
        <v>678</v>
      </c>
      <c r="G21" s="1093" t="s">
        <v>2487</v>
      </c>
      <c r="K21" s="518"/>
      <c r="L21" s="518"/>
      <c r="M21" s="518"/>
      <c r="N21" s="518"/>
      <c r="O21" s="518"/>
      <c r="P21" s="518"/>
      <c r="Q21" s="518"/>
      <c r="R21" s="518"/>
      <c r="S21" s="518"/>
      <c r="T21" s="518"/>
      <c r="U21" s="518">
        <v>20.66</v>
      </c>
      <c r="V21" s="518"/>
      <c r="W21" s="518"/>
      <c r="X21" s="518"/>
      <c r="Y21" s="518"/>
      <c r="Z21" s="518"/>
      <c r="AK21">
        <v>20.66</v>
      </c>
      <c r="AL21">
        <v>6495</v>
      </c>
      <c r="AM21" t="s">
        <v>678</v>
      </c>
    </row>
    <row r="22" spans="1:39">
      <c r="A22" s="1091">
        <v>45979</v>
      </c>
      <c r="C22" t="s">
        <v>2454</v>
      </c>
      <c r="D22" s="1092"/>
      <c r="E22" s="1092">
        <v>22.57</v>
      </c>
      <c r="F22" t="s">
        <v>678</v>
      </c>
      <c r="G22" s="1093" t="s">
        <v>2487</v>
      </c>
      <c r="K22" s="518"/>
      <c r="L22" s="518"/>
      <c r="M22" s="518"/>
      <c r="N22" s="518"/>
      <c r="O22" s="518"/>
      <c r="P22" s="518"/>
      <c r="Q22" s="518"/>
      <c r="R22" s="518"/>
      <c r="S22" s="518"/>
      <c r="T22" s="518"/>
      <c r="U22" s="518">
        <v>22.57</v>
      </c>
      <c r="V22" s="518"/>
      <c r="W22" s="518"/>
      <c r="X22" s="518"/>
      <c r="Y22" s="518"/>
      <c r="Z22" s="518"/>
      <c r="AK22">
        <v>22.57</v>
      </c>
      <c r="AL22">
        <v>6495</v>
      </c>
      <c r="AM22" t="s">
        <v>678</v>
      </c>
    </row>
    <row r="23" spans="1:39">
      <c r="A23" s="1091">
        <v>45973</v>
      </c>
      <c r="C23" t="s">
        <v>2455</v>
      </c>
      <c r="D23" s="1092"/>
      <c r="E23" s="1092">
        <v>25.17</v>
      </c>
      <c r="F23" t="s">
        <v>678</v>
      </c>
      <c r="G23" s="1093">
        <v>999</v>
      </c>
      <c r="K23" s="518"/>
      <c r="L23" s="518"/>
      <c r="M23" s="518"/>
      <c r="N23" s="518"/>
      <c r="O23" s="518"/>
      <c r="P23" s="518"/>
      <c r="Q23" s="518"/>
      <c r="R23" s="518"/>
      <c r="S23" s="518"/>
      <c r="T23" s="518"/>
      <c r="U23" s="518"/>
      <c r="V23" s="518"/>
      <c r="W23" s="518"/>
      <c r="X23" s="518"/>
      <c r="Y23" s="518"/>
      <c r="Z23" s="518"/>
      <c r="AA23">
        <v>25.17</v>
      </c>
      <c r="AK23">
        <v>25.17</v>
      </c>
      <c r="AL23">
        <v>999</v>
      </c>
      <c r="AM23" t="s">
        <v>678</v>
      </c>
    </row>
    <row r="24" spans="1:39">
      <c r="A24" s="1091">
        <v>45972</v>
      </c>
      <c r="C24" t="s">
        <v>207</v>
      </c>
      <c r="D24" s="1092"/>
      <c r="E24" s="1092">
        <v>26.74</v>
      </c>
      <c r="F24" t="s">
        <v>678</v>
      </c>
      <c r="G24" s="1093" t="s">
        <v>2484</v>
      </c>
      <c r="K24" s="518"/>
      <c r="L24" s="518"/>
      <c r="M24" s="518"/>
      <c r="N24" s="518"/>
      <c r="O24" s="518"/>
      <c r="P24" s="518"/>
      <c r="Q24" s="518">
        <v>26.74</v>
      </c>
      <c r="R24" s="518"/>
      <c r="S24" s="518"/>
      <c r="T24" s="518"/>
      <c r="U24" s="518"/>
      <c r="V24" s="518"/>
      <c r="W24" s="518"/>
      <c r="X24" s="518"/>
      <c r="Y24" s="518"/>
      <c r="Z24" s="518"/>
      <c r="AK24">
        <v>26.74</v>
      </c>
      <c r="AL24">
        <v>6673</v>
      </c>
      <c r="AM24" t="s">
        <v>678</v>
      </c>
    </row>
    <row r="25" spans="1:39">
      <c r="A25" s="1091">
        <v>45989</v>
      </c>
      <c r="C25" t="s">
        <v>207</v>
      </c>
      <c r="D25" s="1092"/>
      <c r="E25" s="1092">
        <v>27.11</v>
      </c>
      <c r="F25" t="s">
        <v>678</v>
      </c>
      <c r="G25" s="1093" t="s">
        <v>2484</v>
      </c>
      <c r="K25" s="518"/>
      <c r="L25" s="518"/>
      <c r="M25" s="518"/>
      <c r="N25" s="518"/>
      <c r="O25" s="518"/>
      <c r="P25" s="518"/>
      <c r="Q25" s="518">
        <v>27.11</v>
      </c>
      <c r="R25" s="518"/>
      <c r="S25" s="518"/>
      <c r="T25" s="518"/>
      <c r="U25" s="518"/>
      <c r="V25" s="518"/>
      <c r="W25" s="518"/>
      <c r="X25" s="518"/>
      <c r="Y25" s="518"/>
      <c r="Z25" s="518"/>
      <c r="AK25">
        <v>27.11</v>
      </c>
      <c r="AL25">
        <v>6673</v>
      </c>
      <c r="AM25" t="s">
        <v>678</v>
      </c>
    </row>
    <row r="26" spans="1:39">
      <c r="A26" s="1091">
        <v>45964</v>
      </c>
      <c r="C26" t="s">
        <v>426</v>
      </c>
      <c r="D26" s="1092"/>
      <c r="E26" s="1092">
        <v>35.020000000000003</v>
      </c>
      <c r="F26" t="s">
        <v>678</v>
      </c>
      <c r="G26" s="1093" t="s">
        <v>2487</v>
      </c>
      <c r="K26" s="518"/>
      <c r="L26" s="518"/>
      <c r="M26" s="518"/>
      <c r="N26" s="518"/>
      <c r="O26" s="518"/>
      <c r="P26" s="518"/>
      <c r="Q26" s="518"/>
      <c r="R26" s="518"/>
      <c r="S26" s="518"/>
      <c r="T26" s="518"/>
      <c r="U26" s="518">
        <v>35.020000000000003</v>
      </c>
      <c r="V26" s="518"/>
      <c r="W26" s="518"/>
      <c r="X26" s="518"/>
      <c r="Y26" s="518"/>
      <c r="Z26" s="518"/>
      <c r="AK26">
        <v>35.020000000000003</v>
      </c>
      <c r="AL26">
        <v>6495</v>
      </c>
      <c r="AM26" t="s">
        <v>678</v>
      </c>
    </row>
    <row r="27" spans="1:39">
      <c r="A27" s="1091">
        <v>45969</v>
      </c>
      <c r="C27" t="s">
        <v>426</v>
      </c>
      <c r="D27" s="1092"/>
      <c r="E27" s="1092">
        <v>34.74</v>
      </c>
      <c r="F27" t="s">
        <v>678</v>
      </c>
      <c r="G27" s="1093" t="s">
        <v>2487</v>
      </c>
      <c r="K27" s="518"/>
      <c r="L27" s="518"/>
      <c r="M27" s="518"/>
      <c r="N27" s="518"/>
      <c r="O27" s="518"/>
      <c r="P27" s="518"/>
      <c r="Q27" s="518"/>
      <c r="R27" s="518"/>
      <c r="S27" s="518"/>
      <c r="T27" s="518"/>
      <c r="U27" s="518">
        <v>34.74</v>
      </c>
      <c r="V27" s="518"/>
      <c r="W27" s="518"/>
      <c r="X27" s="518"/>
      <c r="Y27" s="518"/>
      <c r="Z27" s="518"/>
      <c r="AK27">
        <v>34.74</v>
      </c>
      <c r="AL27">
        <v>6495</v>
      </c>
      <c r="AM27" t="s">
        <v>678</v>
      </c>
    </row>
    <row r="28" spans="1:39">
      <c r="A28" s="1091">
        <v>45973</v>
      </c>
      <c r="C28" t="s">
        <v>426</v>
      </c>
      <c r="D28" s="1092"/>
      <c r="E28" s="1092">
        <v>35.65</v>
      </c>
      <c r="F28" t="s">
        <v>678</v>
      </c>
      <c r="G28" s="1093" t="s">
        <v>2487</v>
      </c>
      <c r="K28" s="518"/>
      <c r="L28" s="518"/>
      <c r="M28" s="518"/>
      <c r="N28" s="518"/>
      <c r="O28" s="518"/>
      <c r="P28" s="518"/>
      <c r="Q28" s="518"/>
      <c r="R28" s="518"/>
      <c r="S28" s="518"/>
      <c r="T28" s="518"/>
      <c r="U28" s="518">
        <v>35.65</v>
      </c>
      <c r="V28" s="518"/>
      <c r="W28" s="518"/>
      <c r="X28" s="518"/>
      <c r="Y28" s="518"/>
      <c r="Z28" s="518"/>
      <c r="AK28">
        <v>35.65</v>
      </c>
      <c r="AL28">
        <v>6495</v>
      </c>
      <c r="AM28" t="s">
        <v>678</v>
      </c>
    </row>
    <row r="29" spans="1:39">
      <c r="A29" s="1091">
        <v>45975</v>
      </c>
      <c r="C29" t="s">
        <v>426</v>
      </c>
      <c r="D29" s="1092"/>
      <c r="E29" s="1092">
        <v>34.5</v>
      </c>
      <c r="F29" t="s">
        <v>678</v>
      </c>
      <c r="G29" s="1093" t="s">
        <v>2487</v>
      </c>
      <c r="K29" s="518"/>
      <c r="L29" s="518"/>
      <c r="M29" s="518"/>
      <c r="N29" s="518"/>
      <c r="O29" s="518"/>
      <c r="P29" s="518"/>
      <c r="Q29" s="518"/>
      <c r="R29" s="518"/>
      <c r="S29" s="518"/>
      <c r="T29" s="518"/>
      <c r="U29" s="518">
        <v>34.5</v>
      </c>
      <c r="V29" s="518"/>
      <c r="W29" s="518"/>
      <c r="X29" s="518"/>
      <c r="Y29" s="518"/>
      <c r="Z29" s="518"/>
      <c r="AK29">
        <v>34.5</v>
      </c>
      <c r="AL29">
        <v>6495</v>
      </c>
      <c r="AM29" t="s">
        <v>678</v>
      </c>
    </row>
    <row r="30" spans="1:39">
      <c r="A30" s="1091">
        <v>45980</v>
      </c>
      <c r="C30" t="s">
        <v>426</v>
      </c>
      <c r="D30" s="1092"/>
      <c r="E30" s="1092">
        <v>34.9</v>
      </c>
      <c r="F30" t="s">
        <v>678</v>
      </c>
      <c r="G30" s="1093" t="s">
        <v>2487</v>
      </c>
      <c r="K30" s="518"/>
      <c r="L30" s="518"/>
      <c r="M30" s="518"/>
      <c r="N30" s="518"/>
      <c r="O30" s="518"/>
      <c r="P30" s="518"/>
      <c r="Q30" s="518"/>
      <c r="R30" s="518"/>
      <c r="S30" s="518"/>
      <c r="T30" s="518"/>
      <c r="U30" s="518">
        <v>34.9</v>
      </c>
      <c r="V30" s="518"/>
      <c r="W30" s="518"/>
      <c r="X30" s="518"/>
      <c r="Y30" s="518"/>
      <c r="Z30" s="518"/>
      <c r="AK30">
        <v>34.9</v>
      </c>
      <c r="AL30">
        <v>6495</v>
      </c>
      <c r="AM30" t="s">
        <v>678</v>
      </c>
    </row>
    <row r="31" spans="1:39">
      <c r="A31" s="1091">
        <v>45989</v>
      </c>
      <c r="C31" t="s">
        <v>426</v>
      </c>
      <c r="D31" s="1092"/>
      <c r="E31" s="1092">
        <v>34.64</v>
      </c>
      <c r="F31" t="s">
        <v>678</v>
      </c>
      <c r="G31" s="1093" t="s">
        <v>2487</v>
      </c>
      <c r="K31" s="518"/>
      <c r="L31" s="518"/>
      <c r="M31" s="518"/>
      <c r="N31" s="518"/>
      <c r="O31" s="518"/>
      <c r="P31" s="518"/>
      <c r="Q31" s="518"/>
      <c r="R31" s="518"/>
      <c r="S31" s="518"/>
      <c r="T31" s="518"/>
      <c r="U31" s="518">
        <v>34.64</v>
      </c>
      <c r="V31" s="518"/>
      <c r="W31" s="518"/>
      <c r="X31" s="518"/>
      <c r="Y31" s="518"/>
      <c r="Z31" s="518"/>
      <c r="AK31">
        <v>34.64</v>
      </c>
      <c r="AL31">
        <v>6495</v>
      </c>
      <c r="AM31" t="s">
        <v>678</v>
      </c>
    </row>
    <row r="32" spans="1:39">
      <c r="A32" s="1091">
        <v>45981</v>
      </c>
      <c r="C32" t="s">
        <v>2456</v>
      </c>
      <c r="D32" s="1092"/>
      <c r="E32" s="1092">
        <v>155.82</v>
      </c>
      <c r="F32" t="s">
        <v>678</v>
      </c>
      <c r="G32" s="1093">
        <v>999</v>
      </c>
      <c r="K32" s="518"/>
      <c r="L32" s="518"/>
      <c r="M32" s="518"/>
      <c r="N32" s="518"/>
      <c r="O32" s="518"/>
      <c r="P32" s="518"/>
      <c r="Q32" s="518"/>
      <c r="R32" s="518"/>
      <c r="S32" s="518"/>
      <c r="T32" s="518"/>
      <c r="U32" s="518"/>
      <c r="V32" s="518"/>
      <c r="W32" s="518"/>
      <c r="X32" s="518"/>
      <c r="Y32" s="518"/>
      <c r="Z32" s="518"/>
      <c r="AA32">
        <v>155.82</v>
      </c>
      <c r="AK32">
        <v>155.82</v>
      </c>
      <c r="AL32">
        <v>999</v>
      </c>
      <c r="AM32" t="s">
        <v>678</v>
      </c>
    </row>
    <row r="33" spans="1:39">
      <c r="A33" s="1091">
        <v>45995</v>
      </c>
      <c r="C33" t="s">
        <v>2447</v>
      </c>
      <c r="D33" s="1092"/>
      <c r="E33" s="1092">
        <v>24.57</v>
      </c>
      <c r="F33" t="s">
        <v>678</v>
      </c>
      <c r="G33" s="1093">
        <v>999</v>
      </c>
      <c r="K33" s="518"/>
      <c r="L33" s="518"/>
      <c r="M33" s="518"/>
      <c r="N33" s="518"/>
      <c r="O33" s="518"/>
      <c r="P33" s="518"/>
      <c r="Q33" s="518"/>
      <c r="R33" s="518"/>
      <c r="S33" s="518"/>
      <c r="T33" s="518"/>
      <c r="U33" s="518"/>
      <c r="V33" s="518"/>
      <c r="W33" s="518"/>
      <c r="X33" s="518"/>
      <c r="Y33" s="518"/>
      <c r="Z33" s="518"/>
      <c r="AA33">
        <v>24.57</v>
      </c>
      <c r="AK33">
        <v>24.57</v>
      </c>
      <c r="AL33">
        <v>999</v>
      </c>
      <c r="AM33" t="s">
        <v>678</v>
      </c>
    </row>
    <row r="34" spans="1:39">
      <c r="A34" s="1091">
        <v>45995</v>
      </c>
      <c r="C34" t="s">
        <v>2457</v>
      </c>
      <c r="D34" s="1092"/>
      <c r="E34" s="1092">
        <v>29.38</v>
      </c>
      <c r="F34" t="s">
        <v>678</v>
      </c>
      <c r="G34" s="1093">
        <v>999</v>
      </c>
      <c r="K34" s="518"/>
      <c r="L34" s="518"/>
      <c r="M34" s="518"/>
      <c r="N34" s="518"/>
      <c r="O34" s="518"/>
      <c r="P34" s="518"/>
      <c r="Q34" s="518"/>
      <c r="R34" s="518"/>
      <c r="S34" s="518"/>
      <c r="T34" s="518"/>
      <c r="U34" s="518"/>
      <c r="V34" s="518"/>
      <c r="W34" s="518"/>
      <c r="X34" s="518"/>
      <c r="Y34" s="518"/>
      <c r="Z34" s="518"/>
      <c r="AA34">
        <v>29.38</v>
      </c>
      <c r="AK34">
        <v>29.38</v>
      </c>
      <c r="AL34">
        <v>999</v>
      </c>
      <c r="AM34" t="s">
        <v>678</v>
      </c>
    </row>
    <row r="35" spans="1:39">
      <c r="A35" s="1091">
        <v>46007</v>
      </c>
      <c r="C35" t="s">
        <v>2355</v>
      </c>
      <c r="D35" s="1092"/>
      <c r="E35" s="1092">
        <v>197.91</v>
      </c>
      <c r="F35" t="s">
        <v>678</v>
      </c>
      <c r="G35" s="1093">
        <v>6530</v>
      </c>
      <c r="K35" s="518"/>
      <c r="L35" s="518"/>
      <c r="M35" s="518"/>
      <c r="N35" s="518"/>
      <c r="O35" s="518"/>
      <c r="P35" s="518"/>
      <c r="Q35" s="518"/>
      <c r="R35" s="518"/>
      <c r="S35" s="518">
        <v>197.91</v>
      </c>
      <c r="T35" s="518"/>
      <c r="U35" s="518"/>
      <c r="V35" s="518"/>
      <c r="W35" s="518"/>
      <c r="X35" s="518"/>
      <c r="Y35" s="518"/>
      <c r="Z35" s="518"/>
      <c r="AK35">
        <v>197.91</v>
      </c>
      <c r="AL35">
        <v>6530</v>
      </c>
      <c r="AM35" t="s">
        <v>678</v>
      </c>
    </row>
    <row r="36" spans="1:39">
      <c r="A36" s="1091">
        <v>45999</v>
      </c>
      <c r="C36" t="s">
        <v>2458</v>
      </c>
      <c r="D36" s="1092"/>
      <c r="E36" s="1092">
        <v>44.74</v>
      </c>
      <c r="F36" t="s">
        <v>678</v>
      </c>
      <c r="G36" s="1093">
        <v>999</v>
      </c>
      <c r="K36" s="518"/>
      <c r="L36" s="518"/>
      <c r="M36" s="518"/>
      <c r="N36" s="518"/>
      <c r="O36" s="518"/>
      <c r="P36" s="518"/>
      <c r="Q36" s="518"/>
      <c r="R36" s="518"/>
      <c r="S36" s="518"/>
      <c r="T36" s="518"/>
      <c r="U36" s="518"/>
      <c r="V36" s="518"/>
      <c r="W36" s="518"/>
      <c r="X36" s="518"/>
      <c r="Y36" s="518"/>
      <c r="Z36" s="518"/>
      <c r="AA36">
        <v>44.74</v>
      </c>
      <c r="AK36">
        <v>44.74</v>
      </c>
      <c r="AL36">
        <v>999</v>
      </c>
      <c r="AM36" t="s">
        <v>678</v>
      </c>
    </row>
    <row r="37" spans="1:39">
      <c r="A37" s="1091">
        <v>46014</v>
      </c>
      <c r="C37" t="s">
        <v>2319</v>
      </c>
      <c r="D37" s="1092"/>
      <c r="E37" s="1092">
        <v>11.47</v>
      </c>
      <c r="F37" t="s">
        <v>678</v>
      </c>
      <c r="G37" s="1093">
        <v>6805</v>
      </c>
      <c r="K37" s="518"/>
      <c r="L37" s="518"/>
      <c r="M37" s="518"/>
      <c r="N37" s="518">
        <v>11.47</v>
      </c>
      <c r="O37" s="518"/>
      <c r="P37" s="518"/>
      <c r="Q37" s="518"/>
      <c r="R37" s="518"/>
      <c r="S37" s="518"/>
      <c r="T37" s="518"/>
      <c r="U37" s="518"/>
      <c r="V37" s="518"/>
      <c r="W37" s="518"/>
      <c r="X37" s="518"/>
      <c r="Y37" s="518"/>
      <c r="Z37" s="518"/>
      <c r="AK37">
        <v>11.47</v>
      </c>
      <c r="AL37">
        <v>6805</v>
      </c>
      <c r="AM37" t="s">
        <v>678</v>
      </c>
    </row>
    <row r="38" spans="1:39">
      <c r="A38" s="1091">
        <v>46007</v>
      </c>
      <c r="C38" t="s">
        <v>2315</v>
      </c>
      <c r="D38" s="1092"/>
      <c r="E38" s="1092">
        <v>5.39</v>
      </c>
      <c r="F38" t="s">
        <v>678</v>
      </c>
      <c r="G38" s="1093" t="s">
        <v>2487</v>
      </c>
      <c r="K38" s="518"/>
      <c r="L38" s="518"/>
      <c r="M38" s="518"/>
      <c r="N38" s="518"/>
      <c r="O38" s="518"/>
      <c r="P38" s="518"/>
      <c r="Q38" s="518"/>
      <c r="R38" s="518"/>
      <c r="S38" s="518"/>
      <c r="T38" s="518"/>
      <c r="U38" s="518">
        <v>5.39</v>
      </c>
      <c r="V38" s="518"/>
      <c r="W38" s="518"/>
      <c r="X38" s="518"/>
      <c r="Y38" s="518"/>
      <c r="Z38" s="518"/>
      <c r="AK38">
        <v>5.39</v>
      </c>
      <c r="AL38">
        <v>6495</v>
      </c>
      <c r="AM38" t="s">
        <v>678</v>
      </c>
    </row>
    <row r="39" spans="1:39">
      <c r="A39" s="1091">
        <v>46006</v>
      </c>
      <c r="C39" t="s">
        <v>2397</v>
      </c>
      <c r="D39" s="1092"/>
      <c r="E39" s="1092">
        <v>1035.56</v>
      </c>
      <c r="F39" t="s">
        <v>678</v>
      </c>
      <c r="G39" s="1093" t="s">
        <v>2483</v>
      </c>
      <c r="K39" s="518"/>
      <c r="L39" s="518"/>
      <c r="M39" s="518"/>
      <c r="N39" s="518"/>
      <c r="O39" s="518"/>
      <c r="P39" s="518">
        <v>1035.56</v>
      </c>
      <c r="Q39" s="518"/>
      <c r="R39" s="518"/>
      <c r="S39" s="518"/>
      <c r="T39" s="518"/>
      <c r="U39" s="518"/>
      <c r="V39" s="518"/>
      <c r="W39" s="518"/>
      <c r="X39" s="518"/>
      <c r="Y39" s="518"/>
      <c r="Z39" s="518"/>
      <c r="AK39">
        <v>1035.56</v>
      </c>
      <c r="AL39">
        <v>6673</v>
      </c>
      <c r="AM39" t="s">
        <v>678</v>
      </c>
    </row>
    <row r="40" spans="1:39">
      <c r="A40" s="1091">
        <v>46006</v>
      </c>
      <c r="C40" t="s">
        <v>2398</v>
      </c>
      <c r="D40" s="1092"/>
      <c r="E40" s="1092">
        <v>45</v>
      </c>
      <c r="F40" t="s">
        <v>678</v>
      </c>
      <c r="G40" s="1093" t="s">
        <v>2483</v>
      </c>
      <c r="K40" s="518"/>
      <c r="L40" s="518"/>
      <c r="M40" s="518"/>
      <c r="N40" s="518"/>
      <c r="O40" s="518"/>
      <c r="P40" s="518">
        <v>45</v>
      </c>
      <c r="Q40" s="518"/>
      <c r="R40" s="518"/>
      <c r="S40" s="518"/>
      <c r="T40" s="518"/>
      <c r="U40" s="518"/>
      <c r="V40" s="518"/>
      <c r="W40" s="518"/>
      <c r="X40" s="518"/>
      <c r="Y40" s="518"/>
      <c r="Z40" s="518"/>
      <c r="AK40">
        <v>45</v>
      </c>
      <c r="AL40">
        <v>6673</v>
      </c>
      <c r="AM40" t="s">
        <v>678</v>
      </c>
    </row>
    <row r="41" spans="1:39">
      <c r="A41" s="1091">
        <v>46014</v>
      </c>
      <c r="C41" t="s">
        <v>2399</v>
      </c>
      <c r="D41" s="1092"/>
      <c r="E41" s="1092">
        <v>14</v>
      </c>
      <c r="F41" t="s">
        <v>678</v>
      </c>
      <c r="G41" s="1093" t="s">
        <v>2483</v>
      </c>
      <c r="K41" s="518"/>
      <c r="L41" s="518"/>
      <c r="M41" s="518"/>
      <c r="N41" s="518"/>
      <c r="O41" s="518"/>
      <c r="P41" s="518">
        <v>14</v>
      </c>
      <c r="Q41" s="518"/>
      <c r="R41" s="518"/>
      <c r="S41" s="518"/>
      <c r="T41" s="518"/>
      <c r="U41" s="518"/>
      <c r="V41" s="518"/>
      <c r="W41" s="518"/>
      <c r="X41" s="518"/>
      <c r="Y41" s="518"/>
      <c r="Z41" s="518"/>
      <c r="AK41">
        <v>14</v>
      </c>
      <c r="AL41">
        <v>6673</v>
      </c>
      <c r="AM41" t="s">
        <v>678</v>
      </c>
    </row>
    <row r="42" spans="1:39">
      <c r="A42" s="1091">
        <v>46004</v>
      </c>
      <c r="C42" t="s">
        <v>2396</v>
      </c>
      <c r="D42" s="1092"/>
      <c r="E42" s="1092">
        <v>3.7</v>
      </c>
      <c r="F42" t="s">
        <v>678</v>
      </c>
      <c r="G42" s="1093" t="s">
        <v>2483</v>
      </c>
      <c r="K42" s="518"/>
      <c r="L42" s="518"/>
      <c r="M42" s="518"/>
      <c r="N42" s="518"/>
      <c r="O42" s="518"/>
      <c r="P42" s="518">
        <v>3.7</v>
      </c>
      <c r="Q42" s="518"/>
      <c r="R42" s="518"/>
      <c r="S42" s="518"/>
      <c r="T42" s="518"/>
      <c r="U42" s="518"/>
      <c r="V42" s="518"/>
      <c r="W42" s="518"/>
      <c r="X42" s="518"/>
      <c r="Y42" s="518"/>
      <c r="Z42" s="518"/>
      <c r="AK42">
        <v>3.7</v>
      </c>
      <c r="AL42">
        <v>6673</v>
      </c>
      <c r="AM42" t="s">
        <v>678</v>
      </c>
    </row>
    <row r="43" spans="1:39">
      <c r="A43" s="1091">
        <v>46010</v>
      </c>
      <c r="C43" t="s">
        <v>2459</v>
      </c>
      <c r="D43" s="1092"/>
      <c r="E43" s="1092">
        <v>114.31</v>
      </c>
      <c r="F43" t="s">
        <v>678</v>
      </c>
      <c r="G43" s="1093">
        <v>6530</v>
      </c>
      <c r="K43" s="518"/>
      <c r="L43" s="518"/>
      <c r="M43" s="518"/>
      <c r="N43" s="518"/>
      <c r="O43" s="518"/>
      <c r="P43" s="518"/>
      <c r="Q43" s="518"/>
      <c r="R43" s="518"/>
      <c r="S43" s="518">
        <v>114.31</v>
      </c>
      <c r="T43" s="518"/>
      <c r="U43" s="518"/>
      <c r="V43" s="518"/>
      <c r="W43" s="518"/>
      <c r="X43" s="518"/>
      <c r="Y43" s="518"/>
      <c r="Z43" s="518"/>
      <c r="AK43">
        <v>114.31</v>
      </c>
      <c r="AL43">
        <v>6530</v>
      </c>
      <c r="AM43" t="s">
        <v>678</v>
      </c>
    </row>
    <row r="44" spans="1:39">
      <c r="A44" s="1091">
        <v>46021</v>
      </c>
      <c r="C44" t="s">
        <v>2453</v>
      </c>
      <c r="D44" s="1092"/>
      <c r="E44" s="1092">
        <v>25.43</v>
      </c>
      <c r="F44" t="s">
        <v>678</v>
      </c>
      <c r="G44" s="1093">
        <v>6855</v>
      </c>
      <c r="K44" s="518"/>
      <c r="L44" s="518"/>
      <c r="M44" s="518"/>
      <c r="N44" s="518"/>
      <c r="O44" s="518"/>
      <c r="P44" s="518"/>
      <c r="Q44" s="518"/>
      <c r="R44" s="518"/>
      <c r="S44" s="518"/>
      <c r="T44" s="518"/>
      <c r="U44" s="518"/>
      <c r="V44" s="518"/>
      <c r="W44" s="518">
        <v>25.43</v>
      </c>
      <c r="X44" s="518"/>
      <c r="Y44" s="518"/>
      <c r="Z44" s="518"/>
      <c r="AK44">
        <v>25.43</v>
      </c>
      <c r="AL44">
        <v>6855</v>
      </c>
      <c r="AM44" t="s">
        <v>678</v>
      </c>
    </row>
    <row r="45" spans="1:39">
      <c r="A45" s="1091">
        <v>45992</v>
      </c>
      <c r="C45" t="s">
        <v>2454</v>
      </c>
      <c r="D45" s="1092"/>
      <c r="E45" s="1092">
        <v>20.6</v>
      </c>
      <c r="F45" t="s">
        <v>678</v>
      </c>
      <c r="G45" s="1093" t="s">
        <v>2487</v>
      </c>
      <c r="K45" s="518"/>
      <c r="L45" s="518"/>
      <c r="M45" s="518"/>
      <c r="N45" s="518"/>
      <c r="O45" s="518"/>
      <c r="P45" s="518"/>
      <c r="Q45" s="518"/>
      <c r="R45" s="518"/>
      <c r="S45" s="518"/>
      <c r="T45" s="518"/>
      <c r="U45" s="518">
        <v>20.6</v>
      </c>
      <c r="V45" s="518"/>
      <c r="W45" s="518"/>
      <c r="X45" s="518"/>
      <c r="Y45" s="518"/>
      <c r="Z45" s="518"/>
      <c r="AK45">
        <v>20.6</v>
      </c>
      <c r="AL45">
        <v>6495</v>
      </c>
      <c r="AM45" t="s">
        <v>678</v>
      </c>
    </row>
    <row r="46" spans="1:39">
      <c r="A46" s="1091">
        <v>46009</v>
      </c>
      <c r="C46" t="s">
        <v>2454</v>
      </c>
      <c r="D46" s="1092"/>
      <c r="E46" s="1092">
        <v>22.69</v>
      </c>
      <c r="F46" t="s">
        <v>678</v>
      </c>
      <c r="G46" s="1093" t="s">
        <v>2487</v>
      </c>
      <c r="K46" s="518"/>
      <c r="L46" s="518"/>
      <c r="M46" s="518"/>
      <c r="N46" s="518"/>
      <c r="O46" s="518"/>
      <c r="P46" s="518"/>
      <c r="Q46" s="518"/>
      <c r="R46" s="518"/>
      <c r="S46" s="518"/>
      <c r="T46" s="518"/>
      <c r="U46" s="518">
        <v>22.69</v>
      </c>
      <c r="V46" s="518"/>
      <c r="W46" s="518"/>
      <c r="X46" s="518"/>
      <c r="Y46" s="518"/>
      <c r="Z46" s="518"/>
      <c r="AK46">
        <v>22.69</v>
      </c>
      <c r="AL46">
        <v>6495</v>
      </c>
      <c r="AM46" t="s">
        <v>678</v>
      </c>
    </row>
    <row r="47" spans="1:39">
      <c r="A47" s="1091">
        <v>45998</v>
      </c>
      <c r="C47" t="s">
        <v>2460</v>
      </c>
      <c r="D47" s="1092"/>
      <c r="E47" s="1092">
        <v>109.99</v>
      </c>
      <c r="F47" t="s">
        <v>678</v>
      </c>
      <c r="G47" s="1093" t="s">
        <v>2483</v>
      </c>
      <c r="K47" s="518"/>
      <c r="L47" s="518"/>
      <c r="M47" s="518"/>
      <c r="N47" s="518"/>
      <c r="O47" s="518"/>
      <c r="P47" s="518">
        <v>109.99</v>
      </c>
      <c r="Q47" s="518"/>
      <c r="R47" s="518"/>
      <c r="S47" s="518"/>
      <c r="T47" s="518"/>
      <c r="U47" s="518"/>
      <c r="V47" s="518"/>
      <c r="W47" s="518"/>
      <c r="X47" s="518"/>
      <c r="Y47" s="518"/>
      <c r="Z47" s="518"/>
      <c r="AK47">
        <v>109.99</v>
      </c>
      <c r="AL47">
        <v>6673</v>
      </c>
      <c r="AM47" t="s">
        <v>678</v>
      </c>
    </row>
    <row r="48" spans="1:39">
      <c r="A48" s="1091">
        <v>46004</v>
      </c>
      <c r="C48" t="s">
        <v>2461</v>
      </c>
      <c r="D48" s="1092"/>
      <c r="E48" s="1092">
        <v>169.81</v>
      </c>
      <c r="F48" t="s">
        <v>678</v>
      </c>
      <c r="G48" s="1093" t="s">
        <v>2487</v>
      </c>
      <c r="K48" s="518"/>
      <c r="L48" s="518"/>
      <c r="M48" s="518"/>
      <c r="N48" s="518"/>
      <c r="O48" s="518"/>
      <c r="P48" s="518"/>
      <c r="Q48" s="518"/>
      <c r="R48" s="518"/>
      <c r="S48" s="518"/>
      <c r="T48" s="518"/>
      <c r="U48" s="518">
        <v>169.81</v>
      </c>
      <c r="V48" s="518"/>
      <c r="W48" s="518"/>
      <c r="X48" s="518"/>
      <c r="Y48" s="518"/>
      <c r="Z48" s="518"/>
      <c r="AK48">
        <v>169.81</v>
      </c>
      <c r="AL48">
        <v>6495</v>
      </c>
      <c r="AM48" t="s">
        <v>678</v>
      </c>
    </row>
    <row r="49" spans="1:39">
      <c r="A49" s="1091">
        <v>46005</v>
      </c>
      <c r="C49" t="s">
        <v>207</v>
      </c>
      <c r="D49" s="1092"/>
      <c r="E49" s="1092">
        <v>17.71</v>
      </c>
      <c r="F49" t="s">
        <v>678</v>
      </c>
      <c r="G49" s="1093" t="s">
        <v>2484</v>
      </c>
      <c r="K49" s="518"/>
      <c r="L49" s="518"/>
      <c r="M49" s="518"/>
      <c r="N49" s="518"/>
      <c r="O49" s="518"/>
      <c r="P49" s="518"/>
      <c r="Q49" s="518">
        <v>17.71</v>
      </c>
      <c r="R49" s="518"/>
      <c r="S49" s="518"/>
      <c r="T49" s="518"/>
      <c r="U49" s="518"/>
      <c r="V49" s="518"/>
      <c r="W49" s="518"/>
      <c r="X49" s="518"/>
      <c r="Y49" s="518"/>
      <c r="Z49" s="518"/>
      <c r="AK49">
        <v>17.71</v>
      </c>
      <c r="AL49">
        <v>6673</v>
      </c>
      <c r="AM49" t="s">
        <v>678</v>
      </c>
    </row>
    <row r="50" spans="1:39">
      <c r="A50" s="1091">
        <v>46009</v>
      </c>
      <c r="C50" t="s">
        <v>207</v>
      </c>
      <c r="D50" s="1092"/>
      <c r="E50" s="1092">
        <v>28.62</v>
      </c>
      <c r="F50" t="s">
        <v>678</v>
      </c>
      <c r="G50" s="1093" t="s">
        <v>2484</v>
      </c>
      <c r="K50" s="518"/>
      <c r="L50" s="518"/>
      <c r="M50" s="518"/>
      <c r="N50" s="518"/>
      <c r="O50" s="518"/>
      <c r="P50" s="518"/>
      <c r="Q50" s="518">
        <v>28.62</v>
      </c>
      <c r="R50" s="518"/>
      <c r="S50" s="518"/>
      <c r="T50" s="518"/>
      <c r="U50" s="518"/>
      <c r="V50" s="518"/>
      <c r="W50" s="518"/>
      <c r="X50" s="518"/>
      <c r="Y50" s="518"/>
      <c r="Z50" s="518"/>
      <c r="AK50">
        <v>28.62</v>
      </c>
      <c r="AL50">
        <v>6673</v>
      </c>
      <c r="AM50" t="s">
        <v>678</v>
      </c>
    </row>
    <row r="51" spans="1:39">
      <c r="A51" s="1091">
        <v>45999</v>
      </c>
      <c r="C51" t="s">
        <v>426</v>
      </c>
      <c r="D51" s="1092"/>
      <c r="E51" s="1092">
        <v>34.67</v>
      </c>
      <c r="F51" t="s">
        <v>678</v>
      </c>
      <c r="G51" s="1093" t="s">
        <v>2487</v>
      </c>
      <c r="K51" s="518"/>
      <c r="L51" s="518"/>
      <c r="M51" s="518"/>
      <c r="N51" s="518"/>
      <c r="O51" s="518"/>
      <c r="P51" s="518"/>
      <c r="Q51" s="518"/>
      <c r="R51" s="518"/>
      <c r="S51" s="518"/>
      <c r="T51" s="518"/>
      <c r="U51" s="518">
        <v>34.67</v>
      </c>
      <c r="V51" s="518"/>
      <c r="W51" s="518"/>
      <c r="X51" s="518"/>
      <c r="Y51" s="518"/>
      <c r="Z51" s="518"/>
      <c r="AK51">
        <v>34.67</v>
      </c>
      <c r="AL51">
        <v>6495</v>
      </c>
      <c r="AM51" t="s">
        <v>678</v>
      </c>
    </row>
    <row r="52" spans="1:39">
      <c r="A52" s="1091">
        <v>46019</v>
      </c>
      <c r="C52" t="s">
        <v>426</v>
      </c>
      <c r="D52" s="1092"/>
      <c r="E52" s="1092">
        <v>34.28</v>
      </c>
      <c r="F52" t="s">
        <v>678</v>
      </c>
      <c r="G52" s="1093" t="s">
        <v>2487</v>
      </c>
      <c r="K52" s="518"/>
      <c r="L52" s="518"/>
      <c r="M52" s="518"/>
      <c r="N52" s="518"/>
      <c r="O52" s="518"/>
      <c r="P52" s="518"/>
      <c r="Q52" s="518"/>
      <c r="R52" s="518"/>
      <c r="S52" s="518"/>
      <c r="T52" s="518"/>
      <c r="U52" s="518">
        <v>34.28</v>
      </c>
      <c r="V52" s="518"/>
      <c r="W52" s="518"/>
      <c r="X52" s="518"/>
      <c r="Y52" s="518"/>
      <c r="Z52" s="518"/>
      <c r="AK52">
        <v>34.28</v>
      </c>
      <c r="AL52">
        <v>6495</v>
      </c>
      <c r="AM52" t="s">
        <v>678</v>
      </c>
    </row>
    <row r="53" spans="1:39">
      <c r="A53" s="1091">
        <v>46034</v>
      </c>
      <c r="C53" t="s">
        <v>2462</v>
      </c>
      <c r="D53" s="1092"/>
      <c r="E53" s="1092">
        <v>92.95</v>
      </c>
      <c r="F53" t="s">
        <v>678</v>
      </c>
      <c r="G53" s="1093">
        <v>999</v>
      </c>
      <c r="K53" s="518"/>
      <c r="L53" s="518"/>
      <c r="M53" s="518"/>
      <c r="N53" s="518"/>
      <c r="O53" s="518"/>
      <c r="P53" s="518"/>
      <c r="Q53" s="518"/>
      <c r="R53" s="518"/>
      <c r="S53" s="518"/>
      <c r="T53" s="518"/>
      <c r="U53" s="518"/>
      <c r="V53" s="518"/>
      <c r="W53" s="518"/>
      <c r="X53" s="518"/>
      <c r="Y53" s="518"/>
      <c r="Z53" s="518"/>
      <c r="AA53">
        <v>92.95</v>
      </c>
      <c r="AK53">
        <v>92.95</v>
      </c>
      <c r="AL53">
        <v>999</v>
      </c>
      <c r="AM53" t="s">
        <v>678</v>
      </c>
    </row>
    <row r="54" spans="1:39">
      <c r="A54" s="1091">
        <v>46023</v>
      </c>
      <c r="C54" t="s">
        <v>2447</v>
      </c>
      <c r="D54" s="1092"/>
      <c r="E54" s="1092">
        <v>96.04</v>
      </c>
      <c r="F54" t="s">
        <v>678</v>
      </c>
      <c r="G54" s="1093">
        <v>999</v>
      </c>
      <c r="K54" s="518"/>
      <c r="L54" s="518"/>
      <c r="M54" s="518"/>
      <c r="N54" s="518"/>
      <c r="O54" s="518"/>
      <c r="P54" s="518"/>
      <c r="Q54" s="518"/>
      <c r="R54" s="518"/>
      <c r="S54" s="518"/>
      <c r="T54" s="518"/>
      <c r="U54" s="518"/>
      <c r="V54" s="518"/>
      <c r="W54" s="518"/>
      <c r="X54" s="518"/>
      <c r="Y54" s="518"/>
      <c r="Z54" s="518"/>
      <c r="AA54">
        <v>96.04</v>
      </c>
      <c r="AK54">
        <v>96.04</v>
      </c>
      <c r="AL54">
        <v>999</v>
      </c>
      <c r="AM54" t="s">
        <v>678</v>
      </c>
    </row>
    <row r="55" spans="1:39">
      <c r="A55" s="1091">
        <v>46036</v>
      </c>
      <c r="C55" t="s">
        <v>2463</v>
      </c>
      <c r="D55" s="1092"/>
      <c r="E55" s="1092">
        <v>35.97</v>
      </c>
      <c r="F55" t="s">
        <v>678</v>
      </c>
      <c r="G55" s="1093">
        <v>999</v>
      </c>
      <c r="K55" s="518"/>
      <c r="L55" s="518"/>
      <c r="M55" s="518"/>
      <c r="N55" s="518"/>
      <c r="O55" s="518"/>
      <c r="P55" s="518"/>
      <c r="Q55" s="518"/>
      <c r="R55" s="518"/>
      <c r="S55" s="518"/>
      <c r="T55" s="518"/>
      <c r="U55" s="518"/>
      <c r="V55" s="518"/>
      <c r="W55" s="518"/>
      <c r="X55" s="518"/>
      <c r="Y55" s="518"/>
      <c r="Z55" s="518"/>
      <c r="AA55">
        <v>35.97</v>
      </c>
      <c r="AK55">
        <v>35.97</v>
      </c>
      <c r="AL55">
        <v>999</v>
      </c>
      <c r="AM55" t="s">
        <v>678</v>
      </c>
    </row>
    <row r="56" spans="1:39">
      <c r="A56" s="1091">
        <v>46033</v>
      </c>
      <c r="C56" t="s">
        <v>2464</v>
      </c>
      <c r="D56" s="1092"/>
      <c r="E56" s="1092">
        <v>36.97</v>
      </c>
      <c r="F56" t="s">
        <v>678</v>
      </c>
      <c r="G56" s="1093">
        <v>999</v>
      </c>
      <c r="K56" s="518"/>
      <c r="L56" s="518"/>
      <c r="M56" s="518"/>
      <c r="N56" s="518"/>
      <c r="O56" s="518"/>
      <c r="P56" s="518"/>
      <c r="Q56" s="518"/>
      <c r="R56" s="518"/>
      <c r="S56" s="518"/>
      <c r="T56" s="518"/>
      <c r="U56" s="518"/>
      <c r="V56" s="518"/>
      <c r="W56" s="518"/>
      <c r="X56" s="518"/>
      <c r="Y56" s="518"/>
      <c r="Z56" s="518"/>
      <c r="AA56">
        <v>36.97</v>
      </c>
      <c r="AK56">
        <v>36.97</v>
      </c>
      <c r="AL56">
        <v>999</v>
      </c>
      <c r="AM56" t="s">
        <v>678</v>
      </c>
    </row>
    <row r="57" spans="1:39">
      <c r="A57" s="1091">
        <v>46031</v>
      </c>
      <c r="C57" t="s">
        <v>2465</v>
      </c>
      <c r="D57" s="1092"/>
      <c r="E57" s="1092">
        <v>69.36</v>
      </c>
      <c r="F57" t="s">
        <v>678</v>
      </c>
      <c r="G57" s="1093">
        <v>999</v>
      </c>
      <c r="K57" s="518"/>
      <c r="L57" s="518"/>
      <c r="M57" s="518"/>
      <c r="N57" s="518"/>
      <c r="O57" s="518"/>
      <c r="P57" s="518"/>
      <c r="Q57" s="518"/>
      <c r="R57" s="518"/>
      <c r="S57" s="518"/>
      <c r="T57" s="518"/>
      <c r="U57" s="518"/>
      <c r="V57" s="518"/>
      <c r="W57" s="518"/>
      <c r="X57" s="518"/>
      <c r="Y57" s="518"/>
      <c r="Z57" s="518"/>
      <c r="AA57">
        <v>69.36</v>
      </c>
      <c r="AK57">
        <v>69.36</v>
      </c>
      <c r="AL57">
        <v>999</v>
      </c>
      <c r="AM57" t="s">
        <v>678</v>
      </c>
    </row>
    <row r="58" spans="1:39">
      <c r="A58" s="1091">
        <v>46026</v>
      </c>
      <c r="C58" t="s">
        <v>2466</v>
      </c>
      <c r="D58" s="1092"/>
      <c r="E58" s="1092">
        <v>54.11</v>
      </c>
      <c r="F58" t="s">
        <v>678</v>
      </c>
      <c r="G58" s="1093">
        <v>999</v>
      </c>
      <c r="K58" s="518"/>
      <c r="L58" s="518"/>
      <c r="M58" s="518"/>
      <c r="N58" s="518"/>
      <c r="O58" s="518"/>
      <c r="P58" s="518"/>
      <c r="Q58" s="518"/>
      <c r="R58" s="518"/>
      <c r="S58" s="518"/>
      <c r="T58" s="518"/>
      <c r="U58" s="518"/>
      <c r="V58" s="518"/>
      <c r="W58" s="518"/>
      <c r="X58" s="518"/>
      <c r="Y58" s="518"/>
      <c r="Z58" s="518"/>
      <c r="AA58">
        <v>54.11</v>
      </c>
      <c r="AK58">
        <v>54.11</v>
      </c>
      <c r="AL58">
        <v>999</v>
      </c>
      <c r="AM58" t="s">
        <v>678</v>
      </c>
    </row>
    <row r="59" spans="1:39">
      <c r="A59" s="1091">
        <v>46038</v>
      </c>
      <c r="C59" t="s">
        <v>2467</v>
      </c>
      <c r="D59" s="1092"/>
      <c r="E59" s="1092">
        <v>11.7</v>
      </c>
      <c r="F59" t="s">
        <v>678</v>
      </c>
      <c r="G59" s="1093">
        <v>999</v>
      </c>
      <c r="K59" s="518"/>
      <c r="L59" s="518"/>
      <c r="M59" s="518"/>
      <c r="N59" s="518"/>
      <c r="O59" s="518"/>
      <c r="P59" s="518"/>
      <c r="Q59" s="518"/>
      <c r="R59" s="518"/>
      <c r="S59" s="518"/>
      <c r="T59" s="518"/>
      <c r="U59" s="518"/>
      <c r="V59" s="518"/>
      <c r="W59" s="518"/>
      <c r="X59" s="518"/>
      <c r="Y59" s="518"/>
      <c r="Z59" s="518"/>
      <c r="AA59">
        <v>11.7</v>
      </c>
      <c r="AK59">
        <v>11.7</v>
      </c>
      <c r="AL59">
        <v>999</v>
      </c>
      <c r="AM59" t="s">
        <v>678</v>
      </c>
    </row>
    <row r="60" spans="1:39">
      <c r="A60" s="1091">
        <v>46038</v>
      </c>
      <c r="C60" t="s">
        <v>2451</v>
      </c>
      <c r="D60" s="1092"/>
      <c r="E60" s="1092">
        <v>38.799999999999997</v>
      </c>
      <c r="F60" t="s">
        <v>678</v>
      </c>
      <c r="G60" s="1093">
        <v>999</v>
      </c>
      <c r="K60" s="518"/>
      <c r="L60" s="518"/>
      <c r="M60" s="518"/>
      <c r="N60" s="518"/>
      <c r="O60" s="518"/>
      <c r="P60" s="518"/>
      <c r="Q60" s="518"/>
      <c r="R60" s="518"/>
      <c r="S60" s="518"/>
      <c r="T60" s="518"/>
      <c r="U60" s="518"/>
      <c r="V60" s="518"/>
      <c r="W60" s="518"/>
      <c r="X60" s="518"/>
      <c r="Y60" s="518"/>
      <c r="Z60" s="518"/>
      <c r="AA60">
        <v>38.799999999999997</v>
      </c>
      <c r="AK60">
        <v>38.799999999999997</v>
      </c>
      <c r="AL60">
        <v>999</v>
      </c>
      <c r="AM60" t="s">
        <v>678</v>
      </c>
    </row>
    <row r="61" spans="1:39">
      <c r="A61" s="1091">
        <v>46045</v>
      </c>
      <c r="C61" t="s">
        <v>2319</v>
      </c>
      <c r="D61" s="1092"/>
      <c r="E61" s="1092">
        <v>11.55</v>
      </c>
      <c r="F61" t="s">
        <v>678</v>
      </c>
      <c r="G61" s="1093">
        <v>6805</v>
      </c>
      <c r="K61" s="518"/>
      <c r="L61" s="518"/>
      <c r="M61" s="518"/>
      <c r="N61" s="518">
        <v>11.55</v>
      </c>
      <c r="O61" s="518"/>
      <c r="P61" s="518"/>
      <c r="Q61" s="518"/>
      <c r="R61" s="518"/>
      <c r="S61" s="518"/>
      <c r="T61" s="518"/>
      <c r="U61" s="518"/>
      <c r="V61" s="518"/>
      <c r="W61" s="518"/>
      <c r="X61" s="518"/>
      <c r="Y61" s="518"/>
      <c r="Z61" s="518"/>
      <c r="AK61">
        <v>11.55</v>
      </c>
      <c r="AL61">
        <v>6805</v>
      </c>
      <c r="AM61" t="s">
        <v>678</v>
      </c>
    </row>
    <row r="62" spans="1:39">
      <c r="A62" s="1091">
        <v>46038</v>
      </c>
      <c r="C62" t="s">
        <v>2468</v>
      </c>
      <c r="D62" s="1092"/>
      <c r="E62" s="1092">
        <v>5.39</v>
      </c>
      <c r="F62" t="s">
        <v>678</v>
      </c>
      <c r="G62" s="1093" t="s">
        <v>2487</v>
      </c>
      <c r="K62" s="518"/>
      <c r="L62" s="518"/>
      <c r="M62" s="518"/>
      <c r="N62" s="518"/>
      <c r="O62" s="518"/>
      <c r="P62" s="518"/>
      <c r="Q62" s="518"/>
      <c r="R62" s="518"/>
      <c r="S62" s="518"/>
      <c r="T62" s="518"/>
      <c r="U62" s="518">
        <v>5.39</v>
      </c>
      <c r="V62" s="518"/>
      <c r="W62" s="518"/>
      <c r="X62" s="518"/>
      <c r="Y62" s="518"/>
      <c r="Z62" s="518"/>
      <c r="AK62">
        <v>5.39</v>
      </c>
      <c r="AL62">
        <v>6495</v>
      </c>
      <c r="AM62" t="s">
        <v>678</v>
      </c>
    </row>
    <row r="63" spans="1:39">
      <c r="A63" s="1091">
        <v>46052</v>
      </c>
      <c r="C63" t="s">
        <v>2469</v>
      </c>
      <c r="D63" s="1092"/>
      <c r="E63" s="1092">
        <v>45</v>
      </c>
      <c r="F63" t="s">
        <v>678</v>
      </c>
      <c r="G63" s="1093" t="s">
        <v>2483</v>
      </c>
      <c r="K63" s="518"/>
      <c r="L63" s="518"/>
      <c r="M63" s="518"/>
      <c r="N63" s="518"/>
      <c r="O63" s="518"/>
      <c r="P63" s="518">
        <v>45</v>
      </c>
      <c r="Q63" s="518"/>
      <c r="R63" s="518"/>
      <c r="S63" s="518"/>
      <c r="T63" s="518"/>
      <c r="U63" s="518"/>
      <c r="V63" s="518"/>
      <c r="W63" s="518"/>
      <c r="X63" s="518"/>
      <c r="Y63" s="518"/>
      <c r="Z63" s="518"/>
      <c r="AK63">
        <v>45</v>
      </c>
      <c r="AL63">
        <v>6673</v>
      </c>
      <c r="AM63" t="s">
        <v>678</v>
      </c>
    </row>
    <row r="64" spans="1:39">
      <c r="A64" s="1091">
        <v>46048</v>
      </c>
      <c r="C64" t="s">
        <v>2453</v>
      </c>
      <c r="D64" s="1092"/>
      <c r="E64" s="1092">
        <v>13.26</v>
      </c>
      <c r="F64" t="s">
        <v>678</v>
      </c>
      <c r="G64" s="1093">
        <v>6855</v>
      </c>
      <c r="K64" s="518"/>
      <c r="L64" s="518"/>
      <c r="M64" s="518"/>
      <c r="N64" s="518"/>
      <c r="O64" s="518"/>
      <c r="P64" s="518"/>
      <c r="Q64" s="518"/>
      <c r="R64" s="518"/>
      <c r="S64" s="518"/>
      <c r="T64" s="518"/>
      <c r="U64" s="518"/>
      <c r="V64" s="518"/>
      <c r="W64" s="518">
        <v>13.26</v>
      </c>
      <c r="X64" s="518"/>
      <c r="Y64" s="518"/>
      <c r="Z64" s="518"/>
      <c r="AK64">
        <v>13.26</v>
      </c>
      <c r="AL64">
        <v>6855</v>
      </c>
      <c r="AM64" t="s">
        <v>678</v>
      </c>
    </row>
    <row r="65" spans="1:39">
      <c r="A65" s="1091">
        <v>46023</v>
      </c>
      <c r="C65" t="s">
        <v>2454</v>
      </c>
      <c r="D65" s="1092"/>
      <c r="E65" s="1092">
        <v>20.309999999999999</v>
      </c>
      <c r="F65" t="s">
        <v>678</v>
      </c>
      <c r="G65" s="1093" t="s">
        <v>2487</v>
      </c>
      <c r="K65" s="518"/>
      <c r="L65" s="518"/>
      <c r="M65" s="518"/>
      <c r="N65" s="518"/>
      <c r="O65" s="518"/>
      <c r="P65" s="518"/>
      <c r="Q65" s="518"/>
      <c r="R65" s="518"/>
      <c r="S65" s="518"/>
      <c r="T65" s="518"/>
      <c r="U65" s="518">
        <v>20.309999999999999</v>
      </c>
      <c r="V65" s="518"/>
      <c r="W65" s="518"/>
      <c r="X65" s="518"/>
      <c r="Y65" s="518"/>
      <c r="Z65" s="518"/>
      <c r="AK65">
        <v>20.309999999999999</v>
      </c>
      <c r="AL65">
        <v>6495</v>
      </c>
      <c r="AM65" t="s">
        <v>678</v>
      </c>
    </row>
    <row r="66" spans="1:39">
      <c r="A66" s="1091">
        <v>46040</v>
      </c>
      <c r="C66" t="s">
        <v>2454</v>
      </c>
      <c r="D66" s="1092"/>
      <c r="E66" s="1092">
        <v>22.92</v>
      </c>
      <c r="F66" t="s">
        <v>678</v>
      </c>
      <c r="G66" s="1093" t="s">
        <v>2487</v>
      </c>
      <c r="K66" s="518"/>
      <c r="L66" s="518"/>
      <c r="M66" s="518"/>
      <c r="N66" s="518"/>
      <c r="O66" s="518"/>
      <c r="P66" s="518"/>
      <c r="Q66" s="518"/>
      <c r="R66" s="518"/>
      <c r="S66" s="518"/>
      <c r="T66" s="518"/>
      <c r="U66" s="518">
        <v>22.92</v>
      </c>
      <c r="V66" s="518"/>
      <c r="W66" s="518"/>
      <c r="X66" s="518"/>
      <c r="Y66" s="518"/>
      <c r="Z66" s="518"/>
      <c r="AK66">
        <v>22.92</v>
      </c>
      <c r="AL66">
        <v>6495</v>
      </c>
      <c r="AM66" t="s">
        <v>678</v>
      </c>
    </row>
    <row r="67" spans="1:39">
      <c r="A67" s="1091">
        <v>46026</v>
      </c>
      <c r="C67" t="s">
        <v>2470</v>
      </c>
      <c r="D67" s="1092"/>
      <c r="E67" s="1092">
        <v>649.9</v>
      </c>
      <c r="F67" t="s">
        <v>678</v>
      </c>
      <c r="G67" s="1093">
        <v>999</v>
      </c>
      <c r="K67" s="518"/>
      <c r="L67" s="518"/>
      <c r="M67" s="518"/>
      <c r="N67" s="518"/>
      <c r="O67" s="518"/>
      <c r="P67" s="518"/>
      <c r="Q67" s="518"/>
      <c r="R67" s="518"/>
      <c r="S67" s="518"/>
      <c r="T67" s="518"/>
      <c r="U67" s="518"/>
      <c r="V67" s="518"/>
      <c r="W67" s="518"/>
      <c r="X67" s="518"/>
      <c r="Y67" s="518"/>
      <c r="Z67" s="518"/>
      <c r="AA67">
        <v>649.9</v>
      </c>
      <c r="AK67">
        <v>649.9</v>
      </c>
      <c r="AL67">
        <v>999</v>
      </c>
      <c r="AM67" t="s">
        <v>678</v>
      </c>
    </row>
    <row r="68" spans="1:39">
      <c r="A68" s="1091">
        <v>46053</v>
      </c>
      <c r="C68" t="s">
        <v>2471</v>
      </c>
      <c r="D68" s="1092"/>
      <c r="E68" s="1092">
        <v>16.010000000000002</v>
      </c>
      <c r="F68" t="s">
        <v>678</v>
      </c>
      <c r="G68" s="1093" t="s">
        <v>2487</v>
      </c>
      <c r="K68" s="518"/>
      <c r="L68" s="518"/>
      <c r="M68" s="518"/>
      <c r="N68" s="518"/>
      <c r="O68" s="518"/>
      <c r="P68" s="518"/>
      <c r="Q68" s="518"/>
      <c r="R68" s="518"/>
      <c r="S68" s="518"/>
      <c r="T68" s="518"/>
      <c r="U68" s="518">
        <v>16.010000000000002</v>
      </c>
      <c r="V68" s="518"/>
      <c r="W68" s="518"/>
      <c r="X68" s="518"/>
      <c r="Y68" s="518"/>
      <c r="Z68" s="518"/>
      <c r="AK68">
        <v>16.010000000000002</v>
      </c>
      <c r="AL68">
        <v>6495</v>
      </c>
      <c r="AM68" t="s">
        <v>678</v>
      </c>
    </row>
    <row r="69" spans="1:39">
      <c r="A69" s="1091">
        <v>46030</v>
      </c>
      <c r="C69" t="s">
        <v>426</v>
      </c>
      <c r="D69" s="1092"/>
      <c r="E69" s="1092">
        <v>34.64</v>
      </c>
      <c r="F69" t="s">
        <v>678</v>
      </c>
      <c r="G69" s="1093" t="s">
        <v>2487</v>
      </c>
      <c r="K69" s="518"/>
      <c r="L69" s="518"/>
      <c r="M69" s="518"/>
      <c r="N69" s="518"/>
      <c r="O69" s="518"/>
      <c r="P69" s="518"/>
      <c r="Q69" s="518"/>
      <c r="R69" s="518"/>
      <c r="S69" s="518"/>
      <c r="T69" s="518"/>
      <c r="U69" s="518">
        <v>34.64</v>
      </c>
      <c r="V69" s="518"/>
      <c r="W69" s="518"/>
      <c r="X69" s="518"/>
      <c r="Y69" s="518"/>
      <c r="Z69" s="518"/>
      <c r="AK69">
        <v>34.64</v>
      </c>
      <c r="AL69">
        <v>6495</v>
      </c>
      <c r="AM69" t="s">
        <v>678</v>
      </c>
    </row>
    <row r="70" spans="1:39">
      <c r="A70" s="1091">
        <v>46036</v>
      </c>
      <c r="C70" t="s">
        <v>2472</v>
      </c>
      <c r="D70" s="1092"/>
      <c r="E70" s="1092">
        <v>8.9600000000000009</v>
      </c>
      <c r="F70" t="s">
        <v>678</v>
      </c>
      <c r="G70" s="1093" t="s">
        <v>2484</v>
      </c>
      <c r="K70" s="518"/>
      <c r="L70" s="518"/>
      <c r="M70" s="518"/>
      <c r="N70" s="518"/>
      <c r="O70" s="518"/>
      <c r="P70" s="518"/>
      <c r="Q70" s="518">
        <v>8.9600000000000009</v>
      </c>
      <c r="R70" s="518"/>
      <c r="S70" s="518"/>
      <c r="T70" s="518"/>
      <c r="U70" s="518"/>
      <c r="V70" s="518"/>
      <c r="W70" s="518"/>
      <c r="X70" s="518"/>
      <c r="Y70" s="518"/>
      <c r="Z70" s="518"/>
      <c r="AK70">
        <v>8.9600000000000009</v>
      </c>
      <c r="AL70">
        <v>6673</v>
      </c>
      <c r="AM70" t="s">
        <v>678</v>
      </c>
    </row>
    <row r="71" spans="1:39">
      <c r="A71" s="1091">
        <v>46036</v>
      </c>
      <c r="C71" t="s">
        <v>2472</v>
      </c>
      <c r="D71" s="1092"/>
      <c r="E71" s="1092">
        <v>7.93</v>
      </c>
      <c r="F71" t="s">
        <v>678</v>
      </c>
      <c r="G71" s="1093" t="s">
        <v>2484</v>
      </c>
      <c r="K71" s="518"/>
      <c r="L71" s="518"/>
      <c r="M71" s="518"/>
      <c r="N71" s="518"/>
      <c r="O71" s="518"/>
      <c r="P71" s="518"/>
      <c r="Q71" s="518">
        <v>7.93</v>
      </c>
      <c r="R71" s="518"/>
      <c r="S71" s="518"/>
      <c r="T71" s="518"/>
      <c r="U71" s="518"/>
      <c r="V71" s="518"/>
      <c r="W71" s="518"/>
      <c r="X71" s="518"/>
      <c r="Y71" s="518"/>
      <c r="Z71" s="518"/>
      <c r="AK71">
        <v>7.93</v>
      </c>
      <c r="AL71">
        <v>6673</v>
      </c>
      <c r="AM71" t="s">
        <v>678</v>
      </c>
    </row>
    <row r="72" spans="1:39">
      <c r="A72" s="1091">
        <v>46052</v>
      </c>
      <c r="C72" t="s">
        <v>2472</v>
      </c>
      <c r="D72" s="1092"/>
      <c r="E72" s="1092">
        <v>2</v>
      </c>
      <c r="F72" t="s">
        <v>678</v>
      </c>
      <c r="G72" s="1093" t="s">
        <v>2484</v>
      </c>
      <c r="K72" s="518"/>
      <c r="L72" s="518"/>
      <c r="M72" s="518"/>
      <c r="N72" s="518"/>
      <c r="O72" s="518"/>
      <c r="P72" s="518"/>
      <c r="Q72" s="518">
        <v>2</v>
      </c>
      <c r="R72" s="518"/>
      <c r="S72" s="518"/>
      <c r="T72" s="518"/>
      <c r="U72" s="518"/>
      <c r="V72" s="518"/>
      <c r="W72" s="518"/>
      <c r="X72" s="518"/>
      <c r="Y72" s="518"/>
      <c r="Z72" s="518"/>
      <c r="AK72">
        <v>2</v>
      </c>
      <c r="AL72">
        <v>6673</v>
      </c>
      <c r="AM72" t="s">
        <v>678</v>
      </c>
    </row>
    <row r="73" spans="1:39">
      <c r="A73" s="1091">
        <v>46066</v>
      </c>
      <c r="C73" t="s">
        <v>2473</v>
      </c>
      <c r="D73" s="1092"/>
      <c r="E73" s="1092">
        <v>20.77</v>
      </c>
      <c r="F73" t="s">
        <v>678</v>
      </c>
      <c r="G73" s="1093">
        <v>999</v>
      </c>
      <c r="K73" s="518"/>
      <c r="L73" s="518"/>
      <c r="M73" s="518"/>
      <c r="N73" s="518"/>
      <c r="O73" s="518"/>
      <c r="P73" s="518"/>
      <c r="Q73" s="518"/>
      <c r="R73" s="518"/>
      <c r="S73" s="518"/>
      <c r="T73" s="518"/>
      <c r="U73" s="518"/>
      <c r="V73" s="518"/>
      <c r="W73" s="518"/>
      <c r="X73" s="518"/>
      <c r="Y73" s="518"/>
      <c r="Z73" s="518"/>
      <c r="AA73">
        <v>20.77</v>
      </c>
      <c r="AK73">
        <v>20.77</v>
      </c>
      <c r="AL73">
        <v>999</v>
      </c>
      <c r="AM73" t="s">
        <v>678</v>
      </c>
    </row>
    <row r="74" spans="1:39">
      <c r="A74" s="1091">
        <v>46070</v>
      </c>
      <c r="C74" t="s">
        <v>2467</v>
      </c>
      <c r="D74" s="1092"/>
      <c r="E74" s="1092">
        <v>11.7</v>
      </c>
      <c r="F74" t="s">
        <v>678</v>
      </c>
      <c r="G74" s="1093">
        <v>999</v>
      </c>
      <c r="K74" s="518"/>
      <c r="L74" s="518"/>
      <c r="M74" s="518"/>
      <c r="N74" s="518"/>
      <c r="O74" s="518"/>
      <c r="P74" s="518"/>
      <c r="Q74" s="518"/>
      <c r="R74" s="518"/>
      <c r="S74" s="518"/>
      <c r="T74" s="518"/>
      <c r="U74" s="518"/>
      <c r="V74" s="518"/>
      <c r="W74" s="518"/>
      <c r="X74" s="518"/>
      <c r="Y74" s="518"/>
      <c r="Z74" s="518"/>
      <c r="AA74">
        <v>11.7</v>
      </c>
      <c r="AK74">
        <v>11.7</v>
      </c>
      <c r="AL74">
        <v>999</v>
      </c>
      <c r="AM74" t="s">
        <v>678</v>
      </c>
    </row>
    <row r="75" spans="1:39">
      <c r="A75" s="1091">
        <v>46065</v>
      </c>
      <c r="C75" t="s">
        <v>2474</v>
      </c>
      <c r="D75" s="1092"/>
      <c r="E75" s="1092">
        <v>15.1</v>
      </c>
      <c r="F75" t="s">
        <v>678</v>
      </c>
      <c r="G75" s="1093">
        <v>999</v>
      </c>
      <c r="K75" s="518"/>
      <c r="L75" s="518"/>
      <c r="M75" s="518"/>
      <c r="N75" s="518"/>
      <c r="O75" s="518"/>
      <c r="P75" s="518"/>
      <c r="Q75" s="518"/>
      <c r="R75" s="518"/>
      <c r="S75" s="518"/>
      <c r="T75" s="518"/>
      <c r="U75" s="518"/>
      <c r="V75" s="518"/>
      <c r="W75" s="518"/>
      <c r="X75" s="518"/>
      <c r="Y75" s="518"/>
      <c r="Z75" s="518"/>
      <c r="AA75">
        <v>15.1</v>
      </c>
      <c r="AK75">
        <v>15.1</v>
      </c>
      <c r="AL75">
        <v>999</v>
      </c>
      <c r="AM75" t="s">
        <v>678</v>
      </c>
    </row>
    <row r="76" spans="1:39">
      <c r="A76" s="1091">
        <v>46069</v>
      </c>
      <c r="C76" t="s">
        <v>2468</v>
      </c>
      <c r="D76" s="1092"/>
      <c r="E76" s="1092">
        <v>5.39</v>
      </c>
      <c r="F76" t="s">
        <v>678</v>
      </c>
      <c r="G76" s="1093" t="s">
        <v>2487</v>
      </c>
      <c r="K76" s="518"/>
      <c r="L76" s="518"/>
      <c r="M76" s="518"/>
      <c r="N76" s="518"/>
      <c r="O76" s="518"/>
      <c r="P76" s="518"/>
      <c r="Q76" s="518"/>
      <c r="R76" s="518"/>
      <c r="S76" s="518"/>
      <c r="T76" s="518"/>
      <c r="U76" s="518">
        <v>5.39</v>
      </c>
      <c r="V76" s="518"/>
      <c r="W76" s="518"/>
      <c r="X76" s="518"/>
      <c r="Y76" s="518"/>
      <c r="Z76" s="518"/>
      <c r="AK76">
        <v>5.39</v>
      </c>
      <c r="AL76">
        <v>6495</v>
      </c>
      <c r="AM76" t="s">
        <v>678</v>
      </c>
    </row>
    <row r="77" spans="1:39">
      <c r="A77" s="1091">
        <v>46055</v>
      </c>
      <c r="C77" t="s">
        <v>2475</v>
      </c>
      <c r="D77" s="1092"/>
      <c r="E77" s="1092">
        <v>261.62</v>
      </c>
      <c r="F77" t="s">
        <v>678</v>
      </c>
      <c r="G77" s="1093" t="s">
        <v>2483</v>
      </c>
      <c r="K77" s="518"/>
      <c r="L77" s="518"/>
      <c r="M77" s="518"/>
      <c r="N77" s="518"/>
      <c r="O77" s="518"/>
      <c r="P77" s="518">
        <v>261.62</v>
      </c>
      <c r="Q77" s="518"/>
      <c r="R77" s="518"/>
      <c r="S77" s="518"/>
      <c r="T77" s="518"/>
      <c r="U77" s="518"/>
      <c r="V77" s="518"/>
      <c r="W77" s="518"/>
      <c r="X77" s="518"/>
      <c r="Y77" s="518"/>
      <c r="Z77" s="518"/>
      <c r="AK77">
        <v>261.62</v>
      </c>
      <c r="AL77">
        <v>6673</v>
      </c>
      <c r="AM77" t="s">
        <v>678</v>
      </c>
    </row>
    <row r="78" spans="1:39">
      <c r="A78" s="1091">
        <v>46066</v>
      </c>
      <c r="C78" t="s">
        <v>2453</v>
      </c>
      <c r="D78" s="1092"/>
      <c r="E78" s="1092">
        <v>12.2</v>
      </c>
      <c r="F78" t="s">
        <v>678</v>
      </c>
      <c r="G78" s="1093">
        <v>6855</v>
      </c>
      <c r="K78" s="518"/>
      <c r="L78" s="518"/>
      <c r="M78" s="518"/>
      <c r="N78" s="518"/>
      <c r="O78" s="518"/>
      <c r="P78" s="518"/>
      <c r="Q78" s="518"/>
      <c r="R78" s="518"/>
      <c r="S78" s="518"/>
      <c r="T78" s="518"/>
      <c r="U78" s="518"/>
      <c r="V78" s="518"/>
      <c r="W78" s="518">
        <v>12.2</v>
      </c>
      <c r="X78" s="518"/>
      <c r="Y78" s="518"/>
      <c r="Z78" s="518"/>
      <c r="AK78">
        <v>12.2</v>
      </c>
      <c r="AL78">
        <v>6855</v>
      </c>
      <c r="AM78" t="s">
        <v>678</v>
      </c>
    </row>
    <row r="79" spans="1:39">
      <c r="A79" s="1091">
        <v>46054</v>
      </c>
      <c r="C79" t="s">
        <v>2454</v>
      </c>
      <c r="D79" s="1092"/>
      <c r="E79" s="1092">
        <v>20.05</v>
      </c>
      <c r="F79" t="s">
        <v>678</v>
      </c>
      <c r="G79" t="s">
        <v>2487</v>
      </c>
      <c r="K79" s="518"/>
      <c r="L79" s="518"/>
      <c r="M79" s="518"/>
      <c r="N79" s="518"/>
      <c r="O79" s="518"/>
      <c r="P79" s="518"/>
      <c r="Q79" s="518"/>
      <c r="R79" s="518"/>
      <c r="S79" s="518"/>
      <c r="T79" s="518"/>
      <c r="U79" s="518">
        <v>20.05</v>
      </c>
      <c r="V79" s="518"/>
      <c r="W79" s="518"/>
      <c r="X79" s="518"/>
      <c r="Y79" s="518"/>
      <c r="Z79" s="518"/>
      <c r="AK79">
        <v>20.05</v>
      </c>
      <c r="AL79">
        <v>6495</v>
      </c>
      <c r="AM79" t="s">
        <v>678</v>
      </c>
    </row>
    <row r="80" spans="1:39">
      <c r="A80" s="1091">
        <v>46056</v>
      </c>
      <c r="C80" t="s">
        <v>2476</v>
      </c>
      <c r="D80" s="1092"/>
      <c r="E80" s="1092">
        <v>74.989999999999995</v>
      </c>
      <c r="F80" t="s">
        <v>678</v>
      </c>
      <c r="G80" s="1093">
        <v>999</v>
      </c>
      <c r="K80" s="518"/>
      <c r="L80" s="518"/>
      <c r="M80" s="518"/>
      <c r="N80" s="518"/>
      <c r="O80" s="518"/>
      <c r="P80" s="518"/>
      <c r="Q80" s="518"/>
      <c r="R80" s="518"/>
      <c r="S80" s="518"/>
      <c r="T80" s="518"/>
      <c r="U80" s="518"/>
      <c r="V80" s="518"/>
      <c r="W80" s="518"/>
      <c r="X80" s="518"/>
      <c r="Y80" s="518"/>
      <c r="Z80" s="518"/>
      <c r="AA80">
        <v>74.989999999999995</v>
      </c>
      <c r="AK80">
        <v>74.989999999999995</v>
      </c>
      <c r="AL80">
        <v>999</v>
      </c>
      <c r="AM80" t="s">
        <v>678</v>
      </c>
    </row>
    <row r="81" spans="1:39">
      <c r="A81" s="1091">
        <v>46070</v>
      </c>
      <c r="C81" t="s">
        <v>426</v>
      </c>
      <c r="D81" s="1092"/>
      <c r="E81" s="1092">
        <v>34.659999999999997</v>
      </c>
      <c r="F81" t="s">
        <v>678</v>
      </c>
      <c r="G81" s="1093" t="s">
        <v>2487</v>
      </c>
      <c r="K81" s="518"/>
      <c r="L81" s="518"/>
      <c r="M81" s="518"/>
      <c r="N81" s="518"/>
      <c r="O81" s="518"/>
      <c r="P81" s="518"/>
      <c r="Q81" s="518"/>
      <c r="R81" s="518"/>
      <c r="S81" s="518"/>
      <c r="T81" s="518"/>
      <c r="U81" s="518">
        <v>34.659999999999997</v>
      </c>
      <c r="V81" s="518"/>
      <c r="W81" s="518"/>
      <c r="X81" s="518"/>
      <c r="Y81" s="518"/>
      <c r="Z81" s="518"/>
      <c r="AK81">
        <v>34.659999999999997</v>
      </c>
      <c r="AL81">
        <v>6495</v>
      </c>
      <c r="AM81" t="s">
        <v>678</v>
      </c>
    </row>
    <row r="82" spans="1:39">
      <c r="A82" s="1091">
        <v>46029</v>
      </c>
      <c r="C82" t="s">
        <v>2477</v>
      </c>
      <c r="D82" s="1092"/>
      <c r="E82" s="1092">
        <v>60.8</v>
      </c>
      <c r="F82" t="s">
        <v>2439</v>
      </c>
      <c r="G82" s="1093">
        <v>999</v>
      </c>
      <c r="H82" s="518"/>
      <c r="I82" s="518"/>
      <c r="J82" s="518"/>
      <c r="K82" s="518"/>
      <c r="L82" s="518"/>
      <c r="M82" s="518"/>
      <c r="N82" s="518"/>
      <c r="O82" s="518"/>
      <c r="P82" s="518"/>
      <c r="Q82" s="518"/>
      <c r="R82" s="518"/>
      <c r="S82" s="518"/>
      <c r="T82" s="518"/>
      <c r="U82" s="518"/>
      <c r="V82" s="518"/>
      <c r="W82" s="518"/>
      <c r="X82" s="518"/>
      <c r="Y82" s="518"/>
      <c r="Z82" s="518"/>
      <c r="AA82">
        <v>60.8</v>
      </c>
      <c r="AK82">
        <v>60.8</v>
      </c>
      <c r="AL82">
        <v>999</v>
      </c>
      <c r="AM82" t="s">
        <v>2439</v>
      </c>
    </row>
    <row r="83" spans="1:39">
      <c r="A83" s="1091">
        <v>46029</v>
      </c>
      <c r="C83" t="s">
        <v>2477</v>
      </c>
      <c r="D83" s="1092"/>
      <c r="E83" s="1092">
        <v>45</v>
      </c>
      <c r="F83" t="s">
        <v>2439</v>
      </c>
      <c r="G83" s="1093">
        <v>999</v>
      </c>
      <c r="H83" s="518"/>
      <c r="I83" s="518"/>
      <c r="J83" s="518"/>
      <c r="K83" s="518"/>
      <c r="L83" s="518"/>
      <c r="M83" s="518"/>
      <c r="N83" s="518"/>
      <c r="O83" s="518"/>
      <c r="P83" s="518"/>
      <c r="Q83" s="518"/>
      <c r="R83" s="518"/>
      <c r="S83" s="518"/>
      <c r="T83" s="518"/>
      <c r="U83" s="518"/>
      <c r="V83" s="518"/>
      <c r="W83" s="518"/>
      <c r="X83" s="518"/>
      <c r="Y83" s="518"/>
      <c r="Z83" s="518"/>
      <c r="AA83">
        <v>45</v>
      </c>
      <c r="AK83">
        <v>45</v>
      </c>
      <c r="AL83">
        <v>999</v>
      </c>
      <c r="AM83" t="s">
        <v>2439</v>
      </c>
    </row>
    <row r="84" spans="1:39">
      <c r="A84" s="1091">
        <v>46034</v>
      </c>
      <c r="C84" t="s">
        <v>2477</v>
      </c>
      <c r="D84" s="1092">
        <v>500</v>
      </c>
      <c r="E84" s="1092"/>
      <c r="F84" t="s">
        <v>2439</v>
      </c>
      <c r="G84" s="1093">
        <v>999</v>
      </c>
      <c r="H84" s="518"/>
      <c r="I84" s="518"/>
      <c r="J84" s="518"/>
      <c r="K84" s="518"/>
      <c r="L84" s="518"/>
      <c r="M84" s="518"/>
      <c r="N84" s="518"/>
      <c r="O84" s="518"/>
      <c r="P84" s="518"/>
      <c r="Q84" s="518"/>
      <c r="R84" s="518"/>
      <c r="S84" s="518"/>
      <c r="T84" s="518"/>
      <c r="U84" s="518"/>
      <c r="V84" s="518"/>
      <c r="W84" s="518"/>
      <c r="X84" s="518"/>
      <c r="Y84" s="518"/>
      <c r="Z84" s="518"/>
      <c r="AA84">
        <v>500</v>
      </c>
      <c r="AK84">
        <v>500</v>
      </c>
      <c r="AL84">
        <v>999</v>
      </c>
      <c r="AM84" t="s">
        <v>2439</v>
      </c>
    </row>
    <row r="85" spans="1:39">
      <c r="A85" s="1091">
        <v>46034</v>
      </c>
      <c r="C85" t="s">
        <v>2477</v>
      </c>
      <c r="D85" s="1092"/>
      <c r="E85" s="1092">
        <v>408.94</v>
      </c>
      <c r="F85" t="s">
        <v>2439</v>
      </c>
      <c r="G85" s="1093">
        <v>999</v>
      </c>
      <c r="H85" s="518"/>
      <c r="I85" s="518"/>
      <c r="J85" s="518"/>
      <c r="K85" s="518"/>
      <c r="L85" s="518"/>
      <c r="M85" s="518"/>
      <c r="N85" s="518"/>
      <c r="O85" s="518"/>
      <c r="P85" s="518"/>
      <c r="Q85" s="518"/>
      <c r="R85" s="518"/>
      <c r="S85" s="518"/>
      <c r="T85" s="518"/>
      <c r="U85" s="518"/>
      <c r="V85" s="518"/>
      <c r="W85" s="518"/>
      <c r="X85" s="518"/>
      <c r="Y85" s="518"/>
      <c r="Z85" s="518"/>
      <c r="AA85">
        <v>408.94</v>
      </c>
      <c r="AK85">
        <v>408.94</v>
      </c>
      <c r="AL85">
        <v>999</v>
      </c>
      <c r="AM85" t="s">
        <v>2439</v>
      </c>
    </row>
    <row r="86" spans="1:39">
      <c r="A86" s="1091">
        <v>46036</v>
      </c>
      <c r="C86" t="s">
        <v>2477</v>
      </c>
      <c r="D86" s="1092"/>
      <c r="E86" s="1092">
        <v>50</v>
      </c>
      <c r="F86" t="s">
        <v>2439</v>
      </c>
      <c r="G86" s="1093">
        <v>999</v>
      </c>
      <c r="H86" s="518"/>
      <c r="I86" s="518"/>
      <c r="J86" s="518"/>
      <c r="K86" s="518"/>
      <c r="L86" s="518"/>
      <c r="M86" s="518"/>
      <c r="N86" s="518"/>
      <c r="O86" s="518"/>
      <c r="P86" s="518"/>
      <c r="Q86" s="518"/>
      <c r="R86" s="518"/>
      <c r="S86" s="518"/>
      <c r="T86" s="518"/>
      <c r="U86" s="518"/>
      <c r="V86" s="518"/>
      <c r="W86" s="518"/>
      <c r="X86" s="518"/>
      <c r="Y86" s="518"/>
      <c r="Z86" s="518"/>
      <c r="AA86">
        <v>50</v>
      </c>
      <c r="AK86">
        <v>50</v>
      </c>
      <c r="AL86">
        <v>999</v>
      </c>
      <c r="AM86" t="s">
        <v>2439</v>
      </c>
    </row>
    <row r="87" spans="1:39">
      <c r="A87" s="1091">
        <v>46038</v>
      </c>
      <c r="C87" t="s">
        <v>2477</v>
      </c>
      <c r="D87" s="1092"/>
      <c r="E87" s="1092">
        <v>17.41</v>
      </c>
      <c r="F87" t="s">
        <v>2439</v>
      </c>
      <c r="G87" s="1093">
        <v>999</v>
      </c>
      <c r="H87" s="518"/>
      <c r="I87" s="518"/>
      <c r="J87" s="518"/>
      <c r="K87" s="518"/>
      <c r="L87" s="518"/>
      <c r="M87" s="518"/>
      <c r="N87" s="518"/>
      <c r="O87" s="518"/>
      <c r="P87" s="518"/>
      <c r="Q87" s="518"/>
      <c r="R87" s="518"/>
      <c r="S87" s="518"/>
      <c r="T87" s="518"/>
      <c r="U87" s="518"/>
      <c r="V87" s="518"/>
      <c r="W87" s="518"/>
      <c r="X87" s="518"/>
      <c r="Y87" s="518"/>
      <c r="Z87" s="518"/>
      <c r="AA87">
        <v>17.41</v>
      </c>
      <c r="AK87">
        <v>17.41</v>
      </c>
      <c r="AL87">
        <v>999</v>
      </c>
      <c r="AM87" t="s">
        <v>2439</v>
      </c>
    </row>
    <row r="88" spans="1:39">
      <c r="A88" s="1091">
        <v>46042</v>
      </c>
      <c r="C88" t="s">
        <v>2477</v>
      </c>
      <c r="D88" s="1092">
        <v>100</v>
      </c>
      <c r="E88" s="1092"/>
      <c r="F88" t="s">
        <v>2439</v>
      </c>
      <c r="G88" s="1093">
        <v>999</v>
      </c>
      <c r="H88" s="518"/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8"/>
      <c r="T88" s="518"/>
      <c r="U88" s="518"/>
      <c r="V88" s="518"/>
      <c r="W88" s="518"/>
      <c r="X88" s="518"/>
      <c r="Y88" s="518"/>
      <c r="Z88" s="518"/>
      <c r="AA88">
        <v>100</v>
      </c>
      <c r="AK88">
        <v>100</v>
      </c>
      <c r="AL88">
        <v>999</v>
      </c>
      <c r="AM88" t="s">
        <v>2439</v>
      </c>
    </row>
    <row r="89" spans="1:39">
      <c r="A89" s="1091">
        <v>46042</v>
      </c>
      <c r="C89" t="s">
        <v>2477</v>
      </c>
      <c r="D89" s="1092">
        <v>650</v>
      </c>
      <c r="E89" s="1092"/>
      <c r="F89" t="s">
        <v>2439</v>
      </c>
      <c r="G89" s="1093">
        <v>999</v>
      </c>
      <c r="H89" s="518"/>
      <c r="I89" s="518"/>
      <c r="J89" s="518"/>
      <c r="K89" s="518"/>
      <c r="L89" s="518"/>
      <c r="M89" s="518"/>
      <c r="N89" s="518"/>
      <c r="O89" s="518"/>
      <c r="P89" s="518"/>
      <c r="Q89" s="518"/>
      <c r="R89" s="518"/>
      <c r="S89" s="518"/>
      <c r="T89" s="518"/>
      <c r="U89" s="518"/>
      <c r="V89" s="518"/>
      <c r="W89" s="518"/>
      <c r="X89" s="518"/>
      <c r="Y89" s="518"/>
      <c r="Z89" s="518"/>
      <c r="AA89">
        <v>650</v>
      </c>
      <c r="AK89">
        <v>650</v>
      </c>
      <c r="AL89">
        <v>999</v>
      </c>
      <c r="AM89" t="s">
        <v>2439</v>
      </c>
    </row>
    <row r="90" spans="1:39">
      <c r="A90" s="1091">
        <v>46042</v>
      </c>
      <c r="C90" t="s">
        <v>2477</v>
      </c>
      <c r="D90" s="1092"/>
      <c r="E90" s="1092">
        <v>550</v>
      </c>
      <c r="F90" t="s">
        <v>2439</v>
      </c>
      <c r="G90" s="1093">
        <v>999</v>
      </c>
      <c r="H90" s="518"/>
      <c r="I90" s="518"/>
      <c r="J90" s="518"/>
      <c r="K90" s="518"/>
      <c r="L90" s="518"/>
      <c r="M90" s="518"/>
      <c r="N90" s="518"/>
      <c r="O90" s="518"/>
      <c r="P90" s="518"/>
      <c r="Q90" s="518"/>
      <c r="R90" s="518"/>
      <c r="S90" s="518"/>
      <c r="T90" s="518"/>
      <c r="U90" s="518"/>
      <c r="V90" s="518"/>
      <c r="W90" s="518"/>
      <c r="X90" s="518"/>
      <c r="Y90" s="518"/>
      <c r="Z90" s="518"/>
      <c r="AA90">
        <v>550</v>
      </c>
      <c r="AK90">
        <v>550</v>
      </c>
      <c r="AL90">
        <v>999</v>
      </c>
      <c r="AM90" t="s">
        <v>2439</v>
      </c>
    </row>
    <row r="91" spans="1:39">
      <c r="A91" s="1091">
        <v>46044</v>
      </c>
      <c r="C91" t="s">
        <v>2477</v>
      </c>
      <c r="D91" s="1092">
        <v>80</v>
      </c>
      <c r="E91" s="1092"/>
      <c r="F91" t="s">
        <v>2439</v>
      </c>
      <c r="G91" s="1093">
        <v>999</v>
      </c>
      <c r="H91" s="518"/>
      <c r="I91" s="518"/>
      <c r="J91" s="518"/>
      <c r="K91" s="518"/>
      <c r="L91" s="518"/>
      <c r="M91" s="518"/>
      <c r="N91" s="518"/>
      <c r="O91" s="518"/>
      <c r="P91" s="518"/>
      <c r="Q91" s="518"/>
      <c r="R91" s="518"/>
      <c r="S91" s="518"/>
      <c r="T91" s="518"/>
      <c r="U91" s="518"/>
      <c r="V91" s="518"/>
      <c r="W91" s="518"/>
      <c r="X91" s="518"/>
      <c r="Y91" s="518"/>
      <c r="Z91" s="518"/>
      <c r="AA91">
        <v>80</v>
      </c>
      <c r="AK91">
        <v>80</v>
      </c>
      <c r="AL91">
        <v>999</v>
      </c>
      <c r="AM91" t="s">
        <v>2439</v>
      </c>
    </row>
    <row r="92" spans="1:39">
      <c r="A92" s="1091">
        <v>46046</v>
      </c>
      <c r="C92" t="s">
        <v>2477</v>
      </c>
      <c r="D92" s="1092"/>
      <c r="E92" s="1092">
        <v>34.47</v>
      </c>
      <c r="F92" t="s">
        <v>2439</v>
      </c>
      <c r="G92" s="1093">
        <v>999</v>
      </c>
      <c r="H92" s="518"/>
      <c r="I92" s="518"/>
      <c r="J92" s="518"/>
      <c r="K92" s="518"/>
      <c r="L92" s="518"/>
      <c r="M92" s="518"/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  <c r="AA92">
        <v>34.47</v>
      </c>
      <c r="AK92">
        <v>34.47</v>
      </c>
      <c r="AL92">
        <v>999</v>
      </c>
      <c r="AM92" t="s">
        <v>2439</v>
      </c>
    </row>
    <row r="93" spans="1:39">
      <c r="A93" s="1091">
        <v>46046</v>
      </c>
      <c r="C93" t="s">
        <v>2477</v>
      </c>
      <c r="D93" s="1092"/>
      <c r="E93" s="1092">
        <v>105.33</v>
      </c>
      <c r="F93" t="s">
        <v>2439</v>
      </c>
      <c r="G93" s="1093">
        <v>999</v>
      </c>
      <c r="H93" s="518"/>
      <c r="I93" s="518"/>
      <c r="J93" s="518"/>
      <c r="K93" s="518"/>
      <c r="L93" s="518"/>
      <c r="M93" s="518"/>
      <c r="N93" s="518"/>
      <c r="O93" s="518"/>
      <c r="P93" s="518"/>
      <c r="Q93" s="518"/>
      <c r="R93" s="518"/>
      <c r="S93" s="518"/>
      <c r="T93" s="518"/>
      <c r="U93" s="518"/>
      <c r="V93" s="518"/>
      <c r="W93" s="518"/>
      <c r="X93" s="518"/>
      <c r="Y93" s="518"/>
      <c r="Z93" s="518"/>
      <c r="AA93">
        <v>105.33</v>
      </c>
      <c r="AK93">
        <v>105.33</v>
      </c>
      <c r="AL93">
        <v>999</v>
      </c>
      <c r="AM93" t="s">
        <v>2439</v>
      </c>
    </row>
    <row r="94" spans="1:39">
      <c r="A94" s="1091">
        <v>46050</v>
      </c>
      <c r="C94" t="s">
        <v>2477</v>
      </c>
      <c r="D94" s="1092"/>
      <c r="E94" s="1092">
        <v>20</v>
      </c>
      <c r="F94" t="s">
        <v>2439</v>
      </c>
      <c r="G94" s="1093">
        <v>999</v>
      </c>
      <c r="H94" s="518"/>
      <c r="I94" s="518"/>
      <c r="J94" s="518"/>
      <c r="K94" s="518"/>
      <c r="L94" s="518"/>
      <c r="M94" s="518"/>
      <c r="N94" s="518"/>
      <c r="O94" s="518"/>
      <c r="P94" s="518"/>
      <c r="Q94" s="518"/>
      <c r="R94" s="518"/>
      <c r="S94" s="518"/>
      <c r="T94" s="518"/>
      <c r="U94" s="518"/>
      <c r="V94" s="518"/>
      <c r="W94" s="518"/>
      <c r="X94" s="518"/>
      <c r="Y94" s="518"/>
      <c r="Z94" s="518"/>
      <c r="AA94">
        <v>20</v>
      </c>
      <c r="AK94">
        <v>20</v>
      </c>
      <c r="AL94">
        <v>999</v>
      </c>
      <c r="AM94" t="s">
        <v>2439</v>
      </c>
    </row>
    <row r="95" spans="1:39">
      <c r="A95" s="1091">
        <v>46053</v>
      </c>
      <c r="C95" t="s">
        <v>2477</v>
      </c>
      <c r="D95" s="1092"/>
      <c r="E95" s="1092">
        <v>60</v>
      </c>
      <c r="F95" t="s">
        <v>2439</v>
      </c>
      <c r="G95" s="1093">
        <v>999</v>
      </c>
      <c r="H95" s="518"/>
      <c r="I95" s="518"/>
      <c r="J95" s="518"/>
      <c r="K95" s="518"/>
      <c r="L95" s="518"/>
      <c r="M95" s="518"/>
      <c r="N95" s="518"/>
      <c r="O95" s="518"/>
      <c r="P95" s="518"/>
      <c r="Q95" s="518"/>
      <c r="R95" s="518"/>
      <c r="S95" s="518"/>
      <c r="T95" s="518"/>
      <c r="U95" s="518"/>
      <c r="V95" s="518"/>
      <c r="W95" s="518"/>
      <c r="X95" s="518"/>
      <c r="Y95" s="518"/>
      <c r="Z95" s="518"/>
      <c r="AA95">
        <v>60</v>
      </c>
      <c r="AK95">
        <v>60</v>
      </c>
      <c r="AL95">
        <v>999</v>
      </c>
      <c r="AM95" t="s">
        <v>2439</v>
      </c>
    </row>
    <row r="96" spans="1:39">
      <c r="A96" s="1091">
        <v>46055</v>
      </c>
      <c r="C96" t="s">
        <v>2477</v>
      </c>
      <c r="D96" s="1092"/>
      <c r="E96" s="1092">
        <v>60</v>
      </c>
      <c r="F96" t="s">
        <v>2439</v>
      </c>
      <c r="G96" s="1093">
        <v>999</v>
      </c>
      <c r="H96" s="518"/>
      <c r="I96" s="518"/>
      <c r="J96" s="518"/>
      <c r="K96" s="518"/>
      <c r="L96" s="518"/>
      <c r="M96" s="518"/>
      <c r="N96" s="518"/>
      <c r="O96" s="518"/>
      <c r="P96" s="518"/>
      <c r="Q96" s="518"/>
      <c r="R96" s="518"/>
      <c r="S96" s="518"/>
      <c r="T96" s="518"/>
      <c r="U96" s="518"/>
      <c r="V96" s="518"/>
      <c r="W96" s="518"/>
      <c r="X96" s="518"/>
      <c r="Y96" s="518"/>
      <c r="Z96" s="518"/>
      <c r="AA96">
        <v>60</v>
      </c>
      <c r="AK96">
        <v>60</v>
      </c>
      <c r="AL96">
        <v>999</v>
      </c>
      <c r="AM96" t="s">
        <v>2439</v>
      </c>
    </row>
    <row r="97" spans="1:39">
      <c r="A97" s="1091">
        <v>46062</v>
      </c>
      <c r="C97" t="s">
        <v>2477</v>
      </c>
      <c r="D97" s="1092"/>
      <c r="E97" s="1092">
        <v>30</v>
      </c>
      <c r="F97" t="s">
        <v>2439</v>
      </c>
      <c r="G97" s="1093">
        <v>999</v>
      </c>
      <c r="H97" s="518"/>
      <c r="I97" s="518"/>
      <c r="J97" s="518"/>
      <c r="K97" s="518"/>
      <c r="L97" s="518"/>
      <c r="M97" s="518"/>
      <c r="N97" s="518"/>
      <c r="O97" s="518"/>
      <c r="P97" s="518"/>
      <c r="Q97" s="518"/>
      <c r="R97" s="518"/>
      <c r="S97" s="518"/>
      <c r="T97" s="518"/>
      <c r="U97" s="518"/>
      <c r="V97" s="518"/>
      <c r="W97" s="518"/>
      <c r="X97" s="518"/>
      <c r="Y97" s="518"/>
      <c r="Z97" s="518"/>
      <c r="AA97">
        <v>30</v>
      </c>
      <c r="AK97">
        <v>30</v>
      </c>
      <c r="AL97">
        <v>999</v>
      </c>
      <c r="AM97" t="s">
        <v>2439</v>
      </c>
    </row>
    <row r="98" spans="1:39">
      <c r="A98" s="1091">
        <v>46066</v>
      </c>
      <c r="C98" t="s">
        <v>2477</v>
      </c>
      <c r="D98" s="1092">
        <v>500</v>
      </c>
      <c r="E98" s="1092"/>
      <c r="F98" t="s">
        <v>2439</v>
      </c>
      <c r="G98" s="1093">
        <v>999</v>
      </c>
      <c r="H98" s="518"/>
      <c r="I98" s="518"/>
      <c r="J98" s="518"/>
      <c r="K98" s="518"/>
      <c r="L98" s="518"/>
      <c r="M98" s="518"/>
      <c r="N98" s="518"/>
      <c r="O98" s="518"/>
      <c r="P98" s="518"/>
      <c r="Q98" s="518"/>
      <c r="R98" s="518"/>
      <c r="S98" s="518"/>
      <c r="T98" s="518"/>
      <c r="U98" s="518"/>
      <c r="V98" s="518"/>
      <c r="W98" s="518"/>
      <c r="X98" s="518"/>
      <c r="Y98" s="518"/>
      <c r="Z98" s="518"/>
      <c r="AA98">
        <v>500</v>
      </c>
      <c r="AK98">
        <v>500</v>
      </c>
      <c r="AL98">
        <v>999</v>
      </c>
      <c r="AM98" t="s">
        <v>2439</v>
      </c>
    </row>
    <row r="99" spans="1:39">
      <c r="A99" s="1091">
        <v>46066</v>
      </c>
      <c r="C99" t="s">
        <v>2477</v>
      </c>
      <c r="D99" s="1092"/>
      <c r="E99" s="1092">
        <v>95</v>
      </c>
      <c r="F99" t="s">
        <v>2439</v>
      </c>
      <c r="G99" s="1093">
        <v>999</v>
      </c>
      <c r="H99" s="518"/>
      <c r="I99" s="518"/>
      <c r="J99" s="518"/>
      <c r="K99" s="518"/>
      <c r="L99" s="518"/>
      <c r="M99" s="518"/>
      <c r="N99" s="518"/>
      <c r="O99" s="518"/>
      <c r="P99" s="518"/>
      <c r="Q99" s="518"/>
      <c r="R99" s="518"/>
      <c r="S99" s="518"/>
      <c r="T99" s="518"/>
      <c r="U99" s="518"/>
      <c r="V99" s="518"/>
      <c r="W99" s="518"/>
      <c r="X99" s="518"/>
      <c r="Y99" s="518"/>
      <c r="Z99" s="518"/>
      <c r="AA99">
        <v>95</v>
      </c>
      <c r="AK99">
        <v>95</v>
      </c>
      <c r="AL99">
        <v>999</v>
      </c>
      <c r="AM99" t="s">
        <v>2439</v>
      </c>
    </row>
    <row r="100" spans="1:39">
      <c r="A100" s="1091">
        <v>46066</v>
      </c>
      <c r="C100" t="s">
        <v>2477</v>
      </c>
      <c r="D100" s="1092"/>
      <c r="E100" s="1092">
        <v>125</v>
      </c>
      <c r="F100" t="s">
        <v>2439</v>
      </c>
      <c r="G100" s="1093">
        <v>999</v>
      </c>
      <c r="H100" s="518"/>
      <c r="I100" s="518"/>
      <c r="J100" s="518"/>
      <c r="K100" s="518"/>
      <c r="L100" s="518"/>
      <c r="M100" s="518"/>
      <c r="N100" s="518"/>
      <c r="O100" s="518"/>
      <c r="P100" s="518"/>
      <c r="Q100" s="518"/>
      <c r="R100" s="518"/>
      <c r="S100" s="518"/>
      <c r="T100" s="518"/>
      <c r="U100" s="518"/>
      <c r="V100" s="518"/>
      <c r="W100" s="518"/>
      <c r="X100" s="518"/>
      <c r="Y100" s="518"/>
      <c r="Z100" s="518"/>
      <c r="AA100">
        <v>125</v>
      </c>
      <c r="AK100">
        <v>125</v>
      </c>
      <c r="AL100">
        <v>999</v>
      </c>
      <c r="AM100" t="s">
        <v>2439</v>
      </c>
    </row>
    <row r="101" spans="1:39">
      <c r="A101" s="1091">
        <v>46069</v>
      </c>
      <c r="C101" t="s">
        <v>2477</v>
      </c>
      <c r="D101" s="1092">
        <v>500</v>
      </c>
      <c r="E101" s="1092"/>
      <c r="F101" t="s">
        <v>2439</v>
      </c>
      <c r="G101" s="1093">
        <v>999</v>
      </c>
      <c r="H101" s="518"/>
      <c r="I101" s="518"/>
      <c r="J101" s="518"/>
      <c r="K101" s="518"/>
      <c r="L101" s="518"/>
      <c r="M101" s="518"/>
      <c r="N101" s="518"/>
      <c r="O101" s="518"/>
      <c r="P101" s="518"/>
      <c r="Q101" s="518"/>
      <c r="R101" s="518"/>
      <c r="S101" s="518"/>
      <c r="T101" s="518"/>
      <c r="U101" s="518"/>
      <c r="V101" s="518"/>
      <c r="W101" s="518"/>
      <c r="X101" s="518"/>
      <c r="Y101" s="518"/>
      <c r="Z101" s="518"/>
      <c r="AA101">
        <v>500</v>
      </c>
      <c r="AK101">
        <v>500</v>
      </c>
      <c r="AL101">
        <v>999</v>
      </c>
      <c r="AM101" t="s">
        <v>2439</v>
      </c>
    </row>
    <row r="102" spans="1:39">
      <c r="A102" s="1091">
        <v>46069</v>
      </c>
      <c r="C102" t="s">
        <v>2477</v>
      </c>
      <c r="D102" s="1092"/>
      <c r="E102" s="1092">
        <v>435.87</v>
      </c>
      <c r="F102" t="s">
        <v>2439</v>
      </c>
      <c r="G102" s="1093">
        <v>999</v>
      </c>
      <c r="H102" s="518"/>
      <c r="I102" s="518"/>
      <c r="J102" s="518"/>
      <c r="K102" s="518"/>
      <c r="L102" s="518"/>
      <c r="M102" s="518"/>
      <c r="N102" s="518"/>
      <c r="O102" s="518"/>
      <c r="P102" s="518"/>
      <c r="Q102" s="518"/>
      <c r="R102" s="518"/>
      <c r="S102" s="518"/>
      <c r="T102" s="518"/>
      <c r="U102" s="518"/>
      <c r="V102" s="518"/>
      <c r="W102" s="518"/>
      <c r="X102" s="518"/>
      <c r="Y102" s="518"/>
      <c r="Z102" s="518"/>
      <c r="AA102">
        <v>435.87</v>
      </c>
      <c r="AK102">
        <v>435.87</v>
      </c>
      <c r="AL102">
        <v>999</v>
      </c>
      <c r="AM102" t="s">
        <v>2439</v>
      </c>
    </row>
    <row r="103" spans="1:39">
      <c r="A103" s="1091">
        <v>46034</v>
      </c>
      <c r="C103" t="s">
        <v>2478</v>
      </c>
      <c r="D103" s="1092"/>
      <c r="E103" s="1092">
        <v>500</v>
      </c>
      <c r="F103" t="s">
        <v>2439</v>
      </c>
      <c r="G103" s="1093">
        <v>999</v>
      </c>
      <c r="H103" s="518"/>
      <c r="I103" s="518"/>
      <c r="J103" s="518"/>
      <c r="K103" s="518"/>
      <c r="L103" s="518"/>
      <c r="M103" s="518"/>
      <c r="N103" s="518"/>
      <c r="O103" s="518"/>
      <c r="P103" s="518"/>
      <c r="Q103" s="518"/>
      <c r="R103" s="518"/>
      <c r="S103" s="518"/>
      <c r="T103" s="518"/>
      <c r="U103" s="518"/>
      <c r="V103" s="518"/>
      <c r="W103" s="518"/>
      <c r="X103" s="518"/>
      <c r="Y103" s="518"/>
      <c r="Z103" s="518"/>
      <c r="AA103">
        <v>500</v>
      </c>
      <c r="AK103">
        <v>500</v>
      </c>
      <c r="AL103">
        <v>999</v>
      </c>
      <c r="AM103" t="s">
        <v>2439</v>
      </c>
    </row>
    <row r="104" spans="1:39">
      <c r="A104" s="1091">
        <v>46030</v>
      </c>
      <c r="C104" t="s">
        <v>2479</v>
      </c>
      <c r="D104" s="1092">
        <v>800</v>
      </c>
      <c r="E104" s="1092"/>
      <c r="F104" t="s">
        <v>2439</v>
      </c>
      <c r="G104" s="1093">
        <v>999</v>
      </c>
      <c r="H104" s="518"/>
      <c r="I104" s="518"/>
      <c r="J104" s="518"/>
      <c r="K104" s="518"/>
      <c r="L104" s="518"/>
      <c r="M104" s="518"/>
      <c r="N104" s="518"/>
      <c r="O104" s="518"/>
      <c r="P104" s="518"/>
      <c r="Q104" s="518"/>
      <c r="R104" s="518"/>
      <c r="S104" s="518"/>
      <c r="T104" s="518"/>
      <c r="U104" s="518"/>
      <c r="V104" s="518"/>
      <c r="W104" s="518"/>
      <c r="X104" s="518"/>
      <c r="Y104" s="518"/>
      <c r="Z104" s="518"/>
      <c r="AA104">
        <v>800</v>
      </c>
      <c r="AK104">
        <v>800</v>
      </c>
      <c r="AL104">
        <v>999</v>
      </c>
      <c r="AM104" t="s">
        <v>2439</v>
      </c>
    </row>
    <row r="105" spans="1:39">
      <c r="A105" s="1091">
        <v>46034</v>
      </c>
      <c r="C105" t="s">
        <v>2479</v>
      </c>
      <c r="D105" s="1092"/>
      <c r="E105" s="1092">
        <v>8000</v>
      </c>
      <c r="F105" t="s">
        <v>2439</v>
      </c>
      <c r="G105" s="1093">
        <v>999</v>
      </c>
      <c r="H105" s="518"/>
      <c r="I105" s="518"/>
      <c r="J105" s="518"/>
      <c r="K105" s="518"/>
      <c r="L105" s="518"/>
      <c r="M105" s="518"/>
      <c r="N105" s="518"/>
      <c r="O105" s="518"/>
      <c r="P105" s="518"/>
      <c r="Q105" s="518"/>
      <c r="R105" s="518"/>
      <c r="S105" s="518"/>
      <c r="T105" s="518"/>
      <c r="U105" s="518"/>
      <c r="V105" s="518"/>
      <c r="W105" s="518"/>
      <c r="X105" s="518"/>
      <c r="Y105" s="518"/>
      <c r="Z105" s="518"/>
      <c r="AA105">
        <v>8000</v>
      </c>
      <c r="AK105">
        <v>8000</v>
      </c>
      <c r="AL105">
        <v>999</v>
      </c>
      <c r="AM105" t="s">
        <v>2439</v>
      </c>
    </row>
    <row r="106" spans="1:39">
      <c r="A106" s="1091">
        <v>46041</v>
      </c>
      <c r="C106" t="s">
        <v>2479</v>
      </c>
      <c r="D106" s="1092">
        <v>6462</v>
      </c>
      <c r="E106" s="1092"/>
      <c r="F106" t="s">
        <v>2439</v>
      </c>
      <c r="G106" s="1093">
        <v>999</v>
      </c>
      <c r="H106" s="518"/>
      <c r="I106" s="518"/>
      <c r="J106" s="518"/>
      <c r="K106" s="518"/>
      <c r="L106" s="518"/>
      <c r="M106" s="518"/>
      <c r="N106" s="518"/>
      <c r="O106" s="518"/>
      <c r="P106" s="518"/>
      <c r="Q106" s="518"/>
      <c r="R106" s="518"/>
      <c r="S106" s="518"/>
      <c r="T106" s="518"/>
      <c r="U106" s="518"/>
      <c r="V106" s="518"/>
      <c r="W106" s="518"/>
      <c r="X106" s="518"/>
      <c r="Y106" s="518"/>
      <c r="Z106" s="518"/>
      <c r="AA106">
        <v>6462</v>
      </c>
      <c r="AK106">
        <v>6462</v>
      </c>
      <c r="AL106">
        <v>999</v>
      </c>
      <c r="AM106" t="s">
        <v>2439</v>
      </c>
    </row>
    <row r="107" spans="1:39">
      <c r="A107" s="1091">
        <v>46042</v>
      </c>
      <c r="C107" t="s">
        <v>2479</v>
      </c>
      <c r="D107" s="1092"/>
      <c r="E107" s="1092">
        <v>650</v>
      </c>
      <c r="F107" t="s">
        <v>2439</v>
      </c>
      <c r="G107" s="1093">
        <v>999</v>
      </c>
      <c r="H107" s="518"/>
      <c r="I107" s="518"/>
      <c r="J107" s="518"/>
      <c r="K107" s="518"/>
      <c r="L107" s="518"/>
      <c r="M107" s="518"/>
      <c r="N107" s="518"/>
      <c r="O107" s="518"/>
      <c r="P107" s="518"/>
      <c r="Q107" s="518"/>
      <c r="R107" s="518"/>
      <c r="S107" s="518"/>
      <c r="T107" s="518"/>
      <c r="U107" s="518"/>
      <c r="V107" s="518"/>
      <c r="W107" s="518"/>
      <c r="X107" s="518"/>
      <c r="Y107" s="518"/>
      <c r="Z107" s="518"/>
      <c r="AA107">
        <v>650</v>
      </c>
      <c r="AK107">
        <v>650</v>
      </c>
      <c r="AL107">
        <v>999</v>
      </c>
      <c r="AM107" t="s">
        <v>2439</v>
      </c>
    </row>
    <row r="108" spans="1:39">
      <c r="A108" s="1091">
        <v>46042</v>
      </c>
      <c r="C108" t="s">
        <v>2479</v>
      </c>
      <c r="D108" s="1092"/>
      <c r="E108" s="1092">
        <v>100</v>
      </c>
      <c r="F108" t="s">
        <v>2439</v>
      </c>
      <c r="G108" s="1093">
        <v>999</v>
      </c>
      <c r="H108" s="518"/>
      <c r="I108" s="518"/>
      <c r="J108" s="518"/>
      <c r="K108" s="518"/>
      <c r="L108" s="518"/>
      <c r="M108" s="518"/>
      <c r="N108" s="518"/>
      <c r="O108" s="518"/>
      <c r="P108" s="518"/>
      <c r="Q108" s="518"/>
      <c r="R108" s="518"/>
      <c r="S108" s="518"/>
      <c r="T108" s="518"/>
      <c r="U108" s="518"/>
      <c r="V108" s="518"/>
      <c r="W108" s="518"/>
      <c r="X108" s="518"/>
      <c r="Y108" s="518"/>
      <c r="Z108" s="518"/>
      <c r="AA108">
        <v>100</v>
      </c>
      <c r="AK108">
        <v>100</v>
      </c>
      <c r="AL108">
        <v>999</v>
      </c>
      <c r="AM108" t="s">
        <v>2439</v>
      </c>
    </row>
    <row r="109" spans="1:39">
      <c r="A109" s="1091">
        <v>46043</v>
      </c>
      <c r="C109" t="s">
        <v>2479</v>
      </c>
      <c r="D109" s="1092">
        <v>8100</v>
      </c>
      <c r="E109" s="1092"/>
      <c r="F109" t="s">
        <v>2439</v>
      </c>
      <c r="G109" s="1093">
        <v>999</v>
      </c>
      <c r="H109" s="518"/>
      <c r="I109" s="518"/>
      <c r="J109" s="518"/>
      <c r="K109" s="518"/>
      <c r="L109" s="518"/>
      <c r="M109" s="518"/>
      <c r="N109" s="518"/>
      <c r="O109" s="518"/>
      <c r="P109" s="518"/>
      <c r="Q109" s="518"/>
      <c r="R109" s="518"/>
      <c r="S109" s="518"/>
      <c r="T109" s="518"/>
      <c r="U109" s="518"/>
      <c r="V109" s="518"/>
      <c r="W109" s="518"/>
      <c r="X109" s="518"/>
      <c r="Y109" s="518"/>
      <c r="Z109" s="518"/>
      <c r="AA109">
        <v>8100</v>
      </c>
      <c r="AK109">
        <v>8100</v>
      </c>
      <c r="AL109">
        <v>999</v>
      </c>
      <c r="AM109" t="s">
        <v>2439</v>
      </c>
    </row>
    <row r="110" spans="1:39">
      <c r="A110" s="1091">
        <v>46031</v>
      </c>
      <c r="B110" t="s">
        <v>2491</v>
      </c>
      <c r="C110" t="s">
        <v>2299</v>
      </c>
      <c r="D110" s="1092">
        <v>8895</v>
      </c>
      <c r="E110" s="1092"/>
      <c r="F110" t="s">
        <v>2439</v>
      </c>
      <c r="G110" s="1093" t="s">
        <v>2485</v>
      </c>
      <c r="H110" s="518">
        <v>8895</v>
      </c>
      <c r="I110" s="518"/>
      <c r="J110" s="518"/>
      <c r="K110" s="518"/>
      <c r="L110" s="518"/>
      <c r="M110" s="518"/>
      <c r="N110" s="518"/>
      <c r="O110" s="518"/>
      <c r="P110" s="518"/>
      <c r="Q110" s="518"/>
      <c r="R110" s="518"/>
      <c r="S110" s="518"/>
      <c r="T110" s="518"/>
      <c r="U110" s="518"/>
      <c r="V110" s="518"/>
      <c r="W110" s="518"/>
      <c r="X110" s="518"/>
      <c r="Y110" s="518"/>
      <c r="Z110" s="518"/>
      <c r="AK110">
        <v>8895</v>
      </c>
      <c r="AL110">
        <v>4338</v>
      </c>
      <c r="AM110" t="s">
        <v>2439</v>
      </c>
    </row>
    <row r="111" spans="1:39">
      <c r="A111" s="1091">
        <v>46034</v>
      </c>
      <c r="C111" t="s">
        <v>48</v>
      </c>
      <c r="D111" s="1092"/>
      <c r="E111" s="1092">
        <v>9.5</v>
      </c>
      <c r="F111" t="s">
        <v>2439</v>
      </c>
      <c r="G111" s="1093">
        <v>6855</v>
      </c>
      <c r="H111" s="518"/>
      <c r="I111" s="518"/>
      <c r="J111" s="518"/>
      <c r="K111" s="518"/>
      <c r="L111" s="518"/>
      <c r="M111" s="518"/>
      <c r="N111" s="518"/>
      <c r="O111" s="518"/>
      <c r="P111" s="518"/>
      <c r="Q111" s="518"/>
      <c r="R111" s="518"/>
      <c r="S111" s="518"/>
      <c r="T111" s="518"/>
      <c r="U111" s="518"/>
      <c r="V111" s="518"/>
      <c r="W111" s="518">
        <v>9.5</v>
      </c>
      <c r="X111" s="518"/>
      <c r="Y111" s="518"/>
      <c r="Z111" s="518"/>
      <c r="AK111">
        <v>9.5</v>
      </c>
      <c r="AL111">
        <v>6855</v>
      </c>
      <c r="AM111" t="s">
        <v>2439</v>
      </c>
    </row>
    <row r="112" spans="1:39">
      <c r="A112" s="1091">
        <v>46041</v>
      </c>
      <c r="C112" t="s">
        <v>2347</v>
      </c>
      <c r="D112" s="1092"/>
      <c r="E112" s="1092">
        <v>6462</v>
      </c>
      <c r="F112" t="s">
        <v>2439</v>
      </c>
      <c r="G112" s="1093" t="s">
        <v>2482</v>
      </c>
      <c r="H112" s="518"/>
      <c r="I112" s="518"/>
      <c r="J112" s="518"/>
      <c r="K112" s="518">
        <v>6462</v>
      </c>
      <c r="L112" s="518"/>
      <c r="M112" s="518"/>
      <c r="N112" s="518"/>
      <c r="O112" s="518"/>
      <c r="P112" s="518"/>
      <c r="Q112" s="518"/>
      <c r="R112" s="518"/>
      <c r="S112" s="518"/>
      <c r="T112" s="518"/>
      <c r="U112" s="518"/>
      <c r="V112" s="518"/>
      <c r="W112" s="518"/>
      <c r="X112" s="518"/>
      <c r="Y112" s="518"/>
      <c r="Z112" s="518"/>
      <c r="AK112">
        <v>6462</v>
      </c>
      <c r="AL112">
        <v>4338</v>
      </c>
      <c r="AM112" t="s">
        <v>2439</v>
      </c>
    </row>
    <row r="113" spans="1:39">
      <c r="A113" s="1091">
        <v>46041</v>
      </c>
      <c r="C113" t="s">
        <v>2347</v>
      </c>
      <c r="D113" s="1092"/>
      <c r="E113" s="1092">
        <v>3115</v>
      </c>
      <c r="F113" t="s">
        <v>2439</v>
      </c>
      <c r="G113" s="1093" t="s">
        <v>2482</v>
      </c>
      <c r="H113" s="518"/>
      <c r="I113" s="518"/>
      <c r="J113" s="518"/>
      <c r="K113" s="518">
        <v>3115</v>
      </c>
      <c r="L113" s="518"/>
      <c r="M113" s="518"/>
      <c r="N113" s="518"/>
      <c r="O113" s="518"/>
      <c r="P113" s="518"/>
      <c r="Q113" s="518"/>
      <c r="R113" s="518"/>
      <c r="S113" s="518"/>
      <c r="T113" s="518"/>
      <c r="U113" s="518"/>
      <c r="V113" s="518"/>
      <c r="W113" s="518"/>
      <c r="X113" s="518"/>
      <c r="Y113" s="518"/>
      <c r="Z113" s="518"/>
      <c r="AK113">
        <v>3115</v>
      </c>
      <c r="AL113">
        <v>4338</v>
      </c>
      <c r="AM113" t="s">
        <v>2439</v>
      </c>
    </row>
    <row r="114" spans="1:39">
      <c r="A114" s="1091">
        <v>46030</v>
      </c>
      <c r="C114" t="s">
        <v>2302</v>
      </c>
      <c r="D114" s="1092"/>
      <c r="E114" s="1092">
        <v>800</v>
      </c>
      <c r="F114" t="s">
        <v>2439</v>
      </c>
      <c r="G114" s="1093">
        <v>6680</v>
      </c>
      <c r="H114" s="518"/>
      <c r="I114" s="518"/>
      <c r="J114" s="518"/>
      <c r="K114" s="518"/>
      <c r="L114" s="518"/>
      <c r="M114" s="518"/>
      <c r="N114" s="518"/>
      <c r="O114" s="518"/>
      <c r="P114" s="518"/>
      <c r="Q114" s="518"/>
      <c r="R114" s="518">
        <v>800</v>
      </c>
      <c r="S114" s="518"/>
      <c r="T114" s="518"/>
      <c r="U114" s="518"/>
      <c r="V114" s="518"/>
      <c r="W114" s="518"/>
      <c r="X114" s="518"/>
      <c r="Y114" s="518"/>
      <c r="Z114" s="518"/>
      <c r="AK114">
        <v>800</v>
      </c>
      <c r="AL114">
        <v>6680</v>
      </c>
      <c r="AM114" t="s">
        <v>2439</v>
      </c>
    </row>
    <row r="115" spans="1:39">
      <c r="A115" s="1091">
        <v>46038</v>
      </c>
      <c r="B115" t="s">
        <v>2490</v>
      </c>
      <c r="C115" t="s">
        <v>2480</v>
      </c>
      <c r="D115" s="1092">
        <v>2300</v>
      </c>
      <c r="E115" s="1092"/>
      <c r="F115" t="s">
        <v>2439</v>
      </c>
      <c r="G115" s="1093">
        <v>6530</v>
      </c>
      <c r="H115" s="518"/>
      <c r="I115" s="518"/>
      <c r="J115" s="518"/>
      <c r="K115" s="518"/>
      <c r="L115" s="518"/>
      <c r="M115" s="518"/>
      <c r="N115" s="518"/>
      <c r="O115" s="518"/>
      <c r="P115" s="518"/>
      <c r="Q115" s="518"/>
      <c r="R115" s="518"/>
      <c r="S115" s="518">
        <v>2300</v>
      </c>
      <c r="T115" s="518"/>
      <c r="U115" s="518"/>
      <c r="V115" s="518"/>
      <c r="W115" s="518"/>
      <c r="X115" s="518"/>
      <c r="Y115" s="518"/>
      <c r="Z115" s="518"/>
      <c r="AK115">
        <v>2300</v>
      </c>
      <c r="AL115">
        <v>6530</v>
      </c>
      <c r="AM115" t="s">
        <v>2439</v>
      </c>
    </row>
    <row r="116" spans="1:39">
      <c r="A116" s="1091">
        <v>46036</v>
      </c>
      <c r="B116" t="s">
        <v>2492</v>
      </c>
      <c r="C116" t="s">
        <v>2301</v>
      </c>
      <c r="D116" s="1092">
        <v>3100</v>
      </c>
      <c r="E116" s="1092"/>
      <c r="F116" t="s">
        <v>2439</v>
      </c>
      <c r="G116" s="1093" t="s">
        <v>2485</v>
      </c>
      <c r="H116" s="518">
        <v>3100</v>
      </c>
      <c r="I116" s="518"/>
      <c r="J116" s="518"/>
      <c r="K116" s="518"/>
      <c r="L116" s="518"/>
      <c r="M116" s="518"/>
      <c r="N116" s="518"/>
      <c r="O116" s="518"/>
      <c r="P116" s="518"/>
      <c r="Q116" s="518"/>
      <c r="R116" s="518"/>
      <c r="S116" s="518"/>
      <c r="T116" s="518"/>
      <c r="U116" s="518"/>
      <c r="V116" s="518"/>
      <c r="W116" s="518"/>
      <c r="X116" s="518"/>
      <c r="Y116" s="518"/>
      <c r="Z116" s="518"/>
      <c r="AK116">
        <v>3100</v>
      </c>
      <c r="AL116">
        <v>4338</v>
      </c>
      <c r="AM116" t="s">
        <v>2439</v>
      </c>
    </row>
    <row r="117" spans="1:39">
      <c r="A117" s="1091">
        <v>46036</v>
      </c>
      <c r="C117" t="s">
        <v>2316</v>
      </c>
      <c r="D117" s="1092">
        <v>343.66</v>
      </c>
      <c r="E117" s="1092"/>
      <c r="F117" t="s">
        <v>678</v>
      </c>
      <c r="G117" s="1093" t="s">
        <v>2486</v>
      </c>
      <c r="H117" s="518"/>
      <c r="I117" s="518"/>
      <c r="J117" s="518"/>
      <c r="K117" s="518"/>
      <c r="L117" s="518"/>
      <c r="M117" s="518"/>
      <c r="N117" s="518"/>
      <c r="O117" s="518">
        <v>343.66</v>
      </c>
      <c r="P117" s="518"/>
      <c r="Q117" s="518"/>
      <c r="R117" s="518"/>
      <c r="S117" s="518"/>
      <c r="T117" s="518"/>
      <c r="U117" s="518"/>
      <c r="V117" s="518"/>
      <c r="W117" s="518"/>
      <c r="X117" s="518"/>
      <c r="Y117" s="518"/>
      <c r="Z117" s="518"/>
      <c r="AK117">
        <v>343.66</v>
      </c>
      <c r="AL117">
        <v>6495</v>
      </c>
      <c r="AM117" t="s">
        <v>678</v>
      </c>
    </row>
    <row r="118" spans="1:39">
      <c r="A118" s="1091">
        <v>46038</v>
      </c>
      <c r="C118" t="s">
        <v>2316</v>
      </c>
      <c r="D118" s="1092">
        <v>233.96</v>
      </c>
      <c r="E118" s="1092"/>
      <c r="F118" t="s">
        <v>678</v>
      </c>
      <c r="G118" s="1093" t="s">
        <v>2486</v>
      </c>
      <c r="H118" s="518"/>
      <c r="I118" s="518"/>
      <c r="J118" s="518"/>
      <c r="K118" s="518"/>
      <c r="L118" s="518"/>
      <c r="M118" s="518"/>
      <c r="N118" s="518"/>
      <c r="O118" s="518">
        <v>233.96</v>
      </c>
      <c r="P118" s="518"/>
      <c r="Q118" s="518"/>
      <c r="R118" s="518"/>
      <c r="S118" s="518"/>
      <c r="T118" s="518"/>
      <c r="U118" s="518"/>
      <c r="V118" s="518"/>
      <c r="W118" s="518"/>
      <c r="X118" s="518"/>
      <c r="Y118" s="518"/>
      <c r="Z118" s="518"/>
      <c r="AK118">
        <v>233.96</v>
      </c>
      <c r="AL118">
        <v>6495</v>
      </c>
      <c r="AM118" t="s">
        <v>678</v>
      </c>
    </row>
    <row r="119" spans="1:39">
      <c r="A119" s="1091">
        <v>46041</v>
      </c>
      <c r="C119" t="s">
        <v>2316</v>
      </c>
      <c r="D119" s="1092"/>
      <c r="E119" s="1092">
        <v>70</v>
      </c>
      <c r="F119" t="s">
        <v>678</v>
      </c>
      <c r="G119" s="1093" t="s">
        <v>2486</v>
      </c>
      <c r="H119" s="518"/>
      <c r="I119" s="518"/>
      <c r="J119" s="518"/>
      <c r="K119" s="518"/>
      <c r="L119" s="518"/>
      <c r="M119" s="518"/>
      <c r="N119" s="518"/>
      <c r="O119" s="518">
        <v>70</v>
      </c>
      <c r="P119" s="518"/>
      <c r="Q119" s="518"/>
      <c r="R119" s="518"/>
      <c r="S119" s="518"/>
      <c r="T119" s="518"/>
      <c r="U119" s="518"/>
      <c r="V119" s="518"/>
      <c r="W119" s="518"/>
      <c r="X119" s="518"/>
      <c r="Y119" s="518"/>
      <c r="Z119" s="518"/>
      <c r="AK119">
        <v>70</v>
      </c>
      <c r="AL119">
        <v>6495</v>
      </c>
      <c r="AM119" t="s">
        <v>678</v>
      </c>
    </row>
    <row r="120" spans="1:39">
      <c r="A120" s="1091">
        <v>46037</v>
      </c>
      <c r="C120" t="s">
        <v>394</v>
      </c>
      <c r="D120" s="1092"/>
      <c r="E120" s="1092">
        <v>18.36</v>
      </c>
      <c r="F120" t="s">
        <v>678</v>
      </c>
      <c r="G120" s="1093">
        <v>2300</v>
      </c>
      <c r="H120" s="518"/>
      <c r="I120" s="518"/>
      <c r="J120" s="518"/>
      <c r="K120" s="518"/>
      <c r="L120" s="518"/>
      <c r="M120" s="518"/>
      <c r="N120" s="518"/>
      <c r="O120" s="518"/>
      <c r="P120" s="518"/>
      <c r="Q120" s="518"/>
      <c r="R120" s="518"/>
      <c r="S120" s="518"/>
      <c r="T120" s="518"/>
      <c r="U120" s="518"/>
      <c r="V120" s="518"/>
      <c r="W120" s="518"/>
      <c r="X120" s="518">
        <v>18.36</v>
      </c>
      <c r="Y120" s="518"/>
      <c r="Z120" s="518"/>
      <c r="AK120">
        <v>18.36</v>
      </c>
      <c r="AL120">
        <v>2300</v>
      </c>
      <c r="AM120" t="s">
        <v>678</v>
      </c>
    </row>
    <row r="121" spans="1:39">
      <c r="A121" s="1091">
        <v>46028</v>
      </c>
      <c r="C121" t="s">
        <v>2296</v>
      </c>
      <c r="D121" s="1092"/>
      <c r="E121" s="1092">
        <v>6.4</v>
      </c>
      <c r="F121" t="s">
        <v>678</v>
      </c>
      <c r="G121" s="1093" t="s">
        <v>2484</v>
      </c>
      <c r="H121" s="518"/>
      <c r="I121" s="518"/>
      <c r="J121" s="518"/>
      <c r="K121" s="518"/>
      <c r="L121" s="518"/>
      <c r="M121" s="518"/>
      <c r="N121" s="518"/>
      <c r="O121" s="518"/>
      <c r="P121" s="518"/>
      <c r="Q121" s="518">
        <v>6.4</v>
      </c>
      <c r="R121" s="518"/>
      <c r="S121" s="518"/>
      <c r="T121" s="518"/>
      <c r="U121" s="518"/>
      <c r="V121" s="518"/>
      <c r="W121" s="518"/>
      <c r="X121" s="518"/>
      <c r="Y121" s="518"/>
      <c r="Z121" s="518"/>
      <c r="AK121">
        <v>6.4</v>
      </c>
      <c r="AL121">
        <v>6673</v>
      </c>
      <c r="AM121" t="s">
        <v>678</v>
      </c>
    </row>
    <row r="122" spans="1:39">
      <c r="A122" s="1091">
        <v>46037</v>
      </c>
      <c r="C122" t="s">
        <v>2296</v>
      </c>
      <c r="D122" s="1092"/>
      <c r="E122" s="1092">
        <v>4.2</v>
      </c>
      <c r="F122" t="s">
        <v>678</v>
      </c>
      <c r="G122" s="1093" t="s">
        <v>2484</v>
      </c>
      <c r="H122" s="518"/>
      <c r="I122" s="518"/>
      <c r="J122" s="518"/>
      <c r="K122" s="518"/>
      <c r="L122" s="518"/>
      <c r="M122" s="518"/>
      <c r="N122" s="518"/>
      <c r="O122" s="518"/>
      <c r="P122" s="518"/>
      <c r="Q122" s="518">
        <v>4.2</v>
      </c>
      <c r="R122" s="518"/>
      <c r="S122" s="518"/>
      <c r="T122" s="518"/>
      <c r="U122" s="518"/>
      <c r="V122" s="518"/>
      <c r="W122" s="518"/>
      <c r="X122" s="518"/>
      <c r="Y122" s="518"/>
      <c r="Z122" s="518"/>
      <c r="AK122">
        <v>4.2</v>
      </c>
      <c r="AL122">
        <v>6673</v>
      </c>
      <c r="AM122" t="s">
        <v>678</v>
      </c>
    </row>
    <row r="123" spans="1:39">
      <c r="A123" s="1091">
        <v>46052</v>
      </c>
      <c r="C123" t="s">
        <v>2321</v>
      </c>
      <c r="D123" s="1092">
        <v>660.68</v>
      </c>
      <c r="E123" s="1092"/>
      <c r="F123" t="s">
        <v>678</v>
      </c>
      <c r="G123" s="1093">
        <v>2180</v>
      </c>
      <c r="H123" s="518"/>
      <c r="I123" s="518">
        <v>660.68</v>
      </c>
      <c r="J123" s="518"/>
      <c r="K123" s="518"/>
      <c r="L123" s="518"/>
      <c r="M123" s="518"/>
      <c r="N123" s="518"/>
      <c r="O123" s="518"/>
      <c r="P123" s="518"/>
      <c r="Q123" s="518"/>
      <c r="R123" s="518"/>
      <c r="S123" s="518"/>
      <c r="T123" s="518"/>
      <c r="U123" s="518"/>
      <c r="V123" s="518"/>
      <c r="W123" s="518"/>
      <c r="X123" s="518"/>
      <c r="Y123" s="518"/>
      <c r="Z123" s="518"/>
      <c r="AK123">
        <v>660.68</v>
      </c>
      <c r="AL123">
        <v>2180</v>
      </c>
      <c r="AM123" t="s">
        <v>678</v>
      </c>
    </row>
    <row r="124" spans="1:39">
      <c r="A124" s="1091">
        <v>46024</v>
      </c>
      <c r="C124" t="s">
        <v>2297</v>
      </c>
      <c r="D124" s="1092"/>
      <c r="E124" s="1092">
        <v>80</v>
      </c>
      <c r="F124" t="s">
        <v>678</v>
      </c>
      <c r="G124" s="1093">
        <v>2300</v>
      </c>
      <c r="H124" s="518"/>
      <c r="I124" s="518"/>
      <c r="J124" s="518"/>
      <c r="K124" s="518"/>
      <c r="L124" s="518"/>
      <c r="M124" s="518"/>
      <c r="N124" s="518"/>
      <c r="O124" s="518"/>
      <c r="P124" s="518"/>
      <c r="Q124" s="518"/>
      <c r="R124" s="518"/>
      <c r="S124" s="518"/>
      <c r="T124" s="518"/>
      <c r="U124" s="518"/>
      <c r="V124" s="518"/>
      <c r="W124" s="518"/>
      <c r="X124" s="518">
        <v>80</v>
      </c>
      <c r="Y124" s="518"/>
      <c r="Z124" s="518"/>
      <c r="AK124">
        <v>80</v>
      </c>
      <c r="AL124">
        <v>2300</v>
      </c>
      <c r="AM124" t="s">
        <v>678</v>
      </c>
    </row>
    <row r="125" spans="1:39">
      <c r="A125" s="1091">
        <v>46024</v>
      </c>
      <c r="C125" s="1058" t="s">
        <v>2494</v>
      </c>
      <c r="D125" s="1092"/>
      <c r="E125" s="1092">
        <v>1036.55</v>
      </c>
      <c r="F125" t="s">
        <v>678</v>
      </c>
      <c r="G125" s="1093" t="s">
        <v>2485</v>
      </c>
      <c r="H125" s="518">
        <v>1036.55</v>
      </c>
      <c r="I125" s="518"/>
      <c r="J125" s="518"/>
      <c r="K125" s="518"/>
      <c r="L125" s="518"/>
      <c r="M125" s="518"/>
      <c r="N125" s="518"/>
      <c r="O125" s="518"/>
      <c r="P125" s="518"/>
      <c r="Q125" s="518"/>
      <c r="R125" s="518"/>
      <c r="S125" s="518"/>
      <c r="T125" s="518"/>
      <c r="U125" s="518"/>
      <c r="V125" s="518"/>
      <c r="W125" s="518"/>
      <c r="X125" s="518"/>
      <c r="Y125" s="518"/>
      <c r="Z125" s="518"/>
      <c r="AK125">
        <v>1036.55</v>
      </c>
      <c r="AL125">
        <v>4338</v>
      </c>
      <c r="AM125" t="s">
        <v>678</v>
      </c>
    </row>
    <row r="126" spans="1:39">
      <c r="A126" s="1091">
        <v>46037</v>
      </c>
      <c r="B126" t="s">
        <v>2493</v>
      </c>
      <c r="C126" t="s">
        <v>2481</v>
      </c>
      <c r="D126" s="1092">
        <v>6240</v>
      </c>
      <c r="E126" s="1092"/>
      <c r="F126" t="s">
        <v>678</v>
      </c>
      <c r="G126" s="1093" t="s">
        <v>2485</v>
      </c>
      <c r="H126" s="518">
        <v>6240</v>
      </c>
      <c r="I126" s="518"/>
      <c r="J126" s="518"/>
      <c r="K126" s="518"/>
      <c r="L126" s="518"/>
      <c r="M126" s="518"/>
      <c r="N126" s="518"/>
      <c r="O126" s="518"/>
      <c r="P126" s="518"/>
      <c r="Q126" s="518"/>
      <c r="R126" s="518"/>
      <c r="S126" s="518"/>
      <c r="T126" s="518"/>
      <c r="U126" s="518"/>
      <c r="V126" s="518"/>
      <c r="W126" s="518"/>
      <c r="X126" s="518"/>
      <c r="Y126" s="518"/>
      <c r="Z126" s="518"/>
      <c r="AK126">
        <v>6240</v>
      </c>
      <c r="AL126">
        <v>4338</v>
      </c>
      <c r="AM126" t="s">
        <v>678</v>
      </c>
    </row>
    <row r="127" spans="1:39">
      <c r="A127" s="1091">
        <v>46037</v>
      </c>
      <c r="C127" t="s">
        <v>2312</v>
      </c>
      <c r="D127" s="1092"/>
      <c r="E127" s="1092">
        <v>1141.99</v>
      </c>
      <c r="F127" t="s">
        <v>678</v>
      </c>
      <c r="G127" s="1093">
        <v>2200</v>
      </c>
      <c r="H127" s="518"/>
      <c r="I127" s="518"/>
      <c r="J127" s="518"/>
      <c r="K127" s="518"/>
      <c r="L127" s="518">
        <v>1141.99</v>
      </c>
      <c r="M127" s="518"/>
      <c r="N127" s="518"/>
      <c r="O127" s="518"/>
      <c r="P127" s="518"/>
      <c r="Q127" s="518"/>
      <c r="R127" s="518"/>
      <c r="S127" s="518"/>
      <c r="T127" s="518"/>
      <c r="U127" s="518"/>
      <c r="V127" s="518"/>
      <c r="W127" s="518"/>
      <c r="X127" s="518"/>
      <c r="Y127" s="518"/>
      <c r="Z127" s="518"/>
      <c r="AK127">
        <v>1141.99</v>
      </c>
      <c r="AL127">
        <v>2200</v>
      </c>
      <c r="AM127" t="s">
        <v>678</v>
      </c>
    </row>
    <row r="128" spans="1:39">
      <c r="A128" s="1091">
        <v>46042</v>
      </c>
      <c r="C128" t="s">
        <v>2318</v>
      </c>
      <c r="D128" s="1092"/>
      <c r="E128" s="1092">
        <v>19.98</v>
      </c>
      <c r="F128" t="s">
        <v>678</v>
      </c>
      <c r="G128" s="1093">
        <v>6805</v>
      </c>
      <c r="H128" s="518"/>
      <c r="I128" s="518"/>
      <c r="J128" s="518"/>
      <c r="K128" s="518"/>
      <c r="L128" s="518"/>
      <c r="M128" s="518"/>
      <c r="N128" s="518">
        <v>19.98</v>
      </c>
      <c r="O128" s="518"/>
      <c r="P128" s="518"/>
      <c r="Q128" s="518"/>
      <c r="R128" s="518"/>
      <c r="S128" s="518"/>
      <c r="T128" s="518"/>
      <c r="U128" s="518"/>
      <c r="V128" s="518"/>
      <c r="W128" s="518"/>
      <c r="X128" s="518"/>
      <c r="Y128" s="518"/>
      <c r="Z128" s="518"/>
      <c r="AK128">
        <v>19.98</v>
      </c>
      <c r="AL128">
        <v>6805</v>
      </c>
      <c r="AM128" t="s">
        <v>678</v>
      </c>
    </row>
    <row r="129" spans="1:39">
      <c r="A129" s="1091">
        <v>46024</v>
      </c>
      <c r="C129" t="s">
        <v>2298</v>
      </c>
      <c r="E129">
        <v>304.25</v>
      </c>
      <c r="F129" t="s">
        <v>678</v>
      </c>
      <c r="G129" s="1093">
        <v>2300</v>
      </c>
      <c r="H129" s="518"/>
      <c r="I129" s="518"/>
      <c r="J129" s="518"/>
      <c r="K129" s="518"/>
      <c r="L129" s="518"/>
      <c r="M129" s="518"/>
      <c r="N129" s="518"/>
      <c r="O129" s="518"/>
      <c r="P129" s="518"/>
      <c r="Q129" s="518"/>
      <c r="R129" s="518"/>
      <c r="S129" s="518"/>
      <c r="T129" s="518"/>
      <c r="U129" s="518"/>
      <c r="V129" s="518"/>
      <c r="W129" s="518"/>
      <c r="X129" s="518">
        <v>304.25</v>
      </c>
      <c r="Y129" s="518"/>
      <c r="Z129" s="518"/>
      <c r="AK129">
        <v>304.25</v>
      </c>
      <c r="AL129">
        <v>2300</v>
      </c>
      <c r="AM129" t="s">
        <v>678</v>
      </c>
    </row>
  </sheetData>
  <phoneticPr fontId="75" type="noConversion"/>
  <conditionalFormatting sqref="B2 AB2:AI2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A556F-EB69-47EF-A99C-17434D32DF4F}">
  <sheetPr codeName="Sheet7">
    <outlinePr summaryBelow="0" summaryRight="0"/>
  </sheetPr>
  <dimension ref="A1:Y100"/>
  <sheetViews>
    <sheetView workbookViewId="0">
      <selection activeCell="E4" sqref="E4"/>
    </sheetView>
  </sheetViews>
  <sheetFormatPr defaultColWidth="12.6640625" defaultRowHeight="15" customHeight="1"/>
  <cols>
    <col min="2" max="2" width="23.6640625" customWidth="1"/>
    <col min="3" max="3" width="17.44140625" customWidth="1"/>
    <col min="4" max="4" width="20.21875" customWidth="1"/>
    <col min="5" max="5" width="11.21875" customWidth="1"/>
    <col min="11" max="11" width="20.109375" customWidth="1"/>
  </cols>
  <sheetData>
    <row r="1" spans="1:25" ht="24" customHeight="1">
      <c r="A1" s="133"/>
      <c r="B1" s="134"/>
      <c r="C1" s="134"/>
      <c r="D1" s="134"/>
      <c r="E1" s="134"/>
      <c r="F1" s="134"/>
      <c r="G1" s="134"/>
      <c r="H1" s="135" t="str">
        <f>Zusammenfassung!H1</f>
        <v>Krankenkasse ens.</v>
      </c>
      <c r="I1" s="92" t="str">
        <f>Zusammenfassung!I1</f>
        <v>Medical</v>
      </c>
      <c r="J1" s="135" t="str">
        <f>Zusammenfassung!J1</f>
        <v>Telephone</v>
      </c>
      <c r="K1" s="135" t="str">
        <f>Zusammenfassung!K1</f>
        <v>Data SIM Cards, Internet</v>
      </c>
      <c r="L1" s="135" t="str">
        <f>Zusammenfassung!L1</f>
        <v>Airline tickets &amp; Covid Tests</v>
      </c>
      <c r="M1" s="92" t="str">
        <f>Zusammenfassung!M1</f>
        <v>Taxi, Train, Toll, Parking</v>
      </c>
      <c r="N1" s="92" t="str">
        <f>Zusammenfassung!N1</f>
        <v>Hotel, Apartment</v>
      </c>
      <c r="O1" s="92" t="str">
        <f>Zusammenfassung!O1</f>
        <v>Auto</v>
      </c>
      <c r="P1" s="92" t="str">
        <f>Zusammenfassung!P1</f>
        <v>Office equipment, hardware, Insurance</v>
      </c>
      <c r="Q1" s="92" t="str">
        <f>Zusammenfassung!Q1</f>
        <v>Software Cloud Services</v>
      </c>
      <c r="R1" s="92" t="str">
        <f>Zusammenfassung!R1</f>
        <v>Professional fees</v>
      </c>
      <c r="S1" s="92" t="str">
        <f>Zusammenfassung!S1</f>
        <v>Bank charges</v>
      </c>
      <c r="T1" s="136"/>
      <c r="U1" s="136"/>
      <c r="V1" s="85"/>
      <c r="W1" s="85"/>
    </row>
    <row r="2" spans="1:25" ht="37.5" customHeight="1" thickBot="1">
      <c r="A2" s="137"/>
      <c r="B2" s="138"/>
      <c r="C2" s="139"/>
      <c r="D2" s="138"/>
      <c r="E2" s="138" t="s">
        <v>671</v>
      </c>
      <c r="F2" s="138"/>
      <c r="G2" s="138"/>
      <c r="H2" s="140">
        <f>Zusammenfassung!H2</f>
        <v>2200</v>
      </c>
      <c r="I2" s="140">
        <f>Zusammenfassung!I2</f>
        <v>900</v>
      </c>
      <c r="J2" s="140">
        <f>Zusammenfassung!J2</f>
        <v>6805</v>
      </c>
      <c r="K2" s="140" t="str">
        <f>Zusammenfassung!K2</f>
        <v>6495-1</v>
      </c>
      <c r="L2" s="140" t="str">
        <f>Zusammenfassung!L2</f>
        <v>6673-1</v>
      </c>
      <c r="M2" s="140" t="str">
        <f>Zusammenfassung!M2</f>
        <v>6673-2</v>
      </c>
      <c r="N2" s="140">
        <f>Zusammenfassung!N2</f>
        <v>6680</v>
      </c>
      <c r="O2" s="140">
        <f>Zusammenfassung!O2</f>
        <v>6530</v>
      </c>
      <c r="P2" s="140">
        <f>Zusammenfassung!P2</f>
        <v>6815</v>
      </c>
      <c r="Q2" s="140" t="str">
        <f>Zusammenfassung!Q2</f>
        <v>6495-2</v>
      </c>
      <c r="R2" s="140">
        <f>Zusammenfassung!R2</f>
        <v>6827</v>
      </c>
      <c r="S2" s="140">
        <f>Zusammenfassung!S2</f>
        <v>6855</v>
      </c>
      <c r="T2" s="136" t="s">
        <v>672</v>
      </c>
      <c r="U2" s="141" t="s">
        <v>673</v>
      </c>
      <c r="V2" s="85"/>
      <c r="W2" s="85"/>
    </row>
    <row r="3" spans="1:25" ht="13.2">
      <c r="E3" s="142">
        <v>1</v>
      </c>
      <c r="F3" s="142">
        <v>2</v>
      </c>
      <c r="G3" s="142">
        <v>3</v>
      </c>
      <c r="H3" s="142">
        <v>4</v>
      </c>
      <c r="I3" s="142">
        <v>5</v>
      </c>
      <c r="J3" s="142">
        <v>6</v>
      </c>
      <c r="K3" s="142">
        <v>7</v>
      </c>
      <c r="L3" s="142">
        <v>9</v>
      </c>
      <c r="M3" s="142">
        <v>10</v>
      </c>
      <c r="N3" s="142">
        <v>11</v>
      </c>
      <c r="O3" s="142">
        <v>12</v>
      </c>
      <c r="P3" s="142">
        <v>13</v>
      </c>
      <c r="Q3" s="142">
        <v>14</v>
      </c>
      <c r="R3" s="142">
        <v>15</v>
      </c>
      <c r="S3" s="142">
        <v>16</v>
      </c>
    </row>
    <row r="4" spans="1:25" ht="13.2">
      <c r="A4" s="143" t="s">
        <v>674</v>
      </c>
      <c r="B4" s="143" t="str">
        <f>Zusammenfassung!B31</f>
        <v>2025.01.01 bis 2025.04.05</v>
      </c>
      <c r="C4" s="144" t="str">
        <f>Zusammenfassung!C23</f>
        <v>DE portion (€)</v>
      </c>
      <c r="E4" s="84">
        <f>Zusammenfassung!D33</f>
        <v>6953.56</v>
      </c>
      <c r="H4" s="84">
        <f>Zusammenfassung!H33</f>
        <v>2709.38</v>
      </c>
      <c r="I4" s="84">
        <f>Zusammenfassung!I33</f>
        <v>0</v>
      </c>
      <c r="J4" s="84">
        <f>Zusammenfassung!J33</f>
        <v>80.889999999999986</v>
      </c>
      <c r="K4" s="84">
        <f>Zusammenfassung!K33</f>
        <v>62.98</v>
      </c>
      <c r="L4" s="84">
        <f>Zusammenfassung!L33</f>
        <v>1519.25</v>
      </c>
      <c r="M4" s="84">
        <f>Zusammenfassung!M33</f>
        <v>649.29000000000008</v>
      </c>
      <c r="N4" s="84">
        <f>Zusammenfassung!N33</f>
        <v>3347.54</v>
      </c>
      <c r="O4" s="84">
        <f>Zusammenfassung!O33</f>
        <v>2016.4399999999998</v>
      </c>
      <c r="P4" s="84">
        <f>Zusammenfassung!P33</f>
        <v>39.93</v>
      </c>
      <c r="Q4" s="84">
        <f>Zusammenfassung!Q33</f>
        <v>890.07</v>
      </c>
      <c r="R4" s="84">
        <f>Zusammenfassung!R33</f>
        <v>0</v>
      </c>
      <c r="S4" s="84">
        <f>Zusammenfassung!S33</f>
        <v>120.47999999999999</v>
      </c>
      <c r="T4" s="84">
        <f t="shared" ref="T4:T6" si="0">SUM(H4:S4)</f>
        <v>11436.25</v>
      </c>
      <c r="U4" s="84">
        <f>Zusammenfassung!X33</f>
        <v>11436.25</v>
      </c>
    </row>
    <row r="5" spans="1:25" ht="13.8" thickBot="1">
      <c r="B5" s="143" t="str">
        <f>Zusammenfassung!B36</f>
        <v>2025.04.06 bis 2025.12.31</v>
      </c>
      <c r="C5" s="144" t="str">
        <f>Zusammenfassung!C28</f>
        <v>DE portion (€)</v>
      </c>
      <c r="E5" s="84">
        <f>Zusammenfassung!D38</f>
        <v>28340.22</v>
      </c>
      <c r="H5" s="84">
        <f>Zusammenfassung!H38</f>
        <v>9178.8100000000013</v>
      </c>
      <c r="I5" s="84">
        <f>Zusammenfassung!I38</f>
        <v>0</v>
      </c>
      <c r="J5" s="84">
        <f>Zusammenfassung!J38</f>
        <v>193.59999999999997</v>
      </c>
      <c r="K5" s="84">
        <f>Zusammenfassung!K38</f>
        <v>505.1400000000001</v>
      </c>
      <c r="L5" s="84">
        <f>Zusammenfassung!L38</f>
        <v>3768.7899999999995</v>
      </c>
      <c r="M5" s="84">
        <f>Zusammenfassung!M38</f>
        <v>1434.31</v>
      </c>
      <c r="N5" s="84">
        <f>Zusammenfassung!N38</f>
        <v>12193.24</v>
      </c>
      <c r="O5" s="84">
        <f>Zusammenfassung!O38</f>
        <v>2610.3899999999994</v>
      </c>
      <c r="P5" s="84">
        <f>Zusammenfassung!P38</f>
        <v>2672.4600000000005</v>
      </c>
      <c r="Q5" s="84">
        <f>Zusammenfassung!Q38</f>
        <v>743.01000000000045</v>
      </c>
      <c r="R5" s="84">
        <f>Zusammenfassung!R38</f>
        <v>3200.74</v>
      </c>
      <c r="S5" s="84">
        <f>Zusammenfassung!S38</f>
        <v>228.24999999999997</v>
      </c>
      <c r="T5" s="84">
        <f t="shared" si="0"/>
        <v>36728.74</v>
      </c>
      <c r="U5" s="84">
        <f>Zusammenfassung!X38</f>
        <v>36728.74</v>
      </c>
    </row>
    <row r="6" spans="1:25" ht="13.8" thickBot="1">
      <c r="C6" s="145" t="s">
        <v>675</v>
      </c>
      <c r="D6" s="146"/>
      <c r="E6" s="147">
        <f>SUM(E4:E5)</f>
        <v>35293.78</v>
      </c>
      <c r="F6" s="146"/>
      <c r="G6" s="146"/>
      <c r="H6" s="148">
        <f t="shared" ref="H6:S6" si="1">SUM(H4:H5)</f>
        <v>11888.190000000002</v>
      </c>
      <c r="I6" s="147">
        <f t="shared" si="1"/>
        <v>0</v>
      </c>
      <c r="J6" s="148">
        <f t="shared" si="1"/>
        <v>274.48999999999995</v>
      </c>
      <c r="K6" s="148">
        <f t="shared" si="1"/>
        <v>568.12000000000012</v>
      </c>
      <c r="L6" s="148">
        <f t="shared" si="1"/>
        <v>5288.0399999999991</v>
      </c>
      <c r="M6" s="148">
        <f t="shared" si="1"/>
        <v>2083.6</v>
      </c>
      <c r="N6" s="148">
        <f t="shared" si="1"/>
        <v>15540.779999999999</v>
      </c>
      <c r="O6" s="148">
        <f t="shared" si="1"/>
        <v>4626.829999999999</v>
      </c>
      <c r="P6" s="148">
        <f t="shared" si="1"/>
        <v>2712.3900000000003</v>
      </c>
      <c r="Q6" s="148">
        <f t="shared" si="1"/>
        <v>1633.0800000000004</v>
      </c>
      <c r="R6" s="148">
        <f t="shared" si="1"/>
        <v>3200.74</v>
      </c>
      <c r="S6" s="149">
        <f t="shared" si="1"/>
        <v>348.72999999999996</v>
      </c>
      <c r="T6" s="84">
        <f t="shared" si="0"/>
        <v>48164.990000000005</v>
      </c>
    </row>
    <row r="7" spans="1:25" ht="13.2">
      <c r="T7" s="84">
        <f>T4+T5-T6</f>
        <v>0</v>
      </c>
    </row>
    <row r="8" spans="1:25" ht="13.2">
      <c r="A8" s="87" t="s">
        <v>161</v>
      </c>
      <c r="B8" s="143" t="str">
        <f>B4</f>
        <v>2025.01.01 bis 2025.04.05</v>
      </c>
      <c r="C8" s="144" t="str">
        <f>Zusammenfassung!C24</f>
        <v>UK portion (€)</v>
      </c>
      <c r="E8" s="84">
        <f>Zusammenfassung!D34</f>
        <v>11345.28</v>
      </c>
      <c r="G8" s="143"/>
      <c r="H8" s="84">
        <f>Zusammenfassung!H34</f>
        <v>0</v>
      </c>
      <c r="I8" s="84">
        <f>Zusammenfassung!I34</f>
        <v>0</v>
      </c>
      <c r="J8" s="84">
        <f>Zusammenfassung!J34</f>
        <v>53.93</v>
      </c>
      <c r="K8" s="84">
        <f>Zusammenfassung!K34</f>
        <v>41.99</v>
      </c>
      <c r="L8" s="84">
        <f>Zusammenfassung!L34</f>
        <v>1012.83</v>
      </c>
      <c r="M8" s="84">
        <f>Zusammenfassung!M34</f>
        <v>0</v>
      </c>
      <c r="N8" s="84">
        <f>Zusammenfassung!N34</f>
        <v>0</v>
      </c>
      <c r="O8" s="84">
        <f>Zusammenfassung!O34</f>
        <v>1344.3</v>
      </c>
      <c r="P8" s="84">
        <f>Zusammenfassung!P34</f>
        <v>0</v>
      </c>
      <c r="Q8" s="84">
        <f>Zusammenfassung!Q34</f>
        <v>593.38</v>
      </c>
      <c r="R8" s="84">
        <f>Zusammenfassung!R34</f>
        <v>0</v>
      </c>
      <c r="S8" s="84">
        <f>Zusammenfassung!S34</f>
        <v>80.319999999999993</v>
      </c>
      <c r="T8" s="84">
        <f t="shared" ref="T8:T10" si="2">SUM(H8:S8)</f>
        <v>3126.7500000000005</v>
      </c>
      <c r="U8" s="84">
        <f>Zusammenfassung!X34</f>
        <v>3126.7500000000005</v>
      </c>
    </row>
    <row r="9" spans="1:25" ht="13.8" thickBot="1">
      <c r="B9" s="143" t="str">
        <f>B5</f>
        <v>2025.04.06 bis 2025.12.31</v>
      </c>
      <c r="C9" s="144" t="str">
        <f>Zusammenfassung!C29</f>
        <v>UK portion (€)</v>
      </c>
      <c r="E9" s="84">
        <f>Zusammenfassung!D39</f>
        <v>46239.3</v>
      </c>
      <c r="G9" s="150"/>
      <c r="H9" s="84">
        <f>Zusammenfassung!H39</f>
        <v>0</v>
      </c>
      <c r="I9" s="84">
        <f>Zusammenfassung!I39</f>
        <v>0</v>
      </c>
      <c r="J9" s="84">
        <f>Zusammenfassung!J39</f>
        <v>129.07</v>
      </c>
      <c r="K9" s="84">
        <f>Zusammenfassung!K39</f>
        <v>336.76</v>
      </c>
      <c r="L9" s="84">
        <f>Zusammenfassung!L39</f>
        <v>2512.5300000000002</v>
      </c>
      <c r="M9" s="84">
        <f>Zusammenfassung!M39</f>
        <v>0</v>
      </c>
      <c r="N9" s="84">
        <f>Zusammenfassung!N39</f>
        <v>0</v>
      </c>
      <c r="O9" s="84">
        <f>Zusammenfassung!O39</f>
        <v>1740.26</v>
      </c>
      <c r="P9" s="84">
        <f>Zusammenfassung!P39</f>
        <v>0</v>
      </c>
      <c r="Q9" s="84">
        <f>Zusammenfassung!Q39</f>
        <v>495.34</v>
      </c>
      <c r="R9" s="84">
        <f>Zusammenfassung!R39</f>
        <v>0</v>
      </c>
      <c r="S9" s="84">
        <f>Zusammenfassung!S39</f>
        <v>152.16</v>
      </c>
      <c r="T9" s="84">
        <f t="shared" si="2"/>
        <v>5366.12</v>
      </c>
      <c r="U9" s="84">
        <f>Zusammenfassung!X39</f>
        <v>5366.12</v>
      </c>
    </row>
    <row r="10" spans="1:25" ht="13.8" thickBot="1">
      <c r="C10" s="145" t="s">
        <v>675</v>
      </c>
      <c r="D10" s="146"/>
      <c r="E10" s="147">
        <f>SUM(E8:E9)</f>
        <v>57584.58</v>
      </c>
      <c r="F10" s="146"/>
      <c r="G10" s="146"/>
      <c r="H10" s="148">
        <f t="shared" ref="H10:S10" si="3">SUM(H8:H9)</f>
        <v>0</v>
      </c>
      <c r="I10" s="147">
        <f t="shared" si="3"/>
        <v>0</v>
      </c>
      <c r="J10" s="148">
        <f t="shared" si="3"/>
        <v>183</v>
      </c>
      <c r="K10" s="148">
        <f t="shared" si="3"/>
        <v>378.75</v>
      </c>
      <c r="L10" s="148">
        <f t="shared" si="3"/>
        <v>3525.36</v>
      </c>
      <c r="M10" s="148">
        <f t="shared" si="3"/>
        <v>0</v>
      </c>
      <c r="N10" s="148">
        <f t="shared" si="3"/>
        <v>0</v>
      </c>
      <c r="O10" s="148">
        <f t="shared" si="3"/>
        <v>3084.56</v>
      </c>
      <c r="P10" s="148">
        <f t="shared" si="3"/>
        <v>0</v>
      </c>
      <c r="Q10" s="148">
        <f t="shared" si="3"/>
        <v>1088.72</v>
      </c>
      <c r="R10" s="148">
        <f t="shared" si="3"/>
        <v>0</v>
      </c>
      <c r="S10" s="149">
        <f t="shared" si="3"/>
        <v>232.48</v>
      </c>
      <c r="T10" s="84">
        <f t="shared" si="2"/>
        <v>8492.869999999999</v>
      </c>
    </row>
    <row r="11" spans="1:25" ht="13.2">
      <c r="L11" s="143"/>
      <c r="M11" s="143"/>
      <c r="T11" s="84">
        <f>T8+T9-T10</f>
        <v>0</v>
      </c>
    </row>
    <row r="12" spans="1:25" ht="13.2">
      <c r="L12" s="143"/>
      <c r="M12" s="143"/>
    </row>
    <row r="13" spans="1:25" ht="13.2">
      <c r="L13" s="143"/>
      <c r="M13" s="143"/>
    </row>
    <row r="14" spans="1:25" ht="13.2"/>
    <row r="15" spans="1:25" ht="13.2">
      <c r="G15" s="152">
        <v>2025</v>
      </c>
      <c r="H15" s="152">
        <v>2024</v>
      </c>
      <c r="I15" s="152">
        <v>2023</v>
      </c>
    </row>
    <row r="16" spans="1:25" ht="13.2">
      <c r="A16" s="87"/>
      <c r="B16" s="153" t="s">
        <v>677</v>
      </c>
      <c r="C16" s="87"/>
      <c r="D16" s="87"/>
      <c r="E16" s="87"/>
      <c r="G16" s="154" t="s">
        <v>678</v>
      </c>
      <c r="H16" s="154" t="s">
        <v>678</v>
      </c>
      <c r="I16" s="154" t="s">
        <v>679</v>
      </c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</row>
    <row r="17" spans="1:25" ht="13.2">
      <c r="A17" s="87"/>
      <c r="B17" s="87"/>
      <c r="C17" s="87" t="s">
        <v>681</v>
      </c>
      <c r="D17" s="87"/>
      <c r="E17" s="87"/>
      <c r="F17" s="87"/>
      <c r="G17" s="155">
        <f>E6+E10</f>
        <v>92878.36</v>
      </c>
      <c r="H17" s="155">
        <v>60639.270226200009</v>
      </c>
      <c r="I17" s="155">
        <v>114726.59439313601</v>
      </c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</row>
    <row r="18" spans="1:25" ht="13.2">
      <c r="A18" s="87"/>
      <c r="B18" s="87"/>
      <c r="C18" s="87" t="s">
        <v>683</v>
      </c>
      <c r="D18" s="87"/>
      <c r="E18" s="87"/>
      <c r="F18" s="87"/>
      <c r="G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</row>
    <row r="19" spans="1:25" ht="13.2">
      <c r="A19" s="87"/>
      <c r="B19" s="87"/>
      <c r="C19" s="87"/>
      <c r="D19" s="87"/>
      <c r="E19" s="87"/>
      <c r="F19" s="87"/>
      <c r="G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</row>
    <row r="20" spans="1:25" ht="13.2">
      <c r="A20" s="87"/>
      <c r="B20" s="87"/>
      <c r="C20" s="87"/>
      <c r="D20" s="87"/>
      <c r="E20" s="87"/>
      <c r="F20" s="87"/>
      <c r="G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</row>
    <row r="21" spans="1:25" ht="13.2">
      <c r="A21" s="87"/>
      <c r="B21" s="153" t="s">
        <v>684</v>
      </c>
      <c r="C21" s="87"/>
      <c r="D21" s="87"/>
      <c r="E21" s="87"/>
      <c r="F21" s="87"/>
      <c r="G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</row>
    <row r="22" spans="1:25" ht="13.2">
      <c r="A22" s="87"/>
      <c r="B22" s="87"/>
      <c r="C22" s="87" t="s">
        <v>685</v>
      </c>
      <c r="D22" s="87"/>
      <c r="E22" s="87"/>
      <c r="F22" s="87"/>
      <c r="G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</row>
    <row r="23" spans="1:25" ht="13.2">
      <c r="A23" s="87"/>
      <c r="B23" s="87"/>
      <c r="C23" s="87"/>
      <c r="D23" s="87" t="s">
        <v>686</v>
      </c>
      <c r="E23" s="87"/>
      <c r="F23" s="87"/>
      <c r="G23" s="156">
        <f>G52</f>
        <v>600</v>
      </c>
      <c r="H23" s="156">
        <v>600</v>
      </c>
      <c r="I23" s="156">
        <v>600</v>
      </c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</row>
    <row r="24" spans="1:25" ht="13.2">
      <c r="A24" s="87"/>
      <c r="B24" s="87"/>
      <c r="C24" s="87" t="s">
        <v>687</v>
      </c>
      <c r="D24" s="87"/>
      <c r="E24" s="87"/>
      <c r="F24" s="87"/>
      <c r="G24" s="156">
        <f>G55</f>
        <v>11888.190000000002</v>
      </c>
      <c r="H24" s="156">
        <v>10271.75</v>
      </c>
      <c r="I24" s="156">
        <v>9252.43</v>
      </c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</row>
    <row r="25" spans="1:25" ht="13.2">
      <c r="A25" s="87"/>
      <c r="B25" s="87"/>
      <c r="C25" s="87" t="s">
        <v>688</v>
      </c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</row>
    <row r="26" spans="1:25" ht="13.2">
      <c r="A26" s="87"/>
      <c r="B26" s="87"/>
      <c r="C26" s="87"/>
      <c r="D26" s="87" t="s">
        <v>689</v>
      </c>
      <c r="E26" s="87"/>
      <c r="F26" s="87"/>
      <c r="G26" s="156">
        <f>G60</f>
        <v>4626.829999999999</v>
      </c>
      <c r="H26" s="156">
        <v>0</v>
      </c>
      <c r="I26" s="156">
        <v>0</v>
      </c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</row>
    <row r="27" spans="1:25" ht="13.2">
      <c r="A27" s="87"/>
      <c r="B27" s="87"/>
      <c r="C27" s="87" t="s">
        <v>690</v>
      </c>
      <c r="D27" s="87"/>
      <c r="E27" s="87"/>
      <c r="F27" s="87"/>
      <c r="G27" s="156">
        <f>G64</f>
        <v>22912.42</v>
      </c>
      <c r="H27" s="156">
        <v>18510.333200000001</v>
      </c>
      <c r="I27" s="156">
        <v>17205.457999999999</v>
      </c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</row>
    <row r="28" spans="1:25" ht="13.2">
      <c r="A28" s="87"/>
      <c r="B28" s="87"/>
      <c r="C28" s="87" t="s">
        <v>691</v>
      </c>
      <c r="D28" s="87"/>
      <c r="E28" s="87"/>
      <c r="F28" s="87"/>
      <c r="G28" s="156">
        <f>G72</f>
        <v>4345.4700000000012</v>
      </c>
      <c r="H28" s="156">
        <v>2120.33</v>
      </c>
      <c r="I28" s="156">
        <v>554.12</v>
      </c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</row>
    <row r="29" spans="1:25" ht="13.2">
      <c r="A29" s="87"/>
      <c r="B29" s="87"/>
      <c r="C29" s="87" t="s">
        <v>692</v>
      </c>
      <c r="D29" s="87"/>
      <c r="E29" s="87"/>
      <c r="F29" s="87"/>
      <c r="G29" s="156">
        <f>G75</f>
        <v>4393.08</v>
      </c>
      <c r="H29" s="156">
        <v>3618.99</v>
      </c>
      <c r="I29" s="156">
        <v>2247.8099999999995</v>
      </c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</row>
    <row r="30" spans="1:25" ht="13.2">
      <c r="A30" s="87"/>
      <c r="B30" s="87"/>
      <c r="C30" s="87" t="s">
        <v>693</v>
      </c>
      <c r="D30" s="87"/>
      <c r="E30" s="87"/>
      <c r="F30" s="87"/>
      <c r="G30" s="156">
        <f>G87</f>
        <v>0</v>
      </c>
      <c r="H30" s="156">
        <v>0</v>
      </c>
      <c r="I30" s="156">
        <v>0</v>
      </c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</row>
    <row r="31" spans="1:25" ht="13.2">
      <c r="A31" s="87"/>
      <c r="B31" s="87"/>
      <c r="C31" s="87"/>
      <c r="D31" s="87"/>
      <c r="E31" s="87"/>
      <c r="F31" s="87"/>
      <c r="G31" s="87"/>
      <c r="H31" s="156"/>
      <c r="I31" s="156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</row>
    <row r="32" spans="1:25" ht="13.2">
      <c r="A32" s="87"/>
      <c r="B32" s="87"/>
      <c r="C32" s="87"/>
      <c r="D32" s="87" t="s">
        <v>694</v>
      </c>
      <c r="E32" s="87"/>
      <c r="F32" s="87"/>
      <c r="G32" s="156">
        <f t="shared" ref="G32" si="4">SUM(G22:G30)</f>
        <v>48765.990000000005</v>
      </c>
      <c r="H32" s="156">
        <v>35121.403200000001</v>
      </c>
      <c r="I32" s="156">
        <f>SUM(I22:I30)</f>
        <v>29859.817999999999</v>
      </c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</row>
    <row r="33" spans="1:25" ht="13.2">
      <c r="A33" s="87"/>
      <c r="B33" s="87"/>
      <c r="C33" s="87"/>
      <c r="D33" s="87" t="s">
        <v>695</v>
      </c>
      <c r="E33" s="87"/>
      <c r="F33" s="87"/>
      <c r="G33" s="156">
        <f t="shared" ref="G33" si="5">G32</f>
        <v>48765.990000000005</v>
      </c>
      <c r="H33" s="156">
        <v>35121.403200000001</v>
      </c>
      <c r="I33" s="156">
        <f>I32</f>
        <v>29859.817999999999</v>
      </c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</row>
    <row r="34" spans="1:25" ht="13.2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</row>
    <row r="35" spans="1:25" ht="13.2">
      <c r="A35" s="87"/>
      <c r="B35" s="153" t="s">
        <v>696</v>
      </c>
      <c r="C35" s="87"/>
      <c r="D35" s="87"/>
      <c r="E35" s="87"/>
      <c r="F35" s="87"/>
      <c r="G35" s="157">
        <f t="shared" ref="G35" si="6">G17-G33</f>
        <v>44112.369999999995</v>
      </c>
      <c r="H35" s="157">
        <v>25517.867026200009</v>
      </c>
      <c r="I35" s="157">
        <f>I17-I33</f>
        <v>84866.77639313601</v>
      </c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</row>
    <row r="36" spans="1:25" ht="13.2">
      <c r="A36" s="87"/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</row>
    <row r="37" spans="1:25" ht="13.2">
      <c r="A37" s="87"/>
      <c r="B37" s="153" t="s">
        <v>697</v>
      </c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</row>
    <row r="38" spans="1:25" ht="13.2">
      <c r="A38" s="87"/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</row>
    <row r="39" spans="1:25" ht="13.2">
      <c r="A39" s="87"/>
      <c r="B39" s="87"/>
      <c r="C39" s="87"/>
      <c r="D39" s="87"/>
      <c r="E39" s="87"/>
      <c r="F39" s="156"/>
      <c r="G39" s="156"/>
      <c r="H39" s="156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</row>
    <row r="40" spans="1:25" ht="13.2">
      <c r="A40" s="87"/>
      <c r="B40" s="87"/>
      <c r="C40" s="87"/>
      <c r="D40" s="87"/>
      <c r="E40" s="87"/>
      <c r="F40" s="156"/>
      <c r="G40" s="156"/>
      <c r="H40" s="156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</row>
    <row r="41" spans="1:25" ht="13.2">
      <c r="A41" s="87"/>
      <c r="B41" s="87"/>
      <c r="C41" s="87" t="s">
        <v>698</v>
      </c>
      <c r="D41" s="87" t="s">
        <v>699</v>
      </c>
      <c r="E41" s="87"/>
      <c r="F41" s="156"/>
      <c r="G41" s="156"/>
      <c r="H41" s="156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</row>
    <row r="42" spans="1:25" ht="13.2">
      <c r="A42" s="87"/>
      <c r="B42" s="87"/>
      <c r="C42" s="87"/>
      <c r="D42" s="87"/>
      <c r="E42" s="87"/>
      <c r="F42" s="156"/>
      <c r="G42" s="156"/>
      <c r="H42" s="156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</row>
    <row r="43" spans="1:25" ht="13.2">
      <c r="A43" s="87"/>
      <c r="B43" s="87"/>
      <c r="C43" s="87"/>
      <c r="D43" s="153" t="s">
        <v>700</v>
      </c>
      <c r="E43" s="87"/>
      <c r="F43" s="156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</row>
    <row r="44" spans="1:25" ht="13.2">
      <c r="A44" s="87"/>
      <c r="B44" s="87"/>
      <c r="C44" s="87">
        <v>4336</v>
      </c>
      <c r="D44" s="87" t="s">
        <v>701</v>
      </c>
      <c r="E44" s="87"/>
      <c r="F44" s="158"/>
      <c r="G44" s="156"/>
      <c r="H44" s="156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</row>
    <row r="45" spans="1:25" ht="13.2">
      <c r="A45" s="87"/>
      <c r="B45" s="87"/>
      <c r="C45" s="87">
        <v>4338</v>
      </c>
      <c r="D45" s="87" t="s">
        <v>702</v>
      </c>
      <c r="E45" s="87"/>
      <c r="F45" s="159">
        <v>0</v>
      </c>
      <c r="G45" s="156"/>
      <c r="H45" s="156"/>
      <c r="I45" s="160"/>
      <c r="J45" s="160"/>
      <c r="K45" s="160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</row>
    <row r="46" spans="1:25" ht="13.2">
      <c r="A46" s="87"/>
      <c r="B46" s="87"/>
      <c r="C46" s="87"/>
      <c r="D46" s="87"/>
      <c r="E46" s="160"/>
      <c r="F46" s="156"/>
      <c r="G46" s="156"/>
      <c r="H46" s="156"/>
      <c r="I46" s="160"/>
      <c r="J46" s="160"/>
      <c r="K46" s="160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</row>
    <row r="47" spans="1:25" ht="13.2">
      <c r="A47" s="87"/>
      <c r="B47" s="87"/>
      <c r="C47" s="87"/>
      <c r="D47" s="153" t="s">
        <v>703</v>
      </c>
      <c r="E47" s="160"/>
      <c r="F47" s="156"/>
      <c r="G47" s="156">
        <f>SUM(F48:F50)</f>
        <v>0</v>
      </c>
      <c r="H47" s="156"/>
      <c r="I47" s="160"/>
      <c r="J47" s="160"/>
      <c r="K47" s="160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</row>
    <row r="48" spans="1:25" ht="13.2">
      <c r="A48" s="87"/>
      <c r="B48" s="87"/>
      <c r="C48" s="87">
        <v>3820</v>
      </c>
      <c r="D48" s="87" t="s">
        <v>704</v>
      </c>
      <c r="E48" s="160"/>
      <c r="F48" s="158"/>
      <c r="G48" s="156"/>
      <c r="H48" s="156"/>
      <c r="I48" s="160"/>
      <c r="J48" s="160"/>
      <c r="K48" s="160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</row>
    <row r="49" spans="1:25" ht="13.2">
      <c r="A49" s="87"/>
      <c r="B49" s="87"/>
      <c r="C49" s="87">
        <v>3840</v>
      </c>
      <c r="D49" s="87" t="s">
        <v>705</v>
      </c>
      <c r="E49" s="160"/>
      <c r="F49" s="161"/>
      <c r="G49" s="156"/>
      <c r="H49" s="156"/>
      <c r="I49" s="160"/>
      <c r="J49" s="160"/>
      <c r="K49" s="160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</row>
    <row r="50" spans="1:25" ht="13.2">
      <c r="A50" s="87"/>
      <c r="B50" s="87"/>
      <c r="C50" s="87">
        <v>3841</v>
      </c>
      <c r="D50" s="87" t="s">
        <v>706</v>
      </c>
      <c r="E50" s="160"/>
      <c r="F50" s="159"/>
      <c r="G50" s="156"/>
      <c r="H50" s="156"/>
      <c r="I50" s="160"/>
      <c r="J50" s="160"/>
      <c r="K50" s="160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</row>
    <row r="51" spans="1:25" ht="13.2">
      <c r="A51" s="87"/>
      <c r="B51" s="87"/>
      <c r="C51" s="87"/>
      <c r="D51" s="87"/>
      <c r="E51" s="160"/>
      <c r="F51" s="156"/>
      <c r="G51" s="156"/>
      <c r="H51" s="156"/>
      <c r="I51" s="160"/>
      <c r="J51" s="160"/>
      <c r="K51" s="160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</row>
    <row r="52" spans="1:25" ht="13.2">
      <c r="A52" s="87"/>
      <c r="B52" s="87"/>
      <c r="C52" s="87"/>
      <c r="D52" s="153" t="s">
        <v>686</v>
      </c>
      <c r="E52" s="160"/>
      <c r="F52" s="156"/>
      <c r="G52" s="156">
        <f>F53</f>
        <v>600</v>
      </c>
      <c r="H52" s="156"/>
      <c r="I52" s="160"/>
      <c r="J52" s="160"/>
      <c r="K52" s="160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</row>
    <row r="53" spans="1:25" ht="13.2">
      <c r="A53" s="87"/>
      <c r="B53" s="87"/>
      <c r="C53" s="87">
        <v>6348</v>
      </c>
      <c r="D53" s="87" t="s">
        <v>707</v>
      </c>
      <c r="E53" s="160"/>
      <c r="F53" s="162">
        <v>600</v>
      </c>
      <c r="G53" s="156"/>
      <c r="H53" s="156"/>
      <c r="I53" s="160"/>
      <c r="J53" s="160"/>
      <c r="K53" s="160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</row>
    <row r="54" spans="1:25" ht="13.2">
      <c r="A54" s="87"/>
      <c r="B54" s="87"/>
      <c r="C54" s="87"/>
      <c r="D54" s="87"/>
      <c r="E54" s="160"/>
      <c r="F54" s="156"/>
      <c r="G54" s="156"/>
      <c r="H54" s="156"/>
      <c r="I54" s="160"/>
      <c r="J54" s="160"/>
      <c r="K54" s="160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</row>
    <row r="55" spans="1:25" ht="13.2">
      <c r="A55" s="87"/>
      <c r="B55" s="87"/>
      <c r="C55" s="87"/>
      <c r="D55" s="153" t="s">
        <v>708</v>
      </c>
      <c r="E55" s="160"/>
      <c r="F55" s="156"/>
      <c r="G55" s="156">
        <f>SUM(F56:F58)</f>
        <v>11888.190000000002</v>
      </c>
      <c r="H55" s="156"/>
      <c r="I55" s="160"/>
      <c r="J55" s="160"/>
      <c r="K55" s="160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</row>
    <row r="56" spans="1:25" ht="13.2">
      <c r="A56" s="87"/>
      <c r="B56" s="87"/>
      <c r="C56" s="87">
        <v>6400</v>
      </c>
      <c r="D56" s="87" t="s">
        <v>709</v>
      </c>
      <c r="E56" s="160"/>
      <c r="F56" s="158">
        <f>H6</f>
        <v>11888.190000000002</v>
      </c>
      <c r="G56" s="156"/>
      <c r="H56" s="156"/>
      <c r="I56" s="160"/>
      <c r="J56" s="160"/>
      <c r="K56" s="160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</row>
    <row r="57" spans="1:25" ht="13.2">
      <c r="A57" s="87"/>
      <c r="B57" s="87"/>
      <c r="C57" s="87">
        <v>6420</v>
      </c>
      <c r="D57" s="87" t="s">
        <v>710</v>
      </c>
      <c r="E57" s="160"/>
      <c r="F57" s="161">
        <v>0</v>
      </c>
      <c r="G57" s="156"/>
      <c r="H57" s="156"/>
      <c r="I57" s="160"/>
      <c r="J57" s="160"/>
      <c r="K57" s="160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</row>
    <row r="58" spans="1:25" ht="13.2">
      <c r="A58" s="87"/>
      <c r="B58" s="87"/>
      <c r="C58" s="87">
        <v>6430</v>
      </c>
      <c r="D58" s="87" t="s">
        <v>711</v>
      </c>
      <c r="E58" s="160"/>
      <c r="F58" s="159">
        <v>0</v>
      </c>
      <c r="G58" s="156"/>
      <c r="H58" s="156"/>
      <c r="I58" s="160"/>
      <c r="J58" s="160"/>
      <c r="K58" s="160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</row>
    <row r="59" spans="1:25" ht="13.2">
      <c r="A59" s="87"/>
      <c r="B59" s="87"/>
      <c r="C59" s="87"/>
      <c r="D59" s="87"/>
      <c r="E59" s="160"/>
      <c r="F59" s="156"/>
      <c r="G59" s="156"/>
      <c r="H59" s="156"/>
      <c r="I59" s="160"/>
      <c r="J59" s="160"/>
      <c r="K59" s="160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</row>
    <row r="60" spans="1:25" ht="13.2">
      <c r="A60" s="87"/>
      <c r="B60" s="87"/>
      <c r="C60" s="87"/>
      <c r="D60" s="153" t="s">
        <v>689</v>
      </c>
      <c r="E60" s="160"/>
      <c r="F60" s="156"/>
      <c r="G60" s="156">
        <f>SUM(F61:F62)</f>
        <v>4626.829999999999</v>
      </c>
      <c r="H60" s="156"/>
      <c r="I60" s="160"/>
      <c r="J60" s="160"/>
      <c r="K60" s="160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</row>
    <row r="61" spans="1:25" ht="13.2">
      <c r="A61" s="87"/>
      <c r="B61" s="87"/>
      <c r="C61" s="87">
        <v>6590</v>
      </c>
      <c r="D61" s="87" t="s">
        <v>712</v>
      </c>
      <c r="E61" s="160"/>
      <c r="F61" s="158">
        <f>O6</f>
        <v>4626.829999999999</v>
      </c>
      <c r="G61" s="156"/>
      <c r="H61" s="156"/>
      <c r="I61" s="160"/>
      <c r="J61" s="160"/>
      <c r="K61" s="160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</row>
    <row r="62" spans="1:25" ht="13.2">
      <c r="A62" s="87"/>
      <c r="B62" s="87"/>
      <c r="C62" s="87">
        <v>6595</v>
      </c>
      <c r="D62" s="87" t="s">
        <v>713</v>
      </c>
      <c r="E62" s="160"/>
      <c r="F62" s="159"/>
      <c r="G62" s="156"/>
      <c r="H62" s="156"/>
      <c r="I62" s="160"/>
      <c r="J62" s="160"/>
      <c r="K62" s="160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</row>
    <row r="63" spans="1:25" ht="13.2">
      <c r="A63" s="87"/>
      <c r="B63" s="87"/>
      <c r="C63" s="87"/>
      <c r="D63" s="87"/>
      <c r="E63" s="160"/>
      <c r="F63" s="156"/>
      <c r="G63" s="156"/>
      <c r="H63" s="156"/>
      <c r="I63" s="160"/>
      <c r="J63" s="160"/>
      <c r="K63" s="160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</row>
    <row r="64" spans="1:25" ht="13.2">
      <c r="A64" s="87"/>
      <c r="B64" s="87"/>
      <c r="C64" s="87"/>
      <c r="D64" s="153" t="s">
        <v>714</v>
      </c>
      <c r="E64" s="160"/>
      <c r="F64" s="156"/>
      <c r="G64" s="156">
        <f>SUM(F65:F70)</f>
        <v>22912.42</v>
      </c>
      <c r="H64" s="156"/>
      <c r="I64" s="160"/>
      <c r="J64" s="160"/>
      <c r="K64" s="160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</row>
    <row r="65" spans="1:25" ht="13.2">
      <c r="A65" s="87"/>
      <c r="B65" s="87"/>
      <c r="C65" s="87">
        <v>6600</v>
      </c>
      <c r="D65" s="87" t="s">
        <v>715</v>
      </c>
      <c r="E65" s="160"/>
      <c r="F65" s="158">
        <v>0</v>
      </c>
      <c r="G65" s="156"/>
      <c r="H65" s="156"/>
      <c r="I65" s="160"/>
      <c r="J65" s="160"/>
      <c r="K65" s="160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</row>
    <row r="66" spans="1:25" ht="13.2">
      <c r="A66" s="87"/>
      <c r="B66" s="87"/>
      <c r="C66" s="87">
        <v>6640</v>
      </c>
      <c r="D66" s="87" t="s">
        <v>716</v>
      </c>
      <c r="E66" s="160"/>
      <c r="F66" s="161">
        <v>0</v>
      </c>
      <c r="G66" s="156"/>
      <c r="H66" s="156"/>
      <c r="I66" s="160"/>
      <c r="J66" s="160"/>
      <c r="K66" s="160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</row>
    <row r="67" spans="1:25" ht="13.2">
      <c r="A67" s="87"/>
      <c r="B67" s="87"/>
      <c r="C67" s="87">
        <v>6644</v>
      </c>
      <c r="D67" s="87" t="s">
        <v>717</v>
      </c>
      <c r="E67" s="160"/>
      <c r="F67" s="161">
        <v>0</v>
      </c>
      <c r="G67" s="156"/>
      <c r="H67" s="156"/>
      <c r="I67" s="160"/>
      <c r="J67" s="160"/>
      <c r="K67" s="160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</row>
    <row r="68" spans="1:25" ht="13.2">
      <c r="A68" s="87"/>
      <c r="B68" s="87"/>
      <c r="C68" s="87">
        <v>6673</v>
      </c>
      <c r="D68" s="87" t="s">
        <v>718</v>
      </c>
      <c r="E68" s="160"/>
      <c r="F68" s="161">
        <f>M6</f>
        <v>2083.6</v>
      </c>
      <c r="G68" s="156"/>
      <c r="H68" s="156"/>
      <c r="I68" s="160"/>
      <c r="J68" s="160"/>
      <c r="K68" s="160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</row>
    <row r="69" spans="1:25" ht="13.2">
      <c r="A69" s="87"/>
      <c r="B69" s="87"/>
      <c r="C69" s="87">
        <v>6674</v>
      </c>
      <c r="D69" s="87" t="s">
        <v>719</v>
      </c>
      <c r="E69" s="160"/>
      <c r="F69" s="161">
        <f>L6</f>
        <v>5288.0399999999991</v>
      </c>
      <c r="G69" s="156"/>
      <c r="H69" s="156"/>
      <c r="I69" s="160"/>
      <c r="J69" s="160"/>
      <c r="K69" s="160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</row>
    <row r="70" spans="1:25" ht="13.2">
      <c r="A70" s="87"/>
      <c r="B70" s="87"/>
      <c r="C70" s="87">
        <v>6680</v>
      </c>
      <c r="D70" s="87" t="s">
        <v>720</v>
      </c>
      <c r="E70" s="160"/>
      <c r="F70" s="159">
        <f>N6</f>
        <v>15540.779999999999</v>
      </c>
      <c r="G70" s="156"/>
      <c r="H70" s="156"/>
      <c r="I70" s="160"/>
      <c r="J70" s="160"/>
      <c r="K70" s="160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</row>
    <row r="71" spans="1:25" ht="13.2">
      <c r="A71" s="87"/>
      <c r="B71" s="87"/>
      <c r="C71" s="87"/>
      <c r="D71" s="87"/>
      <c r="E71" s="160"/>
      <c r="F71" s="156"/>
      <c r="G71" s="156"/>
      <c r="H71" s="156"/>
      <c r="I71" s="160"/>
      <c r="J71" s="160"/>
      <c r="K71" s="160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</row>
    <row r="72" spans="1:25" ht="13.2">
      <c r="A72" s="87"/>
      <c r="B72" s="87"/>
      <c r="C72" s="87"/>
      <c r="D72" s="153" t="s">
        <v>721</v>
      </c>
      <c r="E72" s="160"/>
      <c r="F72" s="156"/>
      <c r="G72" s="156">
        <f>SUM(F73)</f>
        <v>4345.4700000000012</v>
      </c>
      <c r="H72" s="156"/>
      <c r="I72" s="160"/>
      <c r="J72" s="160"/>
      <c r="K72" s="160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</row>
    <row r="73" spans="1:25" ht="13.2">
      <c r="A73" s="87"/>
      <c r="B73" s="87"/>
      <c r="C73" s="87">
        <v>6495</v>
      </c>
      <c r="D73" s="87" t="s">
        <v>722</v>
      </c>
      <c r="E73" s="160"/>
      <c r="F73" s="163">
        <f>Q6+P6</f>
        <v>4345.4700000000012</v>
      </c>
      <c r="G73" s="156"/>
      <c r="H73" s="156"/>
      <c r="I73" s="160"/>
      <c r="J73" s="160"/>
      <c r="K73" s="160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</row>
    <row r="74" spans="1:25" ht="13.2">
      <c r="A74" s="87"/>
      <c r="B74" s="87"/>
      <c r="C74" s="87"/>
      <c r="D74" s="87"/>
      <c r="E74" s="160"/>
      <c r="F74" s="156"/>
      <c r="G74" s="156"/>
      <c r="H74" s="156"/>
      <c r="I74" s="160"/>
      <c r="J74" s="160"/>
      <c r="K74" s="160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</row>
    <row r="75" spans="1:25" ht="13.2">
      <c r="A75" s="87"/>
      <c r="B75" s="87"/>
      <c r="C75" s="87"/>
      <c r="D75" s="153" t="s">
        <v>723</v>
      </c>
      <c r="E75" s="160"/>
      <c r="F75" s="156"/>
      <c r="G75" s="156">
        <f>SUM(F76:F85)</f>
        <v>4393.08</v>
      </c>
      <c r="H75" s="156"/>
      <c r="I75" s="160"/>
      <c r="J75" s="160"/>
      <c r="K75" s="160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</row>
    <row r="76" spans="1:25" ht="13.2">
      <c r="A76" s="87"/>
      <c r="B76" s="87"/>
      <c r="C76" s="87">
        <v>6800</v>
      </c>
      <c r="D76" s="87" t="s">
        <v>724</v>
      </c>
      <c r="E76" s="160"/>
      <c r="F76" s="158">
        <v>0</v>
      </c>
      <c r="G76" s="156"/>
      <c r="H76" s="156"/>
      <c r="I76" s="160"/>
      <c r="J76" s="160"/>
      <c r="K76" s="160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</row>
    <row r="77" spans="1:25" ht="13.2">
      <c r="A77" s="87"/>
      <c r="B77" s="87"/>
      <c r="C77" s="87">
        <v>6805</v>
      </c>
      <c r="D77" s="87" t="s">
        <v>725</v>
      </c>
      <c r="E77" s="160"/>
      <c r="F77" s="161">
        <f>J6</f>
        <v>274.48999999999995</v>
      </c>
      <c r="G77" s="156"/>
      <c r="H77" s="156"/>
      <c r="I77" s="160"/>
      <c r="J77" s="160"/>
      <c r="K77" s="160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</row>
    <row r="78" spans="1:25" ht="13.2">
      <c r="A78" s="87"/>
      <c r="B78" s="87"/>
      <c r="C78" s="87">
        <v>6810</v>
      </c>
      <c r="D78" s="87" t="s">
        <v>726</v>
      </c>
      <c r="E78" s="160"/>
      <c r="F78" s="161">
        <f>K6</f>
        <v>568.12000000000012</v>
      </c>
      <c r="G78" s="156"/>
      <c r="H78" s="156"/>
      <c r="I78" s="160"/>
      <c r="J78" s="160"/>
      <c r="K78" s="160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</row>
    <row r="79" spans="1:25" ht="13.2">
      <c r="A79" s="87"/>
      <c r="B79" s="87"/>
      <c r="C79" s="87">
        <v>6815</v>
      </c>
      <c r="D79" s="87" t="s">
        <v>727</v>
      </c>
      <c r="E79" s="160"/>
      <c r="F79" s="161">
        <f>Zusammenfassung!P144</f>
        <v>1</v>
      </c>
      <c r="G79" s="156"/>
      <c r="H79" s="156"/>
      <c r="I79" s="160"/>
      <c r="J79" s="160"/>
      <c r="K79" s="160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</row>
    <row r="80" spans="1:25" ht="13.2">
      <c r="A80" s="87"/>
      <c r="B80" s="87"/>
      <c r="C80" s="87">
        <v>6825</v>
      </c>
      <c r="D80" s="87" t="s">
        <v>728</v>
      </c>
      <c r="E80" s="160"/>
      <c r="F80" s="161">
        <f>R6</f>
        <v>3200.74</v>
      </c>
      <c r="G80" s="156"/>
      <c r="H80" s="156"/>
      <c r="I80" s="160"/>
      <c r="J80" s="160"/>
      <c r="K80" s="160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</row>
    <row r="81" spans="1:25" ht="13.2">
      <c r="A81" s="87"/>
      <c r="B81" s="87"/>
      <c r="C81" s="87">
        <v>6827</v>
      </c>
      <c r="D81" s="87" t="s">
        <v>729</v>
      </c>
      <c r="E81" s="160"/>
      <c r="F81" s="161">
        <v>0</v>
      </c>
      <c r="G81" s="156"/>
      <c r="H81" s="156"/>
      <c r="I81" s="160"/>
      <c r="J81" s="160"/>
      <c r="K81" s="160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</row>
    <row r="82" spans="1:25" ht="13.2">
      <c r="A82" s="87"/>
      <c r="B82" s="87"/>
      <c r="C82" s="87">
        <v>6830</v>
      </c>
      <c r="D82" s="87" t="s">
        <v>730</v>
      </c>
      <c r="E82" s="160"/>
      <c r="F82" s="161">
        <v>0</v>
      </c>
      <c r="G82" s="156"/>
      <c r="H82" s="156"/>
      <c r="I82" s="160"/>
      <c r="J82" s="160"/>
      <c r="K82" s="160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</row>
    <row r="83" spans="1:25" ht="13.2">
      <c r="A83" s="87"/>
      <c r="B83" s="87"/>
      <c r="C83" s="87">
        <v>6850</v>
      </c>
      <c r="D83" s="87" t="s">
        <v>731</v>
      </c>
      <c r="E83" s="160"/>
      <c r="F83" s="161">
        <f>S6</f>
        <v>348.72999999999996</v>
      </c>
      <c r="G83" s="156"/>
      <c r="H83" s="156"/>
      <c r="I83" s="160"/>
      <c r="J83" s="160"/>
      <c r="K83" s="160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</row>
    <row r="84" spans="1:25" ht="13.2">
      <c r="A84" s="87"/>
      <c r="B84" s="87"/>
      <c r="C84" s="87">
        <v>6851</v>
      </c>
      <c r="D84" s="87" t="s">
        <v>732</v>
      </c>
      <c r="E84" s="160"/>
      <c r="F84" s="161">
        <v>0</v>
      </c>
      <c r="G84" s="156"/>
      <c r="H84" s="156"/>
      <c r="I84" s="160"/>
      <c r="J84" s="160"/>
      <c r="K84" s="160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</row>
    <row r="85" spans="1:25" ht="13.2">
      <c r="A85" s="87"/>
      <c r="B85" s="87"/>
      <c r="C85" s="87">
        <v>6855</v>
      </c>
      <c r="D85" s="87" t="s">
        <v>733</v>
      </c>
      <c r="E85" s="160"/>
      <c r="F85" s="159">
        <v>0</v>
      </c>
      <c r="G85" s="156"/>
      <c r="H85" s="156"/>
      <c r="I85" s="160"/>
      <c r="J85" s="160"/>
      <c r="K85" s="160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</row>
    <row r="86" spans="1:25" ht="13.2">
      <c r="A86" s="87"/>
      <c r="B86" s="87"/>
      <c r="C86" s="87"/>
      <c r="D86" s="87"/>
      <c r="E86" s="160"/>
      <c r="F86" s="156"/>
      <c r="G86" s="156"/>
      <c r="H86" s="156"/>
      <c r="I86" s="160"/>
      <c r="J86" s="160"/>
      <c r="K86" s="160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</row>
    <row r="87" spans="1:25" ht="13.2">
      <c r="A87" s="87"/>
      <c r="B87" s="87"/>
      <c r="C87" s="87"/>
      <c r="D87" s="153" t="s">
        <v>734</v>
      </c>
      <c r="E87" s="160"/>
      <c r="F87" s="156"/>
      <c r="G87" s="156">
        <f>SUM(F88:F91)</f>
        <v>0</v>
      </c>
      <c r="H87" s="156"/>
      <c r="I87" s="160"/>
      <c r="J87" s="160"/>
      <c r="K87" s="160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</row>
    <row r="88" spans="1:25" ht="13.2">
      <c r="A88" s="87"/>
      <c r="B88" s="87"/>
      <c r="C88" s="87">
        <v>1401</v>
      </c>
      <c r="D88" s="87" t="s">
        <v>735</v>
      </c>
      <c r="E88" s="164">
        <v>7.0000000000000007E-2</v>
      </c>
      <c r="F88" s="158"/>
      <c r="G88" s="156"/>
      <c r="H88" s="156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</row>
    <row r="89" spans="1:25" ht="13.2">
      <c r="A89" s="87"/>
      <c r="B89" s="87"/>
      <c r="C89" s="87">
        <v>1403</v>
      </c>
      <c r="D89" s="87" t="s">
        <v>735</v>
      </c>
      <c r="E89" s="164">
        <v>0.05</v>
      </c>
      <c r="F89" s="161"/>
      <c r="G89" s="156"/>
      <c r="H89" s="156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</row>
    <row r="90" spans="1:25" ht="13.2">
      <c r="A90" s="87"/>
      <c r="B90" s="87"/>
      <c r="C90" s="87">
        <v>1405</v>
      </c>
      <c r="D90" s="87" t="s">
        <v>735</v>
      </c>
      <c r="E90" s="164">
        <v>0.16</v>
      </c>
      <c r="F90" s="161"/>
      <c r="G90" s="156"/>
      <c r="H90" s="156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</row>
    <row r="91" spans="1:25" ht="13.2">
      <c r="A91" s="87"/>
      <c r="B91" s="87"/>
      <c r="C91" s="87">
        <v>1406</v>
      </c>
      <c r="D91" s="87" t="s">
        <v>735</v>
      </c>
      <c r="E91" s="164">
        <v>0.19</v>
      </c>
      <c r="F91" s="159"/>
      <c r="G91" s="156"/>
      <c r="H91" s="156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</row>
    <row r="92" spans="1:25" ht="13.2">
      <c r="A92" s="87"/>
      <c r="B92" s="87"/>
      <c r="C92" s="87"/>
      <c r="D92" s="87"/>
      <c r="E92" s="87"/>
      <c r="F92" s="156"/>
      <c r="G92" s="156"/>
      <c r="H92" s="156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</row>
    <row r="93" spans="1:25" ht="13.2">
      <c r="A93" s="87"/>
      <c r="B93" s="87"/>
      <c r="C93" s="87"/>
      <c r="D93" s="153" t="s">
        <v>736</v>
      </c>
      <c r="E93" s="87"/>
      <c r="F93" s="156"/>
      <c r="G93" s="156">
        <f>G35</f>
        <v>44112.369999999995</v>
      </c>
      <c r="H93" s="156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</row>
    <row r="94" spans="1:25" ht="13.2">
      <c r="A94" s="87"/>
      <c r="B94" s="87"/>
      <c r="C94" s="87"/>
      <c r="D94" s="87"/>
      <c r="E94" s="87"/>
      <c r="F94" s="156"/>
      <c r="G94" s="156"/>
      <c r="H94" s="156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</row>
    <row r="95" spans="1:25" ht="13.2">
      <c r="A95" s="87"/>
      <c r="B95" s="87"/>
      <c r="C95" s="87"/>
      <c r="D95" s="153" t="s">
        <v>716</v>
      </c>
      <c r="E95" s="87"/>
      <c r="F95" s="156"/>
      <c r="G95" s="156"/>
      <c r="H95" s="156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</row>
    <row r="96" spans="1:25" ht="13.2">
      <c r="A96" s="87"/>
      <c r="B96" s="87"/>
      <c r="C96" s="87">
        <v>6644</v>
      </c>
      <c r="D96" s="87" t="s">
        <v>737</v>
      </c>
      <c r="E96" s="87"/>
      <c r="F96" s="156"/>
      <c r="G96" s="156">
        <v>0</v>
      </c>
      <c r="H96" s="156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</row>
    <row r="97" spans="1:25" ht="13.2">
      <c r="A97" s="87"/>
      <c r="B97" s="87"/>
      <c r="C97" s="87"/>
      <c r="D97" s="87"/>
      <c r="E97" s="87"/>
      <c r="F97" s="156"/>
      <c r="G97" s="165"/>
      <c r="H97" s="156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</row>
    <row r="98" spans="1:25" ht="20.25" customHeight="1" thickBot="1">
      <c r="A98" s="87"/>
      <c r="B98" s="87"/>
      <c r="C98" s="87"/>
      <c r="D98" s="153" t="s">
        <v>738</v>
      </c>
      <c r="E98" s="87"/>
      <c r="F98" s="156"/>
      <c r="G98" s="157">
        <f>G93+G96</f>
        <v>44112.369999999995</v>
      </c>
      <c r="H98" s="156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</row>
    <row r="99" spans="1:25" ht="13.8" thickTop="1">
      <c r="F99" s="84"/>
      <c r="G99" s="166"/>
      <c r="H99" s="84"/>
    </row>
    <row r="100" spans="1:25" ht="13.2">
      <c r="G100" s="167"/>
    </row>
  </sheetData>
  <conditionalFormatting sqref="T4:T5 T8:T9">
    <cfRule type="cellIs" dxfId="25" priority="1" operator="between">
      <formula>U4+1</formula>
      <formula>U4-1</formula>
    </cfRule>
    <cfRule type="cellIs" dxfId="24" priority="2" operator="notBetween">
      <formula>U4+1</formula>
      <formula>U4-1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BA9F0-289D-4102-9649-E14FA6B72576}">
  <sheetPr codeName="Sheet8">
    <outlinePr summaryBelow="0" summaryRight="0"/>
  </sheetPr>
  <dimension ref="A1:AB26"/>
  <sheetViews>
    <sheetView workbookViewId="0">
      <pane ySplit="3" topLeftCell="A4" activePane="bottomLeft" state="frozen"/>
      <selection pane="bottomLeft" activeCell="M30" sqref="M30"/>
    </sheetView>
  </sheetViews>
  <sheetFormatPr defaultColWidth="12.6640625" defaultRowHeight="15" customHeight="1"/>
  <cols>
    <col min="1" max="1" width="11" customWidth="1"/>
    <col min="2" max="2" width="23.33203125" customWidth="1"/>
    <col min="3" max="3" width="43.33203125" customWidth="1"/>
    <col min="4" max="7" width="12.6640625" customWidth="1"/>
    <col min="8" max="8" width="15" customWidth="1"/>
    <col min="9" max="24" width="12.6640625" customWidth="1"/>
  </cols>
  <sheetData>
    <row r="1" spans="1:28" ht="41.4">
      <c r="A1" s="993"/>
      <c r="B1" s="994" t="s">
        <v>640</v>
      </c>
      <c r="C1" s="994" t="s">
        <v>2</v>
      </c>
      <c r="D1" s="995" t="s">
        <v>143</v>
      </c>
      <c r="E1" s="995" t="s">
        <v>144</v>
      </c>
      <c r="F1" s="996" t="s">
        <v>145</v>
      </c>
      <c r="G1" s="997" t="s">
        <v>146</v>
      </c>
      <c r="H1" s="997" t="s">
        <v>36</v>
      </c>
      <c r="I1" s="998" t="s">
        <v>37</v>
      </c>
      <c r="J1" s="997" t="s">
        <v>3</v>
      </c>
      <c r="K1" s="997" t="s">
        <v>147</v>
      </c>
      <c r="L1" s="997" t="s">
        <v>148</v>
      </c>
      <c r="M1" s="994" t="s">
        <v>149</v>
      </c>
      <c r="N1" s="994" t="s">
        <v>150</v>
      </c>
      <c r="O1" s="994" t="s">
        <v>151</v>
      </c>
      <c r="P1" s="994" t="s">
        <v>740</v>
      </c>
      <c r="Q1" s="994" t="s">
        <v>42</v>
      </c>
      <c r="R1" s="994" t="s">
        <v>14</v>
      </c>
      <c r="S1" s="994" t="s">
        <v>48</v>
      </c>
      <c r="T1" s="999" t="s">
        <v>46</v>
      </c>
      <c r="U1" s="1000" t="s">
        <v>47</v>
      </c>
      <c r="V1" s="1000" t="s">
        <v>49</v>
      </c>
      <c r="W1" s="1000" t="s">
        <v>153</v>
      </c>
      <c r="X1" s="1001" t="str">
        <f>Zusammenfassung!X1</f>
        <v>Expenses Check</v>
      </c>
      <c r="Y1" s="994" t="s">
        <v>741</v>
      </c>
      <c r="Z1" s="178"/>
      <c r="AA1" s="178"/>
      <c r="AB1" s="178"/>
    </row>
    <row r="2" spans="1:28" ht="32.4" hidden="1" thickTop="1" thickBot="1">
      <c r="A2" s="179"/>
      <c r="B2" s="180" t="s">
        <v>154</v>
      </c>
      <c r="C2" s="181" t="s">
        <v>155</v>
      </c>
      <c r="D2" s="28" t="s">
        <v>156</v>
      </c>
      <c r="E2" s="28" t="s">
        <v>52</v>
      </c>
      <c r="F2" s="182" t="s">
        <v>157</v>
      </c>
      <c r="G2" s="183"/>
      <c r="H2" s="184" t="s">
        <v>157</v>
      </c>
      <c r="I2" s="185" t="s">
        <v>157</v>
      </c>
      <c r="J2" s="186">
        <v>13</v>
      </c>
      <c r="K2" s="186">
        <v>100</v>
      </c>
      <c r="L2" s="186">
        <v>146</v>
      </c>
      <c r="M2" s="186">
        <v>146</v>
      </c>
      <c r="N2" s="186">
        <v>146</v>
      </c>
      <c r="O2" s="186"/>
      <c r="P2" s="186"/>
      <c r="Q2" s="186">
        <v>183</v>
      </c>
      <c r="R2" s="186">
        <v>221</v>
      </c>
      <c r="S2" s="187" t="s">
        <v>158</v>
      </c>
      <c r="T2" s="188" t="s">
        <v>159</v>
      </c>
      <c r="U2" s="188" t="s">
        <v>160</v>
      </c>
      <c r="V2" s="189" t="s">
        <v>60</v>
      </c>
      <c r="W2" s="189" t="s">
        <v>60</v>
      </c>
      <c r="X2" s="190"/>
      <c r="Y2" s="178"/>
      <c r="Z2" s="178"/>
      <c r="AA2" s="178"/>
      <c r="AB2" s="178"/>
    </row>
    <row r="3" spans="1:28" ht="13.2">
      <c r="A3" s="191">
        <v>1</v>
      </c>
      <c r="B3" s="191">
        <v>2</v>
      </c>
      <c r="C3" s="191">
        <v>3</v>
      </c>
      <c r="D3" s="191">
        <v>4</v>
      </c>
      <c r="E3" s="191">
        <v>5</v>
      </c>
      <c r="F3" s="191">
        <v>6</v>
      </c>
      <c r="G3" s="191">
        <v>7</v>
      </c>
      <c r="H3" s="191">
        <v>8</v>
      </c>
      <c r="I3" s="191">
        <v>9</v>
      </c>
      <c r="J3" s="191">
        <v>10</v>
      </c>
      <c r="K3" s="191">
        <v>11</v>
      </c>
      <c r="L3" s="191">
        <v>12</v>
      </c>
      <c r="M3" s="191">
        <v>13</v>
      </c>
      <c r="N3" s="191">
        <v>14</v>
      </c>
      <c r="O3" s="191">
        <v>15</v>
      </c>
      <c r="P3" s="191">
        <v>16</v>
      </c>
      <c r="Q3" s="191">
        <v>17</v>
      </c>
      <c r="R3" s="191">
        <v>18</v>
      </c>
      <c r="S3" s="191">
        <v>19</v>
      </c>
      <c r="T3" s="191">
        <v>20</v>
      </c>
      <c r="U3" s="191">
        <v>21</v>
      </c>
      <c r="V3" s="191">
        <v>22</v>
      </c>
      <c r="W3" s="192"/>
      <c r="X3" s="192"/>
      <c r="Y3" s="192"/>
      <c r="Z3" s="192"/>
      <c r="AA3" s="192"/>
      <c r="AB3" s="192"/>
    </row>
    <row r="4" spans="1:28" ht="13.2">
      <c r="A4" s="178"/>
      <c r="B4" s="193" t="str">
        <f>Zusammenfassung!B26</f>
        <v>2024.04.06 bis 2024.12.31</v>
      </c>
      <c r="C4" s="194" t="str">
        <f>Zusammenfassung!C20</f>
        <v>UK portion (£)</v>
      </c>
      <c r="D4" s="195">
        <f>Zusammenfassung!D30</f>
        <v>38932.800000000003</v>
      </c>
      <c r="E4" s="195">
        <f>Zusammenfassung!E30</f>
        <v>9821.0864503198045</v>
      </c>
      <c r="F4" s="195"/>
      <c r="G4" s="195"/>
      <c r="H4" s="195">
        <f>Zusammenfassung!H30</f>
        <v>0</v>
      </c>
      <c r="I4" s="195">
        <f>Zusammenfassung!I30</f>
        <v>0</v>
      </c>
      <c r="J4" s="195">
        <f>Zusammenfassung!J30</f>
        <v>64</v>
      </c>
      <c r="K4" s="195">
        <f>Zusammenfassung!K30</f>
        <v>368</v>
      </c>
      <c r="L4" s="195">
        <f>Zusammenfassung!L30</f>
        <v>2406</v>
      </c>
      <c r="M4" s="195">
        <f>Zusammenfassung!M30</f>
        <v>0</v>
      </c>
      <c r="N4" s="195">
        <f>Zusammenfassung!N30</f>
        <v>0</v>
      </c>
      <c r="O4" s="195">
        <f>Zusammenfassung!O30</f>
        <v>1961</v>
      </c>
      <c r="P4" s="195">
        <f>Zusammenfassung!P30</f>
        <v>0</v>
      </c>
      <c r="Q4" s="195">
        <f>Zusammenfassung!Q30</f>
        <v>211</v>
      </c>
      <c r="R4" s="195">
        <f>Zusammenfassung!R30</f>
        <v>0</v>
      </c>
      <c r="S4" s="195">
        <f>Zusammenfassung!S30</f>
        <v>200</v>
      </c>
      <c r="T4" s="195"/>
      <c r="U4" s="195"/>
      <c r="V4" s="195"/>
      <c r="W4" s="196"/>
      <c r="X4" s="178"/>
      <c r="Y4" s="196">
        <f t="shared" ref="Y4:Y6" si="0">SUM(H4:S4)</f>
        <v>5210</v>
      </c>
      <c r="Z4" s="178"/>
      <c r="AA4" s="178"/>
      <c r="AB4" s="178"/>
    </row>
    <row r="5" spans="1:28" ht="13.2">
      <c r="A5" s="178"/>
      <c r="B5" s="193" t="str">
        <f>Zusammenfassung!B31</f>
        <v>2025.01.01 bis 2025.04.05</v>
      </c>
      <c r="C5" s="194" t="str">
        <f>Zusammenfassung!C25</f>
        <v>UK portion (£)</v>
      </c>
      <c r="D5" s="195">
        <f>Zusammenfassung!D35</f>
        <v>9534.36</v>
      </c>
      <c r="E5" s="195">
        <f>Zusammenfassung!E35</f>
        <v>13276.08</v>
      </c>
      <c r="F5" s="195"/>
      <c r="G5" s="195"/>
      <c r="H5" s="195">
        <f>Zusammenfassung!H35</f>
        <v>0</v>
      </c>
      <c r="I5" s="195">
        <f>Zusammenfassung!I35</f>
        <v>0</v>
      </c>
      <c r="J5" s="195">
        <f>Zusammenfassung!J35</f>
        <v>45</v>
      </c>
      <c r="K5" s="195">
        <f>Zusammenfassung!K35</f>
        <v>35</v>
      </c>
      <c r="L5" s="195">
        <f>Zusammenfassung!L35</f>
        <v>851</v>
      </c>
      <c r="M5" s="195">
        <f>Zusammenfassung!M35</f>
        <v>0</v>
      </c>
      <c r="N5" s="195">
        <f>Zusammenfassung!N35</f>
        <v>0</v>
      </c>
      <c r="O5" s="195">
        <f>Zusammenfassung!O35</f>
        <v>1130</v>
      </c>
      <c r="P5" s="195">
        <f>Zusammenfassung!P35</f>
        <v>0</v>
      </c>
      <c r="Q5" s="195">
        <f>Zusammenfassung!Q35</f>
        <v>499</v>
      </c>
      <c r="R5" s="195">
        <f>Zusammenfassung!R35</f>
        <v>0</v>
      </c>
      <c r="S5" s="195">
        <f>Zusammenfassung!S35</f>
        <v>67</v>
      </c>
      <c r="T5" s="195"/>
      <c r="U5" s="195"/>
      <c r="V5" s="195"/>
      <c r="W5" s="196"/>
      <c r="X5" s="178"/>
      <c r="Y5" s="196">
        <f t="shared" si="0"/>
        <v>2627</v>
      </c>
      <c r="Z5" s="178"/>
      <c r="AA5" s="178"/>
      <c r="AB5" s="178"/>
    </row>
    <row r="6" spans="1:28" ht="13.2">
      <c r="A6" s="178"/>
      <c r="B6" s="193"/>
      <c r="C6" s="194" t="s">
        <v>675</v>
      </c>
      <c r="D6" s="197">
        <f>SUM(D4:E5)</f>
        <v>71564.326450319801</v>
      </c>
      <c r="E6" s="198"/>
      <c r="F6" s="198"/>
      <c r="G6" s="198"/>
      <c r="H6" s="198">
        <f t="shared" ref="H6:S6" si="1">SUM(H4:H5)</f>
        <v>0</v>
      </c>
      <c r="I6" s="198">
        <f t="shared" si="1"/>
        <v>0</v>
      </c>
      <c r="J6" s="197">
        <f t="shared" si="1"/>
        <v>109</v>
      </c>
      <c r="K6" s="197">
        <f t="shared" si="1"/>
        <v>403</v>
      </c>
      <c r="L6" s="199">
        <f t="shared" si="1"/>
        <v>3257</v>
      </c>
      <c r="M6" s="199">
        <f t="shared" si="1"/>
        <v>0</v>
      </c>
      <c r="N6" s="197">
        <f t="shared" si="1"/>
        <v>0</v>
      </c>
      <c r="O6" s="197">
        <f t="shared" si="1"/>
        <v>3091</v>
      </c>
      <c r="P6" s="197">
        <f t="shared" si="1"/>
        <v>0</v>
      </c>
      <c r="Q6" s="197">
        <f t="shared" si="1"/>
        <v>710</v>
      </c>
      <c r="R6" s="197">
        <f t="shared" si="1"/>
        <v>0</v>
      </c>
      <c r="S6" s="197">
        <f t="shared" si="1"/>
        <v>267</v>
      </c>
      <c r="T6" s="198"/>
      <c r="U6" s="198"/>
      <c r="V6" s="198"/>
      <c r="W6" s="200"/>
      <c r="X6" s="201"/>
      <c r="Y6" s="200">
        <f t="shared" si="0"/>
        <v>7837</v>
      </c>
      <c r="Z6" s="178"/>
      <c r="AA6" s="178"/>
      <c r="AB6" s="178"/>
    </row>
    <row r="7" spans="1:28" ht="13.2">
      <c r="A7" s="178"/>
      <c r="B7" s="193"/>
      <c r="C7" s="178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6"/>
      <c r="X7" s="178"/>
      <c r="Y7" s="178"/>
      <c r="Z7" s="178"/>
      <c r="AA7" s="178"/>
      <c r="AB7" s="178"/>
    </row>
    <row r="8" spans="1:28" ht="13.2">
      <c r="A8" s="178"/>
      <c r="B8" s="193"/>
      <c r="C8" s="178"/>
      <c r="D8" s="195"/>
      <c r="E8" s="195"/>
      <c r="F8" s="195"/>
      <c r="G8" s="195"/>
      <c r="H8" s="195"/>
      <c r="I8" s="195"/>
      <c r="J8" s="195"/>
      <c r="K8" s="195"/>
      <c r="L8" s="195"/>
      <c r="M8" s="195"/>
      <c r="N8" s="195"/>
      <c r="O8" s="195"/>
      <c r="P8" s="195"/>
      <c r="Q8" s="195"/>
      <c r="R8" s="195"/>
      <c r="S8" s="195"/>
      <c r="T8" s="195"/>
      <c r="U8" s="195"/>
      <c r="V8" s="195"/>
      <c r="W8" s="196"/>
      <c r="X8" s="178"/>
      <c r="Y8" s="178"/>
      <c r="Z8" s="178"/>
      <c r="AA8" s="178"/>
      <c r="AB8" s="178"/>
    </row>
    <row r="9" spans="1:28" ht="13.2">
      <c r="A9" s="178"/>
      <c r="B9" s="178"/>
      <c r="C9" s="178"/>
      <c r="D9" s="178"/>
      <c r="E9" s="178"/>
      <c r="F9" s="178"/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8"/>
      <c r="W9" s="178"/>
      <c r="X9" s="178"/>
      <c r="Y9" s="178"/>
      <c r="Z9" s="178"/>
      <c r="AA9" s="178"/>
      <c r="AB9" s="178"/>
    </row>
    <row r="10" spans="1:28" ht="13.2">
      <c r="A10" s="178"/>
      <c r="B10" s="178"/>
      <c r="C10" s="178"/>
      <c r="D10" s="178"/>
      <c r="E10" s="953" t="s">
        <v>2410</v>
      </c>
      <c r="F10" s="952" t="s">
        <v>2409</v>
      </c>
      <c r="G10" s="952" t="s">
        <v>2408</v>
      </c>
      <c r="H10" s="178"/>
      <c r="I10" s="178"/>
      <c r="J10" s="178"/>
      <c r="L10" s="178"/>
      <c r="M10" s="178"/>
      <c r="N10" s="203">
        <f>SUM(N12:N13)</f>
        <v>6348</v>
      </c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</row>
    <row r="11" spans="1:28" ht="13.2">
      <c r="A11" s="178"/>
      <c r="B11" s="178"/>
      <c r="C11" s="178" t="s">
        <v>742</v>
      </c>
      <c r="D11" s="195"/>
      <c r="E11" s="196">
        <f>D6</f>
        <v>71564.326450319801</v>
      </c>
      <c r="F11" s="196">
        <v>56988</v>
      </c>
      <c r="G11" s="178"/>
      <c r="H11" s="178"/>
      <c r="I11" s="178"/>
      <c r="J11" s="178"/>
      <c r="K11" s="204">
        <f>SUM(K12:K16)</f>
        <v>512</v>
      </c>
      <c r="L11" s="178"/>
      <c r="M11" s="178"/>
      <c r="N11" s="205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</row>
    <row r="12" spans="1:28" ht="13.2">
      <c r="A12" s="178"/>
      <c r="B12" s="178"/>
      <c r="C12" s="178" t="s">
        <v>743</v>
      </c>
      <c r="D12" s="195">
        <f>D8</f>
        <v>0</v>
      </c>
      <c r="E12" s="196">
        <f>D6-E13</f>
        <v>63727.326450319801</v>
      </c>
      <c r="F12" s="196">
        <v>50821</v>
      </c>
      <c r="G12" s="196">
        <f>'UK 2022'!D7</f>
        <v>51322.073111167294</v>
      </c>
      <c r="H12" s="178"/>
      <c r="I12" s="178"/>
      <c r="J12" s="206" t="s">
        <v>3</v>
      </c>
      <c r="K12" s="207">
        <f>J6</f>
        <v>109</v>
      </c>
      <c r="L12" s="178"/>
      <c r="M12" s="206" t="s">
        <v>744</v>
      </c>
      <c r="N12" s="208">
        <f>O6</f>
        <v>3091</v>
      </c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</row>
    <row r="13" spans="1:28" ht="13.8" thickBot="1">
      <c r="A13" s="178"/>
      <c r="B13" s="178"/>
      <c r="C13" s="178"/>
      <c r="D13" s="178"/>
      <c r="E13" s="957">
        <f>SUM(E14:E23)</f>
        <v>7837</v>
      </c>
      <c r="F13" s="957">
        <v>6167</v>
      </c>
      <c r="G13" s="195">
        <f>SUM(G14:G23)</f>
        <v>6639.1868888327062</v>
      </c>
      <c r="H13" s="178"/>
      <c r="I13" s="178"/>
      <c r="J13" s="206" t="s">
        <v>745</v>
      </c>
      <c r="K13" s="210">
        <f>K6</f>
        <v>403</v>
      </c>
      <c r="L13" s="178"/>
      <c r="M13" s="206" t="s">
        <v>746</v>
      </c>
      <c r="N13" s="211">
        <f>L6</f>
        <v>3257</v>
      </c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</row>
    <row r="14" spans="1:28" ht="13.2">
      <c r="A14" s="178"/>
      <c r="B14" s="178"/>
      <c r="C14" s="178" t="s">
        <v>747</v>
      </c>
      <c r="D14" s="958"/>
      <c r="E14" s="965">
        <v>0</v>
      </c>
      <c r="F14" s="961">
        <v>0</v>
      </c>
      <c r="G14" s="954">
        <f>'UK 2022'!E9</f>
        <v>0</v>
      </c>
      <c r="H14" s="194"/>
      <c r="I14" s="178"/>
      <c r="J14" s="206" t="s">
        <v>748</v>
      </c>
      <c r="K14" s="210">
        <f>P6</f>
        <v>0</v>
      </c>
      <c r="L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</row>
    <row r="15" spans="1:28" ht="13.2">
      <c r="A15" s="178"/>
      <c r="B15" s="178"/>
      <c r="C15" s="178" t="s">
        <v>749</v>
      </c>
      <c r="D15" s="958"/>
      <c r="E15" s="966">
        <f>N10</f>
        <v>6348</v>
      </c>
      <c r="F15" s="962">
        <v>4676</v>
      </c>
      <c r="G15" s="955">
        <f>'UK 2022'!E10</f>
        <v>2928.8955455969572</v>
      </c>
      <c r="H15" s="194" t="s">
        <v>750</v>
      </c>
      <c r="I15" s="178"/>
      <c r="J15" s="206"/>
      <c r="K15" s="215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</row>
    <row r="16" spans="1:28" ht="13.2">
      <c r="A16" s="178"/>
      <c r="B16" s="178"/>
      <c r="C16" s="178" t="s">
        <v>751</v>
      </c>
      <c r="D16" s="958"/>
      <c r="E16" s="966">
        <v>0</v>
      </c>
      <c r="F16" s="962">
        <v>0</v>
      </c>
      <c r="G16" s="955">
        <f>'UK 2022'!E11</f>
        <v>0</v>
      </c>
      <c r="H16" s="178"/>
      <c r="I16" s="178"/>
      <c r="J16" s="206"/>
      <c r="K16" s="216"/>
      <c r="L16" s="178"/>
      <c r="M16" s="206" t="s">
        <v>752</v>
      </c>
      <c r="N16" s="217">
        <f>N8</f>
        <v>0</v>
      </c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</row>
    <row r="17" spans="1:28" ht="13.2">
      <c r="A17" s="178"/>
      <c r="B17" s="178"/>
      <c r="C17" s="178" t="s">
        <v>753</v>
      </c>
      <c r="D17" s="958"/>
      <c r="E17" s="966">
        <f>N6</f>
        <v>0</v>
      </c>
      <c r="F17" s="962">
        <v>0</v>
      </c>
      <c r="G17" s="955">
        <f>'UK 2022'!E12</f>
        <v>0</v>
      </c>
      <c r="H17" s="178">
        <v>14</v>
      </c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8"/>
      <c r="Z17" s="178"/>
      <c r="AA17" s="178"/>
      <c r="AB17" s="178"/>
    </row>
    <row r="18" spans="1:28" ht="13.2">
      <c r="A18" s="178"/>
      <c r="B18" s="178"/>
      <c r="C18" s="178" t="s">
        <v>754</v>
      </c>
      <c r="D18" s="958"/>
      <c r="E18" s="966">
        <v>0</v>
      </c>
      <c r="F18" s="962">
        <v>0</v>
      </c>
      <c r="G18" s="955">
        <f>'UK 2022'!E13</f>
        <v>0</v>
      </c>
      <c r="H18" s="178"/>
      <c r="I18" s="178"/>
      <c r="J18" s="178"/>
      <c r="K18" s="218">
        <f>SUM(K19:K23)</f>
        <v>710</v>
      </c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178"/>
      <c r="Z18" s="178"/>
      <c r="AA18" s="178"/>
      <c r="AB18" s="178"/>
    </row>
    <row r="19" spans="1:28" ht="13.2">
      <c r="A19" s="178"/>
      <c r="B19" s="178"/>
      <c r="C19" s="219" t="s">
        <v>755</v>
      </c>
      <c r="D19" s="959"/>
      <c r="E19" s="967">
        <f>R6</f>
        <v>0</v>
      </c>
      <c r="F19" s="963">
        <v>498</v>
      </c>
      <c r="G19" s="955">
        <f>'UK 2022'!E14</f>
        <v>1237.4824093702969</v>
      </c>
      <c r="H19" s="178">
        <v>18</v>
      </c>
      <c r="I19" s="178"/>
      <c r="J19" s="206" t="s">
        <v>756</v>
      </c>
      <c r="K19" s="222">
        <f>Q6</f>
        <v>710</v>
      </c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</row>
    <row r="20" spans="1:28" ht="13.2">
      <c r="A20" s="178"/>
      <c r="B20" s="178"/>
      <c r="C20" s="178" t="s">
        <v>757</v>
      </c>
      <c r="D20" s="958"/>
      <c r="E20" s="966">
        <f>S6</f>
        <v>267</v>
      </c>
      <c r="F20" s="962">
        <v>133</v>
      </c>
      <c r="G20" s="955">
        <f>'UK 2022'!E15</f>
        <v>183.75068502610367</v>
      </c>
      <c r="H20" s="178">
        <v>19</v>
      </c>
      <c r="I20" s="178"/>
      <c r="J20" s="206"/>
      <c r="K20" s="206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</row>
    <row r="21" spans="1:28" ht="13.2">
      <c r="A21" s="178"/>
      <c r="B21" s="178"/>
      <c r="C21" s="178" t="s">
        <v>758</v>
      </c>
      <c r="D21" s="958"/>
      <c r="E21" s="966">
        <f>K11</f>
        <v>512</v>
      </c>
      <c r="F21" s="962">
        <v>545</v>
      </c>
      <c r="G21" s="955">
        <f>'UK 2022'!E16</f>
        <v>1602.5288713232965</v>
      </c>
      <c r="H21" s="194" t="s">
        <v>759</v>
      </c>
      <c r="I21" s="178"/>
      <c r="J21" s="206"/>
      <c r="K21" s="223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78"/>
      <c r="W21" s="178"/>
      <c r="X21" s="178"/>
      <c r="Y21" s="178"/>
      <c r="Z21" s="178"/>
      <c r="AA21" s="178"/>
      <c r="AB21" s="178"/>
    </row>
    <row r="22" spans="1:28" ht="13.2">
      <c r="A22" s="178"/>
      <c r="B22" s="178"/>
      <c r="C22" s="178" t="s">
        <v>760</v>
      </c>
      <c r="D22" s="958"/>
      <c r="E22" s="966">
        <f>K18</f>
        <v>710</v>
      </c>
      <c r="F22" s="962">
        <v>315</v>
      </c>
      <c r="G22" s="955">
        <f>'UK 2022'!E17</f>
        <v>686.52937751605123</v>
      </c>
      <c r="H22" s="178"/>
      <c r="I22" s="178"/>
      <c r="J22" s="178"/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178"/>
      <c r="W22" s="178"/>
      <c r="X22" s="178"/>
      <c r="Y22" s="178"/>
      <c r="Z22" s="178"/>
      <c r="AA22" s="178"/>
      <c r="AB22" s="178"/>
    </row>
    <row r="23" spans="1:28" ht="13.8" thickBot="1">
      <c r="A23" s="178"/>
      <c r="B23" s="178"/>
      <c r="C23" s="178"/>
      <c r="D23" s="960"/>
      <c r="E23" s="968"/>
      <c r="F23" s="964"/>
      <c r="G23" s="956">
        <f>'UK 2022'!E18</f>
        <v>0</v>
      </c>
      <c r="H23" s="178"/>
      <c r="I23" s="178"/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/>
    </row>
    <row r="24" spans="1:28" ht="13.2">
      <c r="A24" s="178"/>
      <c r="B24" s="178"/>
      <c r="C24" s="178"/>
      <c r="D24" s="226"/>
      <c r="E24" s="226"/>
      <c r="F24" s="178"/>
      <c r="G24" s="178"/>
      <c r="H24" s="178"/>
      <c r="I24" s="178"/>
      <c r="J24" s="178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</row>
    <row r="25" spans="1:28" ht="13.2">
      <c r="A25" s="178"/>
      <c r="B25" s="178"/>
      <c r="C25" s="178"/>
      <c r="D25" s="226"/>
      <c r="E25" s="226"/>
      <c r="F25" s="178"/>
      <c r="G25" s="178"/>
      <c r="H25" s="178"/>
      <c r="I25" s="178"/>
      <c r="J25" s="178"/>
      <c r="K25" s="178"/>
      <c r="L25" s="178"/>
      <c r="M25" s="178"/>
      <c r="N25" s="178"/>
      <c r="O25" s="178"/>
      <c r="P25" s="178"/>
      <c r="Q25" s="178"/>
      <c r="R25" s="178"/>
      <c r="S25" s="178"/>
      <c r="T25" s="178"/>
      <c r="U25" s="178"/>
      <c r="V25" s="178"/>
      <c r="W25" s="178"/>
      <c r="X25" s="178"/>
      <c r="Y25" s="178"/>
      <c r="Z25" s="178"/>
      <c r="AA25" s="178"/>
      <c r="AB25" s="178"/>
    </row>
    <row r="26" spans="1:28" ht="13.2">
      <c r="A26" s="178"/>
      <c r="B26" s="178"/>
      <c r="C26" s="178"/>
      <c r="D26" s="226"/>
      <c r="E26" s="226"/>
      <c r="F26" s="178"/>
      <c r="G26" s="178"/>
      <c r="H26" s="178"/>
      <c r="I26" s="178"/>
      <c r="J26" s="17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</row>
  </sheetData>
  <conditionalFormatting sqref="B2">
    <cfRule type="cellIs" dxfId="23" priority="7" operator="lessThan">
      <formula>0</formula>
    </cfRule>
  </conditionalFormatting>
  <conditionalFormatting sqref="E13">
    <cfRule type="cellIs" dxfId="22" priority="8" operator="equal">
      <formula>Y6</formula>
    </cfRule>
    <cfRule type="cellIs" dxfId="21" priority="9" operator="notEqual">
      <formula>Y6</formula>
    </cfRule>
  </conditionalFormatting>
  <conditionalFormatting sqref="F13">
    <cfRule type="cellIs" dxfId="20" priority="5" operator="equal">
      <formula>Z5</formula>
    </cfRule>
    <cfRule type="cellIs" dxfId="19" priority="6" operator="notEqual">
      <formula>Z5</formula>
    </cfRule>
  </conditionalFormatting>
  <hyperlinks>
    <hyperlink ref="B2" r:id="rId1" xr:uid="{2040CF1F-243C-4D66-9A3E-A179C7720DF8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31097879-35BD-4811-89EB-BE1CB2A032B1}">
            <xm:f>ABS($Y$4-Zusammenfassung!$Y$30)&lt;=2</xm:f>
            <x14:dxf>
              <fill>
                <patternFill>
                  <bgColor rgb="FF92D050"/>
                </patternFill>
              </fill>
            </x14:dxf>
          </x14:cfRule>
          <x14:cfRule type="expression" priority="4" id="{5922B936-1A72-4EDC-9ADC-96E87CB55DD1}">
            <xm:f>ABS($Y$4-Zusammenfassung!$Y$30)&gt;2</xm:f>
            <x14:dxf>
              <fill>
                <patternFill>
                  <bgColor rgb="FFFF0000"/>
                </patternFill>
              </fill>
            </x14:dxf>
          </x14:cfRule>
          <xm:sqref>Y4</xm:sqref>
        </x14:conditionalFormatting>
        <x14:conditionalFormatting xmlns:xm="http://schemas.microsoft.com/office/excel/2006/main">
          <x14:cfRule type="expression" priority="1" id="{80689058-8795-4047-9111-D6AA3E57E603}">
            <xm:f>ABS($Y$5-Zusammenfassung!$Y$35)&lt;=2</xm:f>
            <x14:dxf>
              <fill>
                <patternFill>
                  <bgColor rgb="FF92D050"/>
                </patternFill>
              </fill>
            </x14:dxf>
          </x14:cfRule>
          <x14:cfRule type="expression" priority="2" id="{D96E8523-B09A-4068-A3AB-3FF22640E16A}">
            <xm:f>ABS($Y$5-Zusammenfassung!$Y$35)&gt;2</xm:f>
            <x14:dxf>
              <fill>
                <patternFill>
                  <bgColor rgb="FFFF0000"/>
                </patternFill>
              </fill>
            </x14:dxf>
          </x14:cfRule>
          <xm:sqref>Y5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outlinePr summaryBelow="0" summaryRight="0"/>
  </sheetPr>
  <dimension ref="A1:Y100"/>
  <sheetViews>
    <sheetView workbookViewId="0"/>
  </sheetViews>
  <sheetFormatPr defaultColWidth="12.6640625" defaultRowHeight="15" customHeight="1"/>
  <cols>
    <col min="2" max="2" width="23.6640625" customWidth="1"/>
    <col min="3" max="3" width="17.44140625" customWidth="1"/>
    <col min="4" max="4" width="20.21875" customWidth="1"/>
    <col min="5" max="5" width="11.21875" customWidth="1"/>
    <col min="11" max="11" width="20.109375" customWidth="1"/>
  </cols>
  <sheetData>
    <row r="1" spans="1:25" ht="24" customHeight="1">
      <c r="A1" s="133"/>
      <c r="B1" s="134"/>
      <c r="C1" s="134"/>
      <c r="D1" s="134"/>
      <c r="E1" s="134"/>
      <c r="F1" s="134"/>
      <c r="G1" s="134"/>
      <c r="H1" s="135" t="str">
        <f>Zusammenfassung!H1</f>
        <v>Krankenkasse ens.</v>
      </c>
      <c r="I1" s="92" t="str">
        <f>Zusammenfassung!I1</f>
        <v>Medical</v>
      </c>
      <c r="J1" s="135" t="str">
        <f>Zusammenfassung!J1</f>
        <v>Telephone</v>
      </c>
      <c r="K1" s="135" t="str">
        <f>Zusammenfassung!K1</f>
        <v>Data SIM Cards, Internet</v>
      </c>
      <c r="L1" s="135" t="str">
        <f>Zusammenfassung!L1</f>
        <v>Airline tickets &amp; Covid Tests</v>
      </c>
      <c r="M1" s="92" t="str">
        <f>Zusammenfassung!M1</f>
        <v>Taxi, Train, Toll, Parking</v>
      </c>
      <c r="N1" s="92" t="str">
        <f>Zusammenfassung!N1</f>
        <v>Hotel, Apartment</v>
      </c>
      <c r="O1" s="92" t="str">
        <f>Zusammenfassung!O1</f>
        <v>Auto</v>
      </c>
      <c r="P1" s="92" t="str">
        <f>Zusammenfassung!P1</f>
        <v>Office equipment, hardware, Insurance</v>
      </c>
      <c r="Q1" s="92" t="str">
        <f>Zusammenfassung!Q1</f>
        <v>Software Cloud Services</v>
      </c>
      <c r="R1" s="92" t="str">
        <f>Zusammenfassung!R1</f>
        <v>Professional fees</v>
      </c>
      <c r="S1" s="92" t="str">
        <f>Zusammenfassung!S1</f>
        <v>Bank charges</v>
      </c>
      <c r="T1" s="136"/>
      <c r="U1" s="136"/>
      <c r="V1" s="85"/>
      <c r="W1" s="85"/>
    </row>
    <row r="2" spans="1:25" ht="37.5" customHeight="1">
      <c r="A2" s="137"/>
      <c r="B2" s="138"/>
      <c r="C2" s="139"/>
      <c r="D2" s="138"/>
      <c r="E2" s="138" t="s">
        <v>671</v>
      </c>
      <c r="F2" s="138"/>
      <c r="G2" s="138"/>
      <c r="H2" s="140">
        <f>Zusammenfassung!H2</f>
        <v>2200</v>
      </c>
      <c r="I2" s="140">
        <f>Zusammenfassung!I2</f>
        <v>900</v>
      </c>
      <c r="J2" s="140">
        <f>Zusammenfassung!J2</f>
        <v>6805</v>
      </c>
      <c r="K2" s="140" t="str">
        <f>Zusammenfassung!K2</f>
        <v>6495-1</v>
      </c>
      <c r="L2" s="140" t="str">
        <f>Zusammenfassung!L2</f>
        <v>6673-1</v>
      </c>
      <c r="M2" s="140" t="str">
        <f>Zusammenfassung!M2</f>
        <v>6673-2</v>
      </c>
      <c r="N2" s="140">
        <f>Zusammenfassung!N2</f>
        <v>6680</v>
      </c>
      <c r="O2" s="140">
        <f>Zusammenfassung!O2</f>
        <v>6530</v>
      </c>
      <c r="P2" s="140">
        <f>Zusammenfassung!P2</f>
        <v>6815</v>
      </c>
      <c r="Q2" s="140" t="str">
        <f>Zusammenfassung!Q2</f>
        <v>6495-2</v>
      </c>
      <c r="R2" s="140">
        <f>Zusammenfassung!R2</f>
        <v>6827</v>
      </c>
      <c r="S2" s="140">
        <f>Zusammenfassung!S2</f>
        <v>6855</v>
      </c>
      <c r="T2" s="136" t="s">
        <v>672</v>
      </c>
      <c r="U2" s="141" t="s">
        <v>673</v>
      </c>
      <c r="V2" s="85"/>
      <c r="W2" s="85"/>
    </row>
    <row r="3" spans="1:25" ht="13.2">
      <c r="E3" s="142">
        <v>1</v>
      </c>
      <c r="F3" s="142">
        <v>2</v>
      </c>
      <c r="G3" s="142">
        <v>3</v>
      </c>
      <c r="H3" s="142">
        <v>4</v>
      </c>
      <c r="I3" s="142">
        <v>5</v>
      </c>
      <c r="J3" s="142">
        <v>6</v>
      </c>
      <c r="K3" s="142">
        <v>7</v>
      </c>
      <c r="L3" s="142">
        <v>9</v>
      </c>
      <c r="M3" s="142">
        <v>10</v>
      </c>
      <c r="N3" s="142">
        <v>11</v>
      </c>
      <c r="O3" s="142">
        <v>12</v>
      </c>
      <c r="P3" s="142">
        <v>13</v>
      </c>
      <c r="Q3" s="142">
        <v>14</v>
      </c>
      <c r="R3" s="142">
        <v>15</v>
      </c>
      <c r="S3" s="142">
        <v>16</v>
      </c>
    </row>
    <row r="4" spans="1:25" ht="13.2">
      <c r="A4" s="143" t="s">
        <v>674</v>
      </c>
      <c r="B4" s="143" t="str">
        <f>Zusammenfassung!B21</f>
        <v>2024.01.01 bis 2024.04.05</v>
      </c>
      <c r="C4" s="144" t="str">
        <f>Zusammenfassung!C23</f>
        <v>DE portion (€)</v>
      </c>
      <c r="E4" s="84">
        <f>Zusammenfassung!D23</f>
        <v>11318.70996</v>
      </c>
      <c r="H4" s="84">
        <f>Zusammenfassung!H23</f>
        <v>2550.75</v>
      </c>
      <c r="I4" s="84">
        <f>Zusammenfassung!I23</f>
        <v>0</v>
      </c>
      <c r="J4" s="84">
        <f>Zusammenfassung!J23</f>
        <v>36.32</v>
      </c>
      <c r="K4" s="84">
        <f>Zusammenfassung!K23</f>
        <v>180.59000000000003</v>
      </c>
      <c r="L4" s="84">
        <f>Zusammenfassung!L23</f>
        <v>627.46</v>
      </c>
      <c r="M4" s="84">
        <f>Zusammenfassung!M23</f>
        <v>581.59999999999991</v>
      </c>
      <c r="N4" s="84">
        <f>Zusammenfassung!N23</f>
        <v>3736.7032000000004</v>
      </c>
      <c r="O4" s="84">
        <f>Zusammenfassung!O23</f>
        <v>0</v>
      </c>
      <c r="P4" s="84">
        <f>Zusammenfassung!P23</f>
        <v>910.99</v>
      </c>
      <c r="Q4" s="84">
        <f>Zusammenfassung!Q23</f>
        <v>533.95999999999992</v>
      </c>
      <c r="R4" s="84">
        <f>Zusammenfassung!R23</f>
        <v>0</v>
      </c>
      <c r="S4" s="84">
        <f>Zusammenfassung!S23</f>
        <v>47.809999999999988</v>
      </c>
      <c r="T4" s="84">
        <f t="shared" ref="T4:T6" si="0">SUM(H4:S4)</f>
        <v>9206.1831999999995</v>
      </c>
      <c r="U4" s="84">
        <f>Zusammenfassung!X23</f>
        <v>9206.1831999999995</v>
      </c>
    </row>
    <row r="5" spans="1:25" ht="13.2">
      <c r="B5" s="143" t="str">
        <f>Zusammenfassung!B26</f>
        <v>2024.04.06 bis 2024.12.31</v>
      </c>
      <c r="C5" s="144" t="str">
        <f>Zusammenfassung!C28</f>
        <v>DE portion (€)</v>
      </c>
      <c r="E5" s="84">
        <f>Zusammenfassung!D28</f>
        <v>69345.838044000004</v>
      </c>
      <c r="H5" s="84">
        <f>Zusammenfassung!H28</f>
        <v>7721</v>
      </c>
      <c r="I5" s="84">
        <f>Zusammenfassung!I28</f>
        <v>0</v>
      </c>
      <c r="J5" s="84">
        <f>Zusammenfassung!J28</f>
        <v>113.4</v>
      </c>
      <c r="K5" s="84">
        <f>Zusammenfassung!K28</f>
        <v>655.8</v>
      </c>
      <c r="L5" s="84">
        <f>Zusammenfassung!L28</f>
        <v>4285.8</v>
      </c>
      <c r="M5" s="84">
        <f>Zusammenfassung!M28</f>
        <v>1469</v>
      </c>
      <c r="N5" s="84">
        <f>Zusammenfassung!N28</f>
        <v>8972</v>
      </c>
      <c r="O5" s="84">
        <f>Zusammenfassung!O28</f>
        <v>0</v>
      </c>
      <c r="P5" s="84">
        <f>Zusammenfassung!P28</f>
        <v>424</v>
      </c>
      <c r="Q5" s="84">
        <f>Zusammenfassung!Q28</f>
        <v>375.6</v>
      </c>
      <c r="R5" s="84">
        <f>Zusammenfassung!R28</f>
        <v>2531</v>
      </c>
      <c r="S5" s="84">
        <f>Zusammenfassung!S28</f>
        <v>355.8</v>
      </c>
      <c r="T5" s="84">
        <f t="shared" si="0"/>
        <v>26903.399999999998</v>
      </c>
      <c r="U5" s="84">
        <f>Zusammenfassung!X28</f>
        <v>26903.399999999998</v>
      </c>
    </row>
    <row r="6" spans="1:25" ht="13.2">
      <c r="C6" s="145" t="s">
        <v>675</v>
      </c>
      <c r="D6" s="146"/>
      <c r="E6" s="147">
        <f>SUM(E4:E5)</f>
        <v>80664.548004000011</v>
      </c>
      <c r="F6" s="146"/>
      <c r="G6" s="146"/>
      <c r="H6" s="148">
        <f t="shared" ref="H6:S6" si="1">SUM(H4:H5)</f>
        <v>10271.75</v>
      </c>
      <c r="I6" s="147">
        <f t="shared" si="1"/>
        <v>0</v>
      </c>
      <c r="J6" s="148">
        <f t="shared" si="1"/>
        <v>149.72</v>
      </c>
      <c r="K6" s="148">
        <f t="shared" si="1"/>
        <v>836.39</v>
      </c>
      <c r="L6" s="148">
        <f t="shared" si="1"/>
        <v>4913.26</v>
      </c>
      <c r="M6" s="148">
        <f t="shared" si="1"/>
        <v>2050.6</v>
      </c>
      <c r="N6" s="148">
        <f t="shared" si="1"/>
        <v>12708.7032</v>
      </c>
      <c r="O6" s="148">
        <f t="shared" si="1"/>
        <v>0</v>
      </c>
      <c r="P6" s="148">
        <f t="shared" si="1"/>
        <v>1334.99</v>
      </c>
      <c r="Q6" s="148">
        <f t="shared" si="1"/>
        <v>909.56</v>
      </c>
      <c r="R6" s="148">
        <f t="shared" si="1"/>
        <v>2531</v>
      </c>
      <c r="S6" s="149">
        <f t="shared" si="1"/>
        <v>403.61</v>
      </c>
      <c r="T6" s="84">
        <f t="shared" si="0"/>
        <v>36109.583200000001</v>
      </c>
    </row>
    <row r="7" spans="1:25" ht="13.2">
      <c r="T7" s="84">
        <f>T4+T5-T6</f>
        <v>0</v>
      </c>
    </row>
    <row r="8" spans="1:25" ht="13.2">
      <c r="A8" s="87" t="s">
        <v>161</v>
      </c>
      <c r="B8" s="143" t="s">
        <v>164</v>
      </c>
      <c r="C8" s="144" t="str">
        <f>Zusammenfassung!C24</f>
        <v>UK portion (€)</v>
      </c>
      <c r="E8" s="84">
        <f>Zusammenfassung!D24</f>
        <v>7545.8066400000007</v>
      </c>
      <c r="G8" s="143">
        <f>Zusammenfassung!F24</f>
        <v>0</v>
      </c>
      <c r="H8" s="84">
        <f>Zusammenfassung!H24</f>
        <v>0</v>
      </c>
      <c r="I8" s="84">
        <f>Zusammenfassung!I24</f>
        <v>0</v>
      </c>
      <c r="J8" s="84">
        <f>Zusammenfassung!J24</f>
        <v>24.21</v>
      </c>
      <c r="K8" s="84">
        <f>Zusammenfassung!K24</f>
        <v>120.39</v>
      </c>
      <c r="L8" s="84">
        <f>Zusammenfassung!L24</f>
        <v>418.3</v>
      </c>
      <c r="M8" s="84">
        <f>Zusammenfassung!M24</f>
        <v>0</v>
      </c>
      <c r="N8" s="84">
        <f>Zusammenfassung!N24</f>
        <v>0</v>
      </c>
      <c r="O8" s="84">
        <f>Zusammenfassung!O24</f>
        <v>1590.5910310600002</v>
      </c>
      <c r="P8" s="84">
        <f>Zusammenfassung!P24</f>
        <v>0</v>
      </c>
      <c r="Q8" s="84">
        <f>Zusammenfassung!Q24</f>
        <v>355.97</v>
      </c>
      <c r="R8" s="84">
        <f>Zusammenfassung!R24</f>
        <v>0</v>
      </c>
      <c r="S8" s="84">
        <f>Zusammenfassung!S24</f>
        <v>31.87</v>
      </c>
      <c r="T8" s="84">
        <f t="shared" ref="T8:T10" si="2">SUM(H8:S8)</f>
        <v>2541.33103106</v>
      </c>
      <c r="U8" s="84">
        <f>Zusammenfassung!X24</f>
        <v>2541.33103106</v>
      </c>
    </row>
    <row r="9" spans="1:25" ht="13.2">
      <c r="B9" s="143" t="s">
        <v>165</v>
      </c>
      <c r="C9" s="144" t="str">
        <f>Zusammenfassung!C29</f>
        <v>UK portion (€)</v>
      </c>
      <c r="E9" s="84">
        <f>Zusammenfassung!D29</f>
        <v>46230.558696000007</v>
      </c>
      <c r="G9" s="150">
        <f>Zusammenfassung!F29</f>
        <v>0</v>
      </c>
      <c r="H9" s="84">
        <f>Zusammenfassung!H29</f>
        <v>0</v>
      </c>
      <c r="I9" s="84">
        <f>Zusammenfassung!I29</f>
        <v>0</v>
      </c>
      <c r="J9" s="84">
        <f>Zusammenfassung!J29</f>
        <v>75.599999999999994</v>
      </c>
      <c r="K9" s="84">
        <f>Zusammenfassung!K29</f>
        <v>437.2</v>
      </c>
      <c r="L9" s="84">
        <f>Zusammenfassung!L29</f>
        <v>2857.2</v>
      </c>
      <c r="M9" s="84">
        <f>Zusammenfassung!M29</f>
        <v>0</v>
      </c>
      <c r="N9" s="84">
        <f>Zusammenfassung!N29</f>
        <v>0</v>
      </c>
      <c r="O9" s="84">
        <f>Zusammenfassung!O29</f>
        <v>2329</v>
      </c>
      <c r="P9" s="84">
        <f>Zusammenfassung!P29</f>
        <v>0</v>
      </c>
      <c r="Q9" s="84">
        <f>Zusammenfassung!Q29</f>
        <v>250.4</v>
      </c>
      <c r="R9" s="84">
        <f>Zusammenfassung!R29</f>
        <v>0</v>
      </c>
      <c r="S9" s="84">
        <f>Zusammenfassung!S29</f>
        <v>237.2</v>
      </c>
      <c r="T9" s="84">
        <f t="shared" si="2"/>
        <v>6186.5999999999995</v>
      </c>
      <c r="U9" s="84">
        <f>Zusammenfassung!X29</f>
        <v>6186.5999999999995</v>
      </c>
    </row>
    <row r="10" spans="1:25" ht="13.2">
      <c r="C10" s="145" t="s">
        <v>675</v>
      </c>
      <c r="D10" s="146"/>
      <c r="E10" s="147">
        <f>SUM(E8:E9)</f>
        <v>53776.36533600001</v>
      </c>
      <c r="F10" s="146"/>
      <c r="G10" s="146"/>
      <c r="H10" s="148">
        <f t="shared" ref="H10:S10" si="3">SUM(H8:H9)</f>
        <v>0</v>
      </c>
      <c r="I10" s="147">
        <f t="shared" si="3"/>
        <v>0</v>
      </c>
      <c r="J10" s="148">
        <f t="shared" si="3"/>
        <v>99.81</v>
      </c>
      <c r="K10" s="148">
        <f t="shared" si="3"/>
        <v>557.59</v>
      </c>
      <c r="L10" s="148">
        <f t="shared" si="3"/>
        <v>3275.5</v>
      </c>
      <c r="M10" s="148">
        <f t="shared" si="3"/>
        <v>0</v>
      </c>
      <c r="N10" s="148">
        <f t="shared" si="3"/>
        <v>0</v>
      </c>
      <c r="O10" s="148">
        <f t="shared" si="3"/>
        <v>3919.5910310600002</v>
      </c>
      <c r="P10" s="148">
        <f t="shared" si="3"/>
        <v>0</v>
      </c>
      <c r="Q10" s="148">
        <f t="shared" si="3"/>
        <v>606.37</v>
      </c>
      <c r="R10" s="148">
        <f t="shared" si="3"/>
        <v>0</v>
      </c>
      <c r="S10" s="149">
        <f t="shared" si="3"/>
        <v>269.07</v>
      </c>
      <c r="T10" s="84">
        <f t="shared" si="2"/>
        <v>8727.9310310600013</v>
      </c>
    </row>
    <row r="11" spans="1:25" ht="13.2">
      <c r="L11" s="143"/>
      <c r="M11" s="143"/>
      <c r="T11" s="84">
        <f>T8+T9-T10</f>
        <v>0</v>
      </c>
    </row>
    <row r="12" spans="1:25" ht="13.2">
      <c r="L12" s="143"/>
      <c r="M12" s="143"/>
    </row>
    <row r="13" spans="1:25" ht="13.2">
      <c r="L13" s="143"/>
      <c r="M13" s="143"/>
    </row>
    <row r="14" spans="1:25" ht="13.2">
      <c r="L14" s="151">
        <v>2024</v>
      </c>
      <c r="M14" s="151">
        <v>2023</v>
      </c>
    </row>
    <row r="15" spans="1:25" ht="13.2">
      <c r="G15" s="152">
        <v>2024</v>
      </c>
      <c r="H15" s="152">
        <v>2023</v>
      </c>
      <c r="K15" s="87" t="s">
        <v>676</v>
      </c>
      <c r="L15" s="84">
        <f t="shared" ref="L15:M15" si="4">SUM(L16:L17)</f>
        <v>80664.548004000011</v>
      </c>
      <c r="M15" s="84">
        <f t="shared" si="4"/>
        <v>121050.038450736</v>
      </c>
    </row>
    <row r="16" spans="1:25" ht="13.2">
      <c r="A16" s="87"/>
      <c r="B16" s="153" t="s">
        <v>677</v>
      </c>
      <c r="C16" s="87"/>
      <c r="D16" s="87"/>
      <c r="E16" s="87"/>
      <c r="G16" s="154" t="s">
        <v>678</v>
      </c>
      <c r="H16" s="154" t="s">
        <v>679</v>
      </c>
      <c r="I16" s="87"/>
      <c r="J16" s="87"/>
      <c r="K16" s="87" t="s">
        <v>680</v>
      </c>
      <c r="L16" s="84">
        <f t="shared" ref="L16:L17" si="5">E4</f>
        <v>11318.70996</v>
      </c>
      <c r="M16" s="84">
        <f>Zusammenfassung!D13</f>
        <v>21455.794543535998</v>
      </c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</row>
    <row r="17" spans="1:25" ht="13.2">
      <c r="A17" s="87"/>
      <c r="B17" s="87"/>
      <c r="C17" s="87" t="s">
        <v>681</v>
      </c>
      <c r="D17" s="87"/>
      <c r="E17" s="87"/>
      <c r="F17" s="87"/>
      <c r="G17" s="155">
        <f>E6</f>
        <v>80664.548004000011</v>
      </c>
      <c r="H17" s="155">
        <v>114726.59439313601</v>
      </c>
      <c r="I17" s="87"/>
      <c r="J17" s="87"/>
      <c r="K17" s="87" t="s">
        <v>682</v>
      </c>
      <c r="L17" s="84">
        <f t="shared" si="5"/>
        <v>69345.838044000004</v>
      </c>
      <c r="M17" s="84">
        <f>Zusammenfassung!D18</f>
        <v>99594.243907199998</v>
      </c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</row>
    <row r="18" spans="1:25" ht="13.2">
      <c r="A18" s="87"/>
      <c r="B18" s="87"/>
      <c r="C18" s="87" t="s">
        <v>683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</row>
    <row r="19" spans="1:25" ht="13.2">
      <c r="A19" s="87"/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</row>
    <row r="20" spans="1:25" ht="13.2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</row>
    <row r="21" spans="1:25" ht="13.2">
      <c r="A21" s="87"/>
      <c r="B21" s="153" t="s">
        <v>684</v>
      </c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</row>
    <row r="22" spans="1:25" ht="13.2">
      <c r="A22" s="87"/>
      <c r="B22" s="87"/>
      <c r="C22" s="87" t="s">
        <v>685</v>
      </c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</row>
    <row r="23" spans="1:25" ht="13.2">
      <c r="A23" s="87"/>
      <c r="B23" s="87"/>
      <c r="C23" s="87"/>
      <c r="D23" s="87" t="s">
        <v>686</v>
      </c>
      <c r="E23" s="87"/>
      <c r="F23" s="87"/>
      <c r="G23" s="156">
        <f>G52</f>
        <v>600</v>
      </c>
      <c r="H23" s="156">
        <v>600</v>
      </c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</row>
    <row r="24" spans="1:25" ht="13.2">
      <c r="A24" s="87"/>
      <c r="B24" s="87"/>
      <c r="C24" s="87" t="s">
        <v>687</v>
      </c>
      <c r="D24" s="87"/>
      <c r="E24" s="87"/>
      <c r="F24" s="87"/>
      <c r="G24" s="156">
        <f>G55</f>
        <v>10271.75</v>
      </c>
      <c r="H24" s="156">
        <v>9252.43</v>
      </c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</row>
    <row r="25" spans="1:25" ht="13.2">
      <c r="A25" s="87"/>
      <c r="B25" s="87"/>
      <c r="C25" s="87" t="s">
        <v>688</v>
      </c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</row>
    <row r="26" spans="1:25" ht="13.2">
      <c r="A26" s="87"/>
      <c r="B26" s="87"/>
      <c r="C26" s="87"/>
      <c r="D26" s="87" t="s">
        <v>689</v>
      </c>
      <c r="E26" s="87"/>
      <c r="F26" s="87"/>
      <c r="G26" s="156">
        <f>G60</f>
        <v>0</v>
      </c>
      <c r="H26" s="156">
        <v>0</v>
      </c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</row>
    <row r="27" spans="1:25" ht="13.2">
      <c r="A27" s="87"/>
      <c r="B27" s="87"/>
      <c r="C27" s="87" t="s">
        <v>690</v>
      </c>
      <c r="D27" s="87"/>
      <c r="E27" s="87"/>
      <c r="F27" s="87"/>
      <c r="G27" s="156">
        <f>G64</f>
        <v>19672.563200000001</v>
      </c>
      <c r="H27" s="156">
        <v>17205.457999999999</v>
      </c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</row>
    <row r="28" spans="1:25" ht="13.2">
      <c r="A28" s="87"/>
      <c r="B28" s="87"/>
      <c r="C28" s="87" t="s">
        <v>691</v>
      </c>
      <c r="D28" s="87"/>
      <c r="E28" s="87"/>
      <c r="F28" s="87"/>
      <c r="G28" s="156">
        <f>G72</f>
        <v>2244.5500000000002</v>
      </c>
      <c r="H28" s="156">
        <v>554.12</v>
      </c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</row>
    <row r="29" spans="1:25" ht="13.2">
      <c r="A29" s="87"/>
      <c r="B29" s="87"/>
      <c r="C29" s="87" t="s">
        <v>692</v>
      </c>
      <c r="D29" s="87"/>
      <c r="E29" s="87"/>
      <c r="F29" s="87"/>
      <c r="G29" s="156">
        <f>G75</f>
        <v>3921.7200000000003</v>
      </c>
      <c r="H29" s="156">
        <v>2247.8099999999995</v>
      </c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</row>
    <row r="30" spans="1:25" ht="13.2">
      <c r="A30" s="87"/>
      <c r="B30" s="87"/>
      <c r="C30" s="87" t="s">
        <v>693</v>
      </c>
      <c r="D30" s="87"/>
      <c r="E30" s="87"/>
      <c r="F30" s="87"/>
      <c r="G30" s="156">
        <f>G87</f>
        <v>0</v>
      </c>
      <c r="H30" s="156">
        <v>0</v>
      </c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</row>
    <row r="31" spans="1:25" ht="13.2">
      <c r="A31" s="87"/>
      <c r="B31" s="87"/>
      <c r="C31" s="87"/>
      <c r="D31" s="87"/>
      <c r="E31" s="87"/>
      <c r="F31" s="87"/>
      <c r="G31" s="87"/>
      <c r="H31" s="156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</row>
    <row r="32" spans="1:25" ht="13.2">
      <c r="A32" s="87"/>
      <c r="B32" s="87"/>
      <c r="C32" s="87"/>
      <c r="D32" s="87" t="s">
        <v>694</v>
      </c>
      <c r="E32" s="87"/>
      <c r="F32" s="87"/>
      <c r="G32" s="156">
        <f t="shared" ref="G32:H32" si="6">SUM(G22:G30)</f>
        <v>36710.583200000001</v>
      </c>
      <c r="H32" s="156">
        <f t="shared" si="6"/>
        <v>29859.817999999999</v>
      </c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</row>
    <row r="33" spans="1:25" ht="13.2">
      <c r="A33" s="87"/>
      <c r="B33" s="87"/>
      <c r="C33" s="87"/>
      <c r="D33" s="87" t="s">
        <v>695</v>
      </c>
      <c r="E33" s="87"/>
      <c r="F33" s="87"/>
      <c r="G33" s="156">
        <f t="shared" ref="G33:H33" si="7">G32</f>
        <v>36710.583200000001</v>
      </c>
      <c r="H33" s="156">
        <f t="shared" si="7"/>
        <v>29859.817999999999</v>
      </c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</row>
    <row r="34" spans="1:25" ht="13.2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</row>
    <row r="35" spans="1:25" ht="13.2">
      <c r="A35" s="87"/>
      <c r="B35" s="153" t="s">
        <v>696</v>
      </c>
      <c r="C35" s="87"/>
      <c r="D35" s="87"/>
      <c r="E35" s="87"/>
      <c r="F35" s="87"/>
      <c r="G35" s="157">
        <f t="shared" ref="G35:H35" si="8">G17-G33</f>
        <v>43953.96480400001</v>
      </c>
      <c r="H35" s="157">
        <f t="shared" si="8"/>
        <v>84866.77639313601</v>
      </c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</row>
    <row r="36" spans="1:25" ht="13.2">
      <c r="A36" s="87"/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</row>
    <row r="37" spans="1:25" ht="13.2">
      <c r="A37" s="87"/>
      <c r="B37" s="153" t="s">
        <v>697</v>
      </c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</row>
    <row r="38" spans="1:25" ht="13.2">
      <c r="A38" s="87"/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</row>
    <row r="39" spans="1:25" ht="13.2">
      <c r="A39" s="87"/>
      <c r="B39" s="87"/>
      <c r="C39" s="87"/>
      <c r="D39" s="87"/>
      <c r="E39" s="87"/>
      <c r="F39" s="156"/>
      <c r="G39" s="156"/>
      <c r="H39" s="156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</row>
    <row r="40" spans="1:25" ht="13.2">
      <c r="A40" s="87"/>
      <c r="B40" s="87"/>
      <c r="C40" s="87"/>
      <c r="D40" s="87"/>
      <c r="E40" s="87"/>
      <c r="F40" s="156"/>
      <c r="G40" s="156"/>
      <c r="H40" s="156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</row>
    <row r="41" spans="1:25" ht="13.2">
      <c r="A41" s="87"/>
      <c r="B41" s="87"/>
      <c r="C41" s="87" t="s">
        <v>698</v>
      </c>
      <c r="D41" s="87" t="s">
        <v>699</v>
      </c>
      <c r="E41" s="87"/>
      <c r="F41" s="156"/>
      <c r="G41" s="156"/>
      <c r="H41" s="156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</row>
    <row r="42" spans="1:25" ht="13.2">
      <c r="A42" s="87"/>
      <c r="B42" s="87"/>
      <c r="C42" s="87"/>
      <c r="D42" s="87"/>
      <c r="E42" s="87"/>
      <c r="F42" s="156"/>
      <c r="G42" s="156"/>
      <c r="H42" s="156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</row>
    <row r="43" spans="1:25" ht="13.2">
      <c r="A43" s="87"/>
      <c r="B43" s="87"/>
      <c r="C43" s="87"/>
      <c r="D43" s="153" t="s">
        <v>700</v>
      </c>
      <c r="E43" s="87"/>
      <c r="F43" s="156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</row>
    <row r="44" spans="1:25" ht="13.2">
      <c r="A44" s="87"/>
      <c r="B44" s="87"/>
      <c r="C44" s="87">
        <v>4336</v>
      </c>
      <c r="D44" s="87" t="s">
        <v>701</v>
      </c>
      <c r="E44" s="87"/>
      <c r="F44" s="158"/>
      <c r="G44" s="156"/>
      <c r="H44" s="156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</row>
    <row r="45" spans="1:25" ht="13.2">
      <c r="A45" s="87"/>
      <c r="B45" s="87"/>
      <c r="C45" s="87">
        <v>4338</v>
      </c>
      <c r="D45" s="87" t="s">
        <v>702</v>
      </c>
      <c r="E45" s="87"/>
      <c r="F45" s="159">
        <v>0</v>
      </c>
      <c r="G45" s="156"/>
      <c r="H45" s="156"/>
      <c r="I45" s="160"/>
      <c r="J45" s="160"/>
      <c r="K45" s="160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</row>
    <row r="46" spans="1:25" ht="13.2">
      <c r="A46" s="87"/>
      <c r="B46" s="87"/>
      <c r="C46" s="87"/>
      <c r="D46" s="87"/>
      <c r="E46" s="160"/>
      <c r="F46" s="156"/>
      <c r="G46" s="156"/>
      <c r="H46" s="156"/>
      <c r="I46" s="160"/>
      <c r="J46" s="160"/>
      <c r="K46" s="160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</row>
    <row r="47" spans="1:25" ht="13.2">
      <c r="A47" s="87"/>
      <c r="B47" s="87"/>
      <c r="C47" s="87"/>
      <c r="D47" s="153" t="s">
        <v>703</v>
      </c>
      <c r="E47" s="160"/>
      <c r="F47" s="156"/>
      <c r="G47" s="156">
        <f>SUM(F48:F50)</f>
        <v>0</v>
      </c>
      <c r="H47" s="156"/>
      <c r="I47" s="160"/>
      <c r="J47" s="160"/>
      <c r="K47" s="160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</row>
    <row r="48" spans="1:25" ht="13.2">
      <c r="A48" s="87"/>
      <c r="B48" s="87"/>
      <c r="C48" s="87">
        <v>3820</v>
      </c>
      <c r="D48" s="87" t="s">
        <v>704</v>
      </c>
      <c r="E48" s="160"/>
      <c r="F48" s="158"/>
      <c r="G48" s="156"/>
      <c r="H48" s="156"/>
      <c r="I48" s="160"/>
      <c r="J48" s="160"/>
      <c r="K48" s="160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</row>
    <row r="49" spans="1:25" ht="13.2">
      <c r="A49" s="87"/>
      <c r="B49" s="87"/>
      <c r="C49" s="87">
        <v>3840</v>
      </c>
      <c r="D49" s="87" t="s">
        <v>705</v>
      </c>
      <c r="E49" s="160"/>
      <c r="F49" s="161"/>
      <c r="G49" s="156"/>
      <c r="H49" s="156"/>
      <c r="I49" s="160"/>
      <c r="J49" s="160"/>
      <c r="K49" s="160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</row>
    <row r="50" spans="1:25" ht="13.2">
      <c r="A50" s="87"/>
      <c r="B50" s="87"/>
      <c r="C50" s="87">
        <v>3841</v>
      </c>
      <c r="D50" s="87" t="s">
        <v>706</v>
      </c>
      <c r="E50" s="160"/>
      <c r="F50" s="159"/>
      <c r="G50" s="156"/>
      <c r="H50" s="156"/>
      <c r="I50" s="160"/>
      <c r="J50" s="160"/>
      <c r="K50" s="160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</row>
    <row r="51" spans="1:25" ht="13.2">
      <c r="A51" s="87"/>
      <c r="B51" s="87"/>
      <c r="C51" s="87"/>
      <c r="D51" s="87"/>
      <c r="E51" s="160"/>
      <c r="F51" s="156"/>
      <c r="G51" s="156"/>
      <c r="H51" s="156"/>
      <c r="I51" s="160"/>
      <c r="J51" s="160"/>
      <c r="K51" s="160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</row>
    <row r="52" spans="1:25" ht="13.2">
      <c r="A52" s="87"/>
      <c r="B52" s="87"/>
      <c r="C52" s="87"/>
      <c r="D52" s="153" t="s">
        <v>686</v>
      </c>
      <c r="E52" s="160"/>
      <c r="F52" s="156"/>
      <c r="G52" s="156">
        <f>F53</f>
        <v>600</v>
      </c>
      <c r="H52" s="156"/>
      <c r="I52" s="160"/>
      <c r="J52" s="160"/>
      <c r="K52" s="160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</row>
    <row r="53" spans="1:25" ht="13.2">
      <c r="A53" s="87"/>
      <c r="B53" s="87"/>
      <c r="C53" s="87">
        <v>6348</v>
      </c>
      <c r="D53" s="87" t="s">
        <v>707</v>
      </c>
      <c r="E53" s="160"/>
      <c r="F53" s="162">
        <v>600</v>
      </c>
      <c r="G53" s="156"/>
      <c r="H53" s="156"/>
      <c r="I53" s="160"/>
      <c r="J53" s="160"/>
      <c r="K53" s="160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</row>
    <row r="54" spans="1:25" ht="13.2">
      <c r="A54" s="87"/>
      <c r="B54" s="87"/>
      <c r="C54" s="87"/>
      <c r="D54" s="87"/>
      <c r="E54" s="160"/>
      <c r="F54" s="156"/>
      <c r="G54" s="156"/>
      <c r="H54" s="156"/>
      <c r="I54" s="160"/>
      <c r="J54" s="160"/>
      <c r="K54" s="160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</row>
    <row r="55" spans="1:25" ht="13.2">
      <c r="A55" s="87"/>
      <c r="B55" s="87"/>
      <c r="C55" s="87"/>
      <c r="D55" s="153" t="s">
        <v>708</v>
      </c>
      <c r="E55" s="160"/>
      <c r="F55" s="156"/>
      <c r="G55" s="156">
        <f>SUM(F56:F58)</f>
        <v>10271.75</v>
      </c>
      <c r="H55" s="156"/>
      <c r="I55" s="160"/>
      <c r="J55" s="160"/>
      <c r="K55" s="160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</row>
    <row r="56" spans="1:25" ht="13.2">
      <c r="A56" s="87"/>
      <c r="B56" s="87"/>
      <c r="C56" s="87">
        <v>6400</v>
      </c>
      <c r="D56" s="87" t="s">
        <v>709</v>
      </c>
      <c r="E56" s="160"/>
      <c r="F56" s="158">
        <f>H6</f>
        <v>10271.75</v>
      </c>
      <c r="G56" s="156"/>
      <c r="H56" s="156"/>
      <c r="I56" s="160"/>
      <c r="J56" s="160"/>
      <c r="K56" s="160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</row>
    <row r="57" spans="1:25" ht="13.2">
      <c r="A57" s="87"/>
      <c r="B57" s="87"/>
      <c r="C57" s="87">
        <v>6420</v>
      </c>
      <c r="D57" s="87" t="s">
        <v>710</v>
      </c>
      <c r="E57" s="160"/>
      <c r="F57" s="161">
        <v>0</v>
      </c>
      <c r="G57" s="156"/>
      <c r="H57" s="156"/>
      <c r="I57" s="160"/>
      <c r="J57" s="160"/>
      <c r="K57" s="160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</row>
    <row r="58" spans="1:25" ht="13.2">
      <c r="A58" s="87"/>
      <c r="B58" s="87"/>
      <c r="C58" s="87">
        <v>6430</v>
      </c>
      <c r="D58" s="87" t="s">
        <v>711</v>
      </c>
      <c r="E58" s="160"/>
      <c r="F58" s="159">
        <v>0</v>
      </c>
      <c r="G58" s="156"/>
      <c r="H58" s="156"/>
      <c r="I58" s="160"/>
      <c r="J58" s="160"/>
      <c r="K58" s="160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</row>
    <row r="59" spans="1:25" ht="13.2">
      <c r="A59" s="87"/>
      <c r="B59" s="87"/>
      <c r="C59" s="87"/>
      <c r="D59" s="87"/>
      <c r="E59" s="160"/>
      <c r="F59" s="156"/>
      <c r="G59" s="156"/>
      <c r="H59" s="156"/>
      <c r="I59" s="160"/>
      <c r="J59" s="160"/>
      <c r="K59" s="160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</row>
    <row r="60" spans="1:25" ht="13.2">
      <c r="A60" s="87"/>
      <c r="B60" s="87"/>
      <c r="C60" s="87"/>
      <c r="D60" s="153" t="s">
        <v>689</v>
      </c>
      <c r="E60" s="160"/>
      <c r="F60" s="156"/>
      <c r="G60" s="156">
        <f>SUM(F61:F62)</f>
        <v>0</v>
      </c>
      <c r="H60" s="156"/>
      <c r="I60" s="160"/>
      <c r="J60" s="160"/>
      <c r="K60" s="160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</row>
    <row r="61" spans="1:25" ht="13.2">
      <c r="A61" s="87"/>
      <c r="B61" s="87"/>
      <c r="C61" s="87">
        <v>6590</v>
      </c>
      <c r="D61" s="87" t="s">
        <v>712</v>
      </c>
      <c r="E61" s="160"/>
      <c r="F61" s="158">
        <f>O6</f>
        <v>0</v>
      </c>
      <c r="G61" s="156"/>
      <c r="H61" s="156"/>
      <c r="I61" s="160"/>
      <c r="J61" s="160"/>
      <c r="K61" s="160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</row>
    <row r="62" spans="1:25" ht="13.2">
      <c r="A62" s="87"/>
      <c r="B62" s="87"/>
      <c r="C62" s="87">
        <v>6595</v>
      </c>
      <c r="D62" s="87" t="s">
        <v>713</v>
      </c>
      <c r="E62" s="160"/>
      <c r="F62" s="159"/>
      <c r="G62" s="156"/>
      <c r="H62" s="156"/>
      <c r="I62" s="160"/>
      <c r="J62" s="160"/>
      <c r="K62" s="160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</row>
    <row r="63" spans="1:25" ht="13.2">
      <c r="A63" s="87"/>
      <c r="B63" s="87"/>
      <c r="C63" s="87"/>
      <c r="D63" s="87"/>
      <c r="E63" s="160"/>
      <c r="F63" s="156"/>
      <c r="G63" s="156"/>
      <c r="H63" s="156"/>
      <c r="I63" s="160"/>
      <c r="J63" s="160"/>
      <c r="K63" s="160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</row>
    <row r="64" spans="1:25" ht="13.2">
      <c r="A64" s="87"/>
      <c r="B64" s="87"/>
      <c r="C64" s="87"/>
      <c r="D64" s="153" t="s">
        <v>714</v>
      </c>
      <c r="E64" s="160"/>
      <c r="F64" s="156"/>
      <c r="G64" s="156">
        <f>SUM(F65:F70)</f>
        <v>19672.563200000001</v>
      </c>
      <c r="H64" s="156"/>
      <c r="I64" s="160"/>
      <c r="J64" s="160"/>
      <c r="K64" s="160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</row>
    <row r="65" spans="1:25" ht="13.2">
      <c r="A65" s="87"/>
      <c r="B65" s="87"/>
      <c r="C65" s="87">
        <v>6600</v>
      </c>
      <c r="D65" s="87" t="s">
        <v>715</v>
      </c>
      <c r="E65" s="160"/>
      <c r="F65" s="158">
        <v>0</v>
      </c>
      <c r="G65" s="156"/>
      <c r="H65" s="156"/>
      <c r="I65" s="160"/>
      <c r="J65" s="160"/>
      <c r="K65" s="160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</row>
    <row r="66" spans="1:25" ht="13.2">
      <c r="A66" s="87"/>
      <c r="B66" s="87"/>
      <c r="C66" s="87">
        <v>6640</v>
      </c>
      <c r="D66" s="87" t="s">
        <v>716</v>
      </c>
      <c r="E66" s="160"/>
      <c r="F66" s="161">
        <v>0</v>
      </c>
      <c r="G66" s="156"/>
      <c r="H66" s="156"/>
      <c r="I66" s="160"/>
      <c r="J66" s="160"/>
      <c r="K66" s="160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</row>
    <row r="67" spans="1:25" ht="13.2">
      <c r="A67" s="87"/>
      <c r="B67" s="87"/>
      <c r="C67" s="87">
        <v>6644</v>
      </c>
      <c r="D67" s="87" t="s">
        <v>717</v>
      </c>
      <c r="E67" s="160"/>
      <c r="F67" s="161">
        <v>0</v>
      </c>
      <c r="G67" s="156"/>
      <c r="H67" s="156"/>
      <c r="I67" s="160"/>
      <c r="J67" s="160"/>
      <c r="K67" s="160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</row>
    <row r="68" spans="1:25" ht="13.2">
      <c r="A68" s="87"/>
      <c r="B68" s="87"/>
      <c r="C68" s="87">
        <v>6673</v>
      </c>
      <c r="D68" s="87" t="s">
        <v>718</v>
      </c>
      <c r="E68" s="160"/>
      <c r="F68" s="161">
        <f>M6</f>
        <v>2050.6</v>
      </c>
      <c r="G68" s="156"/>
      <c r="H68" s="156"/>
      <c r="I68" s="160"/>
      <c r="J68" s="160"/>
      <c r="K68" s="160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</row>
    <row r="69" spans="1:25" ht="13.2">
      <c r="A69" s="87"/>
      <c r="B69" s="87"/>
      <c r="C69" s="87">
        <v>6674</v>
      </c>
      <c r="D69" s="87" t="s">
        <v>719</v>
      </c>
      <c r="E69" s="160"/>
      <c r="F69" s="161">
        <f>L6</f>
        <v>4913.26</v>
      </c>
      <c r="G69" s="156"/>
      <c r="H69" s="156"/>
      <c r="I69" s="160"/>
      <c r="J69" s="160"/>
      <c r="K69" s="160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</row>
    <row r="70" spans="1:25" ht="13.2">
      <c r="A70" s="87"/>
      <c r="B70" s="87"/>
      <c r="C70" s="87">
        <v>6680</v>
      </c>
      <c r="D70" s="87" t="s">
        <v>720</v>
      </c>
      <c r="E70" s="160"/>
      <c r="F70" s="159">
        <f>N6</f>
        <v>12708.7032</v>
      </c>
      <c r="G70" s="156"/>
      <c r="H70" s="156"/>
      <c r="I70" s="160"/>
      <c r="J70" s="160"/>
      <c r="K70" s="160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</row>
    <row r="71" spans="1:25" ht="13.2">
      <c r="A71" s="87"/>
      <c r="B71" s="87"/>
      <c r="C71" s="87"/>
      <c r="D71" s="87"/>
      <c r="E71" s="160"/>
      <c r="F71" s="156"/>
      <c r="G71" s="156"/>
      <c r="H71" s="156"/>
      <c r="I71" s="160"/>
      <c r="J71" s="160"/>
      <c r="K71" s="160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</row>
    <row r="72" spans="1:25" ht="13.2">
      <c r="A72" s="87"/>
      <c r="B72" s="87"/>
      <c r="C72" s="87"/>
      <c r="D72" s="153" t="s">
        <v>721</v>
      </c>
      <c r="E72" s="160"/>
      <c r="F72" s="156"/>
      <c r="G72" s="156">
        <f>SUM(F73)</f>
        <v>2244.5500000000002</v>
      </c>
      <c r="H72" s="156"/>
      <c r="I72" s="160"/>
      <c r="J72" s="160"/>
      <c r="K72" s="160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</row>
    <row r="73" spans="1:25" ht="13.2">
      <c r="A73" s="87"/>
      <c r="B73" s="87"/>
      <c r="C73" s="87">
        <v>6495</v>
      </c>
      <c r="D73" s="87" t="s">
        <v>722</v>
      </c>
      <c r="E73" s="160"/>
      <c r="F73" s="163">
        <f>Q6+P6</f>
        <v>2244.5500000000002</v>
      </c>
      <c r="G73" s="156"/>
      <c r="H73" s="156"/>
      <c r="I73" s="160"/>
      <c r="J73" s="160"/>
      <c r="K73" s="160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</row>
    <row r="74" spans="1:25" ht="13.2">
      <c r="A74" s="87"/>
      <c r="B74" s="87"/>
      <c r="C74" s="87"/>
      <c r="D74" s="87"/>
      <c r="E74" s="160"/>
      <c r="F74" s="156"/>
      <c r="G74" s="156"/>
      <c r="H74" s="156"/>
      <c r="I74" s="160"/>
      <c r="J74" s="160"/>
      <c r="K74" s="160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</row>
    <row r="75" spans="1:25" ht="13.2">
      <c r="A75" s="87"/>
      <c r="B75" s="87"/>
      <c r="C75" s="87"/>
      <c r="D75" s="153" t="s">
        <v>723</v>
      </c>
      <c r="E75" s="160"/>
      <c r="F75" s="156"/>
      <c r="G75" s="156">
        <f>SUM(F76:F85)</f>
        <v>3921.7200000000003</v>
      </c>
      <c r="H75" s="156"/>
      <c r="I75" s="160"/>
      <c r="J75" s="160"/>
      <c r="K75" s="160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</row>
    <row r="76" spans="1:25" ht="13.2">
      <c r="A76" s="87"/>
      <c r="B76" s="87"/>
      <c r="C76" s="87">
        <v>6800</v>
      </c>
      <c r="D76" s="87" t="s">
        <v>724</v>
      </c>
      <c r="E76" s="160"/>
      <c r="F76" s="158">
        <v>0</v>
      </c>
      <c r="G76" s="156"/>
      <c r="H76" s="156"/>
      <c r="I76" s="160"/>
      <c r="J76" s="160"/>
      <c r="K76" s="160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</row>
    <row r="77" spans="1:25" ht="13.2">
      <c r="A77" s="87"/>
      <c r="B77" s="87"/>
      <c r="C77" s="87">
        <v>6805</v>
      </c>
      <c r="D77" s="87" t="s">
        <v>725</v>
      </c>
      <c r="E77" s="160"/>
      <c r="F77" s="161">
        <f>J6</f>
        <v>149.72</v>
      </c>
      <c r="G77" s="156"/>
      <c r="H77" s="156"/>
      <c r="I77" s="160"/>
      <c r="J77" s="160"/>
      <c r="K77" s="160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</row>
    <row r="78" spans="1:25" ht="13.2">
      <c r="A78" s="87"/>
      <c r="B78" s="87"/>
      <c r="C78" s="87">
        <v>6810</v>
      </c>
      <c r="D78" s="87" t="s">
        <v>726</v>
      </c>
      <c r="E78" s="160"/>
      <c r="F78" s="161">
        <f>K6</f>
        <v>836.39</v>
      </c>
      <c r="G78" s="156"/>
      <c r="H78" s="156"/>
      <c r="I78" s="160"/>
      <c r="J78" s="160"/>
      <c r="K78" s="160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</row>
    <row r="79" spans="1:25" ht="13.2">
      <c r="A79" s="87"/>
      <c r="B79" s="87"/>
      <c r="C79" s="87">
        <v>6815</v>
      </c>
      <c r="D79" s="87" t="s">
        <v>727</v>
      </c>
      <c r="E79" s="160"/>
      <c r="F79" s="161">
        <f>Zusammenfassung!P144</f>
        <v>1</v>
      </c>
      <c r="G79" s="156"/>
      <c r="H79" s="156"/>
      <c r="I79" s="160"/>
      <c r="J79" s="160"/>
      <c r="K79" s="160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</row>
    <row r="80" spans="1:25" ht="13.2">
      <c r="A80" s="87"/>
      <c r="B80" s="87"/>
      <c r="C80" s="87">
        <v>6825</v>
      </c>
      <c r="D80" s="87" t="s">
        <v>728</v>
      </c>
      <c r="E80" s="160"/>
      <c r="F80" s="161">
        <f>R6</f>
        <v>2531</v>
      </c>
      <c r="G80" s="156"/>
      <c r="H80" s="156"/>
      <c r="I80" s="160"/>
      <c r="J80" s="160"/>
      <c r="K80" s="160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</row>
    <row r="81" spans="1:25" ht="13.2">
      <c r="A81" s="87"/>
      <c r="B81" s="87"/>
      <c r="C81" s="87">
        <v>6827</v>
      </c>
      <c r="D81" s="87" t="s">
        <v>729</v>
      </c>
      <c r="E81" s="160"/>
      <c r="F81" s="161">
        <v>0</v>
      </c>
      <c r="G81" s="156"/>
      <c r="H81" s="156"/>
      <c r="I81" s="160"/>
      <c r="J81" s="160"/>
      <c r="K81" s="160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</row>
    <row r="82" spans="1:25" ht="13.2">
      <c r="A82" s="87"/>
      <c r="B82" s="87"/>
      <c r="C82" s="87">
        <v>6830</v>
      </c>
      <c r="D82" s="87" t="s">
        <v>730</v>
      </c>
      <c r="E82" s="160"/>
      <c r="F82" s="161">
        <v>0</v>
      </c>
      <c r="G82" s="156"/>
      <c r="H82" s="156"/>
      <c r="I82" s="160"/>
      <c r="J82" s="160"/>
      <c r="K82" s="160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</row>
    <row r="83" spans="1:25" ht="13.2">
      <c r="A83" s="87"/>
      <c r="B83" s="87"/>
      <c r="C83" s="87">
        <v>6850</v>
      </c>
      <c r="D83" s="87" t="s">
        <v>731</v>
      </c>
      <c r="E83" s="160"/>
      <c r="F83" s="161">
        <f>S6</f>
        <v>403.61</v>
      </c>
      <c r="G83" s="156"/>
      <c r="H83" s="156"/>
      <c r="I83" s="160"/>
      <c r="J83" s="160"/>
      <c r="K83" s="160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</row>
    <row r="84" spans="1:25" ht="13.2">
      <c r="A84" s="87"/>
      <c r="B84" s="87"/>
      <c r="C84" s="87">
        <v>6851</v>
      </c>
      <c r="D84" s="87" t="s">
        <v>732</v>
      </c>
      <c r="E84" s="160"/>
      <c r="F84" s="161">
        <v>0</v>
      </c>
      <c r="G84" s="156"/>
      <c r="H84" s="156"/>
      <c r="I84" s="160"/>
      <c r="J84" s="160"/>
      <c r="K84" s="160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</row>
    <row r="85" spans="1:25" ht="13.2">
      <c r="A85" s="87"/>
      <c r="B85" s="87"/>
      <c r="C85" s="87">
        <v>6855</v>
      </c>
      <c r="D85" s="87" t="s">
        <v>733</v>
      </c>
      <c r="E85" s="160"/>
      <c r="F85" s="159">
        <v>0</v>
      </c>
      <c r="G85" s="156"/>
      <c r="H85" s="156"/>
      <c r="I85" s="160"/>
      <c r="J85" s="160"/>
      <c r="K85" s="160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</row>
    <row r="86" spans="1:25" ht="13.2">
      <c r="A86" s="87"/>
      <c r="B86" s="87"/>
      <c r="C86" s="87"/>
      <c r="D86" s="87"/>
      <c r="E86" s="160"/>
      <c r="F86" s="156"/>
      <c r="G86" s="156"/>
      <c r="H86" s="156"/>
      <c r="I86" s="160"/>
      <c r="J86" s="160"/>
      <c r="K86" s="160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</row>
    <row r="87" spans="1:25" ht="13.2">
      <c r="A87" s="87"/>
      <c r="B87" s="87"/>
      <c r="C87" s="87"/>
      <c r="D87" s="153" t="s">
        <v>734</v>
      </c>
      <c r="E87" s="160"/>
      <c r="F87" s="156"/>
      <c r="G87" s="156">
        <f>SUM(F88:F91)</f>
        <v>0</v>
      </c>
      <c r="H87" s="156"/>
      <c r="I87" s="160"/>
      <c r="J87" s="160"/>
      <c r="K87" s="160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</row>
    <row r="88" spans="1:25" ht="13.2">
      <c r="A88" s="87"/>
      <c r="B88" s="87"/>
      <c r="C88" s="87">
        <v>1401</v>
      </c>
      <c r="D88" s="87" t="s">
        <v>735</v>
      </c>
      <c r="E88" s="164">
        <v>7.0000000000000007E-2</v>
      </c>
      <c r="F88" s="158"/>
      <c r="G88" s="156"/>
      <c r="H88" s="156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</row>
    <row r="89" spans="1:25" ht="13.2">
      <c r="A89" s="87"/>
      <c r="B89" s="87"/>
      <c r="C89" s="87">
        <v>1403</v>
      </c>
      <c r="D89" s="87" t="s">
        <v>735</v>
      </c>
      <c r="E89" s="164">
        <v>0.05</v>
      </c>
      <c r="F89" s="161"/>
      <c r="G89" s="156"/>
      <c r="H89" s="156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</row>
    <row r="90" spans="1:25" ht="13.2">
      <c r="A90" s="87"/>
      <c r="B90" s="87"/>
      <c r="C90" s="87">
        <v>1405</v>
      </c>
      <c r="D90" s="87" t="s">
        <v>735</v>
      </c>
      <c r="E90" s="164">
        <v>0.16</v>
      </c>
      <c r="F90" s="161"/>
      <c r="G90" s="156"/>
      <c r="H90" s="156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</row>
    <row r="91" spans="1:25" ht="13.2">
      <c r="A91" s="87"/>
      <c r="B91" s="87"/>
      <c r="C91" s="87">
        <v>1406</v>
      </c>
      <c r="D91" s="87" t="s">
        <v>735</v>
      </c>
      <c r="E91" s="164">
        <v>0.19</v>
      </c>
      <c r="F91" s="159"/>
      <c r="G91" s="156"/>
      <c r="H91" s="156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</row>
    <row r="92" spans="1:25" ht="13.2">
      <c r="A92" s="87"/>
      <c r="B92" s="87"/>
      <c r="C92" s="87"/>
      <c r="D92" s="87"/>
      <c r="E92" s="87"/>
      <c r="F92" s="156"/>
      <c r="G92" s="156"/>
      <c r="H92" s="156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</row>
    <row r="93" spans="1:25" ht="13.2">
      <c r="A93" s="87"/>
      <c r="B93" s="87"/>
      <c r="C93" s="87"/>
      <c r="D93" s="153" t="s">
        <v>736</v>
      </c>
      <c r="E93" s="87"/>
      <c r="F93" s="156"/>
      <c r="G93" s="156">
        <f>G35</f>
        <v>43953.96480400001</v>
      </c>
      <c r="H93" s="156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</row>
    <row r="94" spans="1:25" ht="13.2">
      <c r="A94" s="87"/>
      <c r="B94" s="87"/>
      <c r="C94" s="87"/>
      <c r="D94" s="87"/>
      <c r="E94" s="87"/>
      <c r="F94" s="156"/>
      <c r="G94" s="156"/>
      <c r="H94" s="156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</row>
    <row r="95" spans="1:25" ht="13.2">
      <c r="A95" s="87"/>
      <c r="B95" s="87"/>
      <c r="C95" s="87"/>
      <c r="D95" s="153" t="s">
        <v>716</v>
      </c>
      <c r="E95" s="87"/>
      <c r="F95" s="156"/>
      <c r="G95" s="156"/>
      <c r="H95" s="156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</row>
    <row r="96" spans="1:25" ht="13.2">
      <c r="A96" s="87"/>
      <c r="B96" s="87"/>
      <c r="C96" s="87">
        <v>6644</v>
      </c>
      <c r="D96" s="87" t="s">
        <v>737</v>
      </c>
      <c r="E96" s="87"/>
      <c r="F96" s="156"/>
      <c r="G96" s="156">
        <v>0</v>
      </c>
      <c r="H96" s="156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</row>
    <row r="97" spans="1:25" ht="13.2">
      <c r="A97" s="87"/>
      <c r="B97" s="87"/>
      <c r="C97" s="87"/>
      <c r="D97" s="87"/>
      <c r="E97" s="87"/>
      <c r="F97" s="156"/>
      <c r="G97" s="165"/>
      <c r="H97" s="156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</row>
    <row r="98" spans="1:25" ht="20.25" customHeight="1">
      <c r="A98" s="87"/>
      <c r="B98" s="87"/>
      <c r="C98" s="87"/>
      <c r="D98" s="153" t="s">
        <v>738</v>
      </c>
      <c r="E98" s="87"/>
      <c r="F98" s="156"/>
      <c r="G98" s="157">
        <f>G93+G96</f>
        <v>43953.96480400001</v>
      </c>
      <c r="H98" s="156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</row>
    <row r="99" spans="1:25" ht="13.2">
      <c r="F99" s="84"/>
      <c r="G99" s="166"/>
      <c r="H99" s="84"/>
    </row>
    <row r="100" spans="1:25" ht="13.2">
      <c r="G100" s="167"/>
    </row>
  </sheetData>
  <conditionalFormatting sqref="T4:T5 T8:T9">
    <cfRule type="cellIs" dxfId="14" priority="1" operator="between">
      <formula>U4+1</formula>
      <formula>U4-1</formula>
    </cfRule>
    <cfRule type="cellIs" dxfId="13" priority="2" operator="notBetween">
      <formula>U4+1</formula>
      <formula>U4-1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outlinePr summaryBelow="0" summaryRight="0"/>
  </sheetPr>
  <dimension ref="A1:Y100"/>
  <sheetViews>
    <sheetView workbookViewId="0"/>
  </sheetViews>
  <sheetFormatPr defaultColWidth="12.6640625" defaultRowHeight="15" customHeight="1"/>
  <cols>
    <col min="2" max="2" width="23.6640625" customWidth="1"/>
    <col min="3" max="3" width="17.44140625" customWidth="1"/>
    <col min="4" max="4" width="20.21875" customWidth="1"/>
    <col min="5" max="5" width="11.21875" customWidth="1"/>
    <col min="11" max="11" width="22.88671875" customWidth="1"/>
  </cols>
  <sheetData>
    <row r="1" spans="1:25" ht="24" customHeight="1">
      <c r="A1" s="168"/>
      <c r="B1" s="134"/>
      <c r="C1" s="134"/>
      <c r="D1" s="134"/>
      <c r="E1" s="135" t="str">
        <f>Zusammenfassung!E1</f>
        <v>Income (Germany)</v>
      </c>
      <c r="F1" s="135" t="str">
        <f>Zusammenfassung!F1</f>
        <v>Steuer
DE
Finanzamt 2150
Gemeinde 7610</v>
      </c>
      <c r="G1" s="135" t="str">
        <f>Zusammenfassung!G1</f>
        <v>Steuer
(UK)</v>
      </c>
      <c r="H1" s="135" t="str">
        <f>Zusammenfassung!H1</f>
        <v>Krankenkasse ens.</v>
      </c>
      <c r="I1" s="92" t="str">
        <f>Zusammenfassung!I1</f>
        <v>Medical</v>
      </c>
      <c r="J1" s="135" t="str">
        <f>Zusammenfassung!J1</f>
        <v>Telephone</v>
      </c>
      <c r="K1" s="135" t="str">
        <f>Zusammenfassung!K1</f>
        <v>Data SIM Cards, Internet</v>
      </c>
      <c r="L1" s="135" t="str">
        <f>Zusammenfassung!L1</f>
        <v>Airline tickets &amp; Covid Tests</v>
      </c>
      <c r="M1" s="92" t="str">
        <f>Zusammenfassung!M1</f>
        <v>Taxi, Train, Toll, Parking</v>
      </c>
      <c r="N1" s="92" t="str">
        <f>Zusammenfassung!N1</f>
        <v>Hotel, Apartment</v>
      </c>
      <c r="O1" s="92" t="str">
        <f>Zusammenfassung!O1</f>
        <v>Auto</v>
      </c>
      <c r="P1" s="92" t="str">
        <f>Zusammenfassung!P1</f>
        <v>Office equipment, hardware, Insurance</v>
      </c>
      <c r="Q1" s="92" t="str">
        <f>Zusammenfassung!Q1</f>
        <v>Software Cloud Services</v>
      </c>
      <c r="R1" s="92" t="str">
        <f>Zusammenfassung!R1</f>
        <v>Professional fees</v>
      </c>
      <c r="S1" s="92" t="str">
        <f>Zusammenfassung!S1</f>
        <v>Bank charges</v>
      </c>
      <c r="T1" s="136"/>
      <c r="U1" s="136"/>
      <c r="V1" s="85"/>
      <c r="W1" s="85"/>
    </row>
    <row r="2" spans="1:25" ht="37.5" customHeight="1">
      <c r="A2" s="169"/>
      <c r="B2" s="138"/>
      <c r="C2" s="139"/>
      <c r="D2" s="138"/>
      <c r="E2" s="170">
        <f>Zusammenfassung!E2</f>
        <v>2180</v>
      </c>
      <c r="F2" s="170">
        <f>Zusammenfassung!F2</f>
        <v>2150</v>
      </c>
      <c r="G2" s="140" t="str">
        <f>Zusammenfassung!G2</f>
        <v>4338-2</v>
      </c>
      <c r="H2" s="140">
        <f>Zusammenfassung!H2</f>
        <v>2200</v>
      </c>
      <c r="I2" s="140">
        <f>Zusammenfassung!I2</f>
        <v>900</v>
      </c>
      <c r="J2" s="140">
        <f>Zusammenfassung!J2</f>
        <v>6805</v>
      </c>
      <c r="K2" s="140" t="str">
        <f>Zusammenfassung!K2</f>
        <v>6495-1</v>
      </c>
      <c r="L2" s="140" t="str">
        <f>Zusammenfassung!L2</f>
        <v>6673-1</v>
      </c>
      <c r="M2" s="140" t="str">
        <f>Zusammenfassung!M2</f>
        <v>6673-2</v>
      </c>
      <c r="N2" s="140">
        <f>Zusammenfassung!N2</f>
        <v>6680</v>
      </c>
      <c r="O2" s="140">
        <f>Zusammenfassung!O2</f>
        <v>6530</v>
      </c>
      <c r="P2" s="140">
        <f>Zusammenfassung!P2</f>
        <v>6815</v>
      </c>
      <c r="Q2" s="140" t="str">
        <f>Zusammenfassung!Q2</f>
        <v>6495-2</v>
      </c>
      <c r="R2" s="140">
        <f>Zusammenfassung!R2</f>
        <v>6827</v>
      </c>
      <c r="S2" s="140">
        <f>Zusammenfassung!S2</f>
        <v>6855</v>
      </c>
      <c r="T2" s="136" t="s">
        <v>672</v>
      </c>
      <c r="U2" s="141" t="s">
        <v>673</v>
      </c>
      <c r="V2" s="85"/>
      <c r="W2" s="85"/>
    </row>
    <row r="3" spans="1:25" ht="13.2">
      <c r="E3" s="142">
        <v>1</v>
      </c>
      <c r="F3" s="142">
        <v>2</v>
      </c>
      <c r="G3" s="142">
        <v>3</v>
      </c>
      <c r="H3" s="142">
        <v>4</v>
      </c>
      <c r="I3" s="142">
        <v>5</v>
      </c>
      <c r="J3" s="142">
        <v>6</v>
      </c>
      <c r="K3" s="142">
        <v>7</v>
      </c>
      <c r="L3" s="142">
        <v>9</v>
      </c>
      <c r="M3" s="142">
        <v>10</v>
      </c>
      <c r="N3" s="142">
        <v>11</v>
      </c>
      <c r="O3" s="142">
        <v>12</v>
      </c>
      <c r="P3" s="142">
        <v>13</v>
      </c>
      <c r="Q3" s="142">
        <v>14</v>
      </c>
      <c r="R3" s="142">
        <v>15</v>
      </c>
      <c r="S3" s="142">
        <v>16</v>
      </c>
    </row>
    <row r="4" spans="1:25" ht="13.2">
      <c r="A4" s="143" t="s">
        <v>674</v>
      </c>
      <c r="B4" s="143" t="str">
        <f>Zusammenfassung!B11</f>
        <v>2023.01.01 bis 2023.04.05</v>
      </c>
      <c r="C4" s="144" t="str">
        <f>Zusammenfassung!C13</f>
        <v>DE portion (€)</v>
      </c>
      <c r="E4" s="84">
        <f>Zusammenfassung!D13</f>
        <v>21455.794543535998</v>
      </c>
      <c r="H4" s="84">
        <f>Zusammenfassung!H13</f>
        <v>2471.34</v>
      </c>
      <c r="I4" s="84">
        <f>Zusammenfassung!I13</f>
        <v>232.07</v>
      </c>
      <c r="J4" s="84">
        <f>Zusammenfassung!J13</f>
        <v>36.909999999999997</v>
      </c>
      <c r="K4" s="84">
        <f>Zusammenfassung!K13</f>
        <v>293.93000000000012</v>
      </c>
      <c r="L4" s="84">
        <f>Zusammenfassung!L13</f>
        <v>728.05999999999983</v>
      </c>
      <c r="M4" s="84">
        <f>Zusammenfassung!M13</f>
        <v>437.17999999999995</v>
      </c>
      <c r="N4" s="84">
        <f>Zusammenfassung!N13</f>
        <v>3622.6495999999997</v>
      </c>
      <c r="O4" s="84">
        <f>Zusammenfassung!O13</f>
        <v>0</v>
      </c>
      <c r="P4" s="84">
        <f>Zusammenfassung!P13</f>
        <v>1</v>
      </c>
      <c r="Q4" s="84">
        <f>Zusammenfassung!Q13</f>
        <v>483.35</v>
      </c>
      <c r="R4" s="84">
        <f>Zusammenfassung!R13</f>
        <v>0.6</v>
      </c>
      <c r="S4" s="84">
        <f>Zusammenfassung!S13</f>
        <v>68.72</v>
      </c>
      <c r="T4" s="84">
        <f t="shared" ref="T4:T6" si="0">SUM(H4:S4)</f>
        <v>8375.8096000000005</v>
      </c>
      <c r="U4" s="84">
        <f>Zusammenfassung!X13</f>
        <v>8375.8096000000005</v>
      </c>
    </row>
    <row r="5" spans="1:25" ht="13.2">
      <c r="B5" s="143" t="str">
        <f>Zusammenfassung!B16</f>
        <v>2023.04.06 bis 2023.12.31</v>
      </c>
      <c r="C5" s="144" t="str">
        <f>Zusammenfassung!C18</f>
        <v>DE portion (€)</v>
      </c>
      <c r="E5" s="84">
        <f>Zusammenfassung!D18</f>
        <v>99594.243907199998</v>
      </c>
      <c r="H5" s="84">
        <f>Zusammenfassung!H18</f>
        <v>6779.09</v>
      </c>
      <c r="I5" s="84">
        <f>Zusammenfassung!I18</f>
        <v>1</v>
      </c>
      <c r="J5" s="84">
        <f>Zusammenfassung!J18</f>
        <v>122.08999999999999</v>
      </c>
      <c r="K5" s="84">
        <f>Zusammenfassung!K18</f>
        <v>707.2399999999999</v>
      </c>
      <c r="L5" s="84">
        <f>Zusammenfassung!L18</f>
        <v>2645.8600000000006</v>
      </c>
      <c r="M5" s="84">
        <f>Zusammenfassung!M18</f>
        <v>1120.4000000000001</v>
      </c>
      <c r="N5" s="84">
        <f>Zusammenfassung!N18</f>
        <v>8819.3184000000001</v>
      </c>
      <c r="O5" s="84">
        <f>Zusammenfassung!O18</f>
        <v>0</v>
      </c>
      <c r="P5" s="84">
        <f>Zusammenfassung!P18</f>
        <v>51.1</v>
      </c>
      <c r="Q5" s="84">
        <f>Zusammenfassung!Q18</f>
        <v>19.950000000000003</v>
      </c>
      <c r="R5" s="84">
        <f>Zusammenfassung!R18</f>
        <v>933.79999999999984</v>
      </c>
      <c r="S5" s="84">
        <f>Zusammenfassung!S18</f>
        <v>208.75999999999993</v>
      </c>
      <c r="T5" s="84">
        <f t="shared" si="0"/>
        <v>21408.608399999997</v>
      </c>
      <c r="U5" s="84">
        <f>Zusammenfassung!X18</f>
        <v>21408.608399999997</v>
      </c>
    </row>
    <row r="6" spans="1:25" ht="13.2">
      <c r="C6" s="145" t="s">
        <v>675</v>
      </c>
      <c r="D6" s="146"/>
      <c r="E6" s="147">
        <f>SUM(E4:E5)</f>
        <v>121050.038450736</v>
      </c>
      <c r="F6" s="146"/>
      <c r="G6" s="146"/>
      <c r="H6" s="148">
        <f t="shared" ref="H6:S6" si="1">SUM(H4:H5)</f>
        <v>9250.43</v>
      </c>
      <c r="I6" s="147">
        <f t="shared" si="1"/>
        <v>233.07</v>
      </c>
      <c r="J6" s="148">
        <f t="shared" si="1"/>
        <v>159</v>
      </c>
      <c r="K6" s="148">
        <f t="shared" si="1"/>
        <v>1001.1700000000001</v>
      </c>
      <c r="L6" s="148">
        <f t="shared" si="1"/>
        <v>3373.9200000000005</v>
      </c>
      <c r="M6" s="148">
        <f t="shared" si="1"/>
        <v>1557.58</v>
      </c>
      <c r="N6" s="148">
        <f t="shared" si="1"/>
        <v>12441.968000000001</v>
      </c>
      <c r="O6" s="148">
        <f t="shared" si="1"/>
        <v>0</v>
      </c>
      <c r="P6" s="148">
        <f t="shared" si="1"/>
        <v>52.1</v>
      </c>
      <c r="Q6" s="148">
        <f t="shared" si="1"/>
        <v>503.3</v>
      </c>
      <c r="R6" s="148">
        <f t="shared" si="1"/>
        <v>934.39999999999986</v>
      </c>
      <c r="S6" s="149">
        <f t="shared" si="1"/>
        <v>277.4799999999999</v>
      </c>
      <c r="T6" s="84">
        <f t="shared" si="0"/>
        <v>29784.417999999998</v>
      </c>
    </row>
    <row r="7" spans="1:25" ht="13.2">
      <c r="T7" s="84">
        <f>T4+T5-T6</f>
        <v>0</v>
      </c>
    </row>
    <row r="8" spans="1:25" ht="13.2">
      <c r="A8" s="87" t="s">
        <v>161</v>
      </c>
      <c r="B8" s="143" t="str">
        <f t="shared" ref="B8:B9" si="2">B4</f>
        <v>2023.01.01 bis 2023.04.05</v>
      </c>
      <c r="C8" s="144" t="str">
        <f>Zusammenfassung!C14</f>
        <v>UK portion (€)</v>
      </c>
      <c r="E8" s="84">
        <f>Zusammenfassung!D14</f>
        <v>14304</v>
      </c>
      <c r="H8" s="84">
        <f>Zusammenfassung!H14</f>
        <v>0</v>
      </c>
      <c r="I8" s="84">
        <f>Zusammenfassung!I14</f>
        <v>0</v>
      </c>
      <c r="J8" s="84">
        <f>Zusammenfassung!J14</f>
        <v>24.6</v>
      </c>
      <c r="K8" s="84">
        <f>Zusammenfassung!K14</f>
        <v>195.95</v>
      </c>
      <c r="L8" s="84">
        <f>Zusammenfassung!L14</f>
        <v>485.37</v>
      </c>
      <c r="M8" s="84">
        <f>Zusammenfassung!M14</f>
        <v>0</v>
      </c>
      <c r="N8" s="84">
        <f>Zusammenfassung!N14</f>
        <v>0</v>
      </c>
      <c r="O8" s="84">
        <f>Zusammenfassung!O14</f>
        <v>493.10485519999997</v>
      </c>
      <c r="P8" s="84">
        <f>Zusammenfassung!P14</f>
        <v>0</v>
      </c>
      <c r="Q8" s="84">
        <f>Zusammenfassung!Q14</f>
        <v>322.23</v>
      </c>
      <c r="R8" s="84">
        <f>Zusammenfassung!R14</f>
        <v>0.4</v>
      </c>
      <c r="S8" s="84">
        <f>Zusammenfassung!S14</f>
        <v>45.81</v>
      </c>
      <c r="T8" s="84">
        <f t="shared" ref="T8:T10" si="3">SUM(H8:S8)</f>
        <v>1567.4648551999999</v>
      </c>
      <c r="U8" s="84">
        <f>Zusammenfassung!X14</f>
        <v>1567.4648551999999</v>
      </c>
    </row>
    <row r="9" spans="1:25" ht="13.2">
      <c r="B9" s="143" t="str">
        <f t="shared" si="2"/>
        <v>2023.04.06 bis 2023.12.31</v>
      </c>
      <c r="C9" s="144" t="str">
        <f>Zusammenfassung!C19</f>
        <v>UK portion (€)</v>
      </c>
      <c r="E9" s="84">
        <f>Zusammenfassung!D19</f>
        <v>58492</v>
      </c>
      <c r="H9" s="84">
        <f>Zusammenfassung!H19</f>
        <v>0</v>
      </c>
      <c r="I9" s="84">
        <f>Zusammenfassung!I19</f>
        <v>0</v>
      </c>
      <c r="J9" s="84">
        <f>Zusammenfassung!J19</f>
        <v>71.7</v>
      </c>
      <c r="K9" s="84">
        <f>Zusammenfassung!K19</f>
        <v>415.36</v>
      </c>
      <c r="L9" s="84">
        <f>Zusammenfassung!L19</f>
        <v>1553.91</v>
      </c>
      <c r="M9" s="84">
        <f>Zusammenfassung!M19</f>
        <v>0</v>
      </c>
      <c r="N9" s="84">
        <f>Zusammenfassung!N19</f>
        <v>0</v>
      </c>
      <c r="O9" s="84">
        <f>Zusammenfassung!O19</f>
        <v>2028.2477568600002</v>
      </c>
      <c r="P9" s="84">
        <f>Zusammenfassung!P19</f>
        <v>0</v>
      </c>
      <c r="Q9" s="84">
        <f>Zusammenfassung!Q19</f>
        <v>11.72</v>
      </c>
      <c r="R9" s="84">
        <f>Zusammenfassung!R19</f>
        <v>548.41999999999996</v>
      </c>
      <c r="S9" s="84">
        <f>Zusammenfassung!S19</f>
        <v>122.61</v>
      </c>
      <c r="T9" s="84">
        <f t="shared" si="3"/>
        <v>4751.9677568599991</v>
      </c>
      <c r="U9" s="84">
        <f>Zusammenfassung!X19</f>
        <v>4751.9677568599991</v>
      </c>
    </row>
    <row r="10" spans="1:25" ht="13.2">
      <c r="C10" s="145" t="s">
        <v>675</v>
      </c>
      <c r="D10" s="146"/>
      <c r="E10" s="147">
        <f>SUM(E8:E9)</f>
        <v>72796</v>
      </c>
      <c r="F10" s="146"/>
      <c r="G10" s="146"/>
      <c r="H10" s="148">
        <f t="shared" ref="H10:S10" si="4">SUM(H8:H9)</f>
        <v>0</v>
      </c>
      <c r="I10" s="147">
        <f t="shared" si="4"/>
        <v>0</v>
      </c>
      <c r="J10" s="148">
        <f t="shared" si="4"/>
        <v>96.300000000000011</v>
      </c>
      <c r="K10" s="148">
        <f t="shared" si="4"/>
        <v>611.30999999999995</v>
      </c>
      <c r="L10" s="148">
        <f t="shared" si="4"/>
        <v>2039.2800000000002</v>
      </c>
      <c r="M10" s="148">
        <f t="shared" si="4"/>
        <v>0</v>
      </c>
      <c r="N10" s="148">
        <f t="shared" si="4"/>
        <v>0</v>
      </c>
      <c r="O10" s="148">
        <f t="shared" si="4"/>
        <v>2521.35261206</v>
      </c>
      <c r="P10" s="148">
        <f t="shared" si="4"/>
        <v>0</v>
      </c>
      <c r="Q10" s="148">
        <f t="shared" si="4"/>
        <v>333.95000000000005</v>
      </c>
      <c r="R10" s="148">
        <f t="shared" si="4"/>
        <v>548.81999999999994</v>
      </c>
      <c r="S10" s="149">
        <f t="shared" si="4"/>
        <v>168.42000000000002</v>
      </c>
      <c r="T10" s="84">
        <f t="shared" si="3"/>
        <v>6319.4326120599999</v>
      </c>
    </row>
    <row r="11" spans="1:25" ht="13.2">
      <c r="T11" s="84">
        <f>T8+T9-T10</f>
        <v>0</v>
      </c>
    </row>
    <row r="15" spans="1:25" ht="13.2">
      <c r="G15" s="152">
        <v>2023</v>
      </c>
      <c r="H15" s="152">
        <v>2022</v>
      </c>
      <c r="K15" s="87" t="s">
        <v>739</v>
      </c>
      <c r="L15" s="84">
        <f>SUM(L16:L17)</f>
        <v>121050.038450736</v>
      </c>
    </row>
    <row r="16" spans="1:25" ht="13.2">
      <c r="A16" s="87"/>
      <c r="B16" s="153" t="s">
        <v>677</v>
      </c>
      <c r="C16" s="87"/>
      <c r="D16" s="87"/>
      <c r="E16" s="87"/>
      <c r="G16" s="154" t="s">
        <v>678</v>
      </c>
      <c r="H16" s="154" t="s">
        <v>679</v>
      </c>
      <c r="I16" s="87"/>
      <c r="J16" s="87"/>
      <c r="K16" s="87" t="s">
        <v>680</v>
      </c>
      <c r="L16" s="84">
        <f>Zusammenfassung!D13</f>
        <v>21455.794543535998</v>
      </c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</row>
    <row r="17" spans="1:25" ht="13.2">
      <c r="A17" s="87"/>
      <c r="B17" s="87"/>
      <c r="C17" s="87" t="s">
        <v>681</v>
      </c>
      <c r="D17" s="87"/>
      <c r="E17" s="87"/>
      <c r="F17" s="87"/>
      <c r="G17" s="156">
        <f>E6</f>
        <v>121050.038450736</v>
      </c>
      <c r="H17" s="156">
        <v>151502.89967398203</v>
      </c>
      <c r="I17" s="87"/>
      <c r="J17" s="87"/>
      <c r="K17" s="87" t="s">
        <v>682</v>
      </c>
      <c r="L17" s="84">
        <f>Zusammenfassung!D18</f>
        <v>99594.243907199998</v>
      </c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</row>
    <row r="18" spans="1:25" ht="13.2">
      <c r="A18" s="87"/>
      <c r="B18" s="87"/>
      <c r="C18" s="87" t="s">
        <v>683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</row>
    <row r="19" spans="1:25" ht="13.2">
      <c r="A19" s="87"/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</row>
    <row r="20" spans="1:25" ht="13.2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</row>
    <row r="21" spans="1:25" ht="13.2">
      <c r="A21" s="87"/>
      <c r="B21" s="153" t="s">
        <v>684</v>
      </c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</row>
    <row r="22" spans="1:25" ht="13.2">
      <c r="A22" s="87"/>
      <c r="B22" s="87"/>
      <c r="C22" s="87" t="s">
        <v>685</v>
      </c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</row>
    <row r="23" spans="1:25" ht="13.2">
      <c r="A23" s="87"/>
      <c r="B23" s="87"/>
      <c r="C23" s="87"/>
      <c r="D23" s="87" t="s">
        <v>686</v>
      </c>
      <c r="E23" s="87"/>
      <c r="F23" s="87"/>
      <c r="G23" s="156">
        <f>G52</f>
        <v>600</v>
      </c>
      <c r="H23" s="156">
        <v>600</v>
      </c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</row>
    <row r="24" spans="1:25" ht="13.2">
      <c r="A24" s="87"/>
      <c r="B24" s="87"/>
      <c r="C24" s="87" t="s">
        <v>687</v>
      </c>
      <c r="D24" s="87"/>
      <c r="E24" s="87"/>
      <c r="F24" s="87"/>
      <c r="G24" s="156">
        <f>G55</f>
        <v>9250.43</v>
      </c>
      <c r="H24" s="156">
        <v>11914.35</v>
      </c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</row>
    <row r="25" spans="1:25" ht="13.2">
      <c r="A25" s="87"/>
      <c r="B25" s="87"/>
      <c r="C25" s="87" t="s">
        <v>688</v>
      </c>
      <c r="D25" s="87"/>
      <c r="E25" s="87"/>
      <c r="F25" s="87"/>
      <c r="G25" s="87"/>
      <c r="H25" s="156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</row>
    <row r="26" spans="1:25" ht="13.2">
      <c r="A26" s="87"/>
      <c r="B26" s="87"/>
      <c r="C26" s="87"/>
      <c r="D26" s="87" t="s">
        <v>689</v>
      </c>
      <c r="E26" s="87"/>
      <c r="F26" s="87"/>
      <c r="G26" s="156">
        <f>G60</f>
        <v>0</v>
      </c>
      <c r="H26" s="156">
        <v>3779.4799999999996</v>
      </c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</row>
    <row r="27" spans="1:25" ht="13.2">
      <c r="A27" s="87"/>
      <c r="B27" s="87"/>
      <c r="C27" s="87" t="s">
        <v>690</v>
      </c>
      <c r="D27" s="87"/>
      <c r="E27" s="87"/>
      <c r="F27" s="87"/>
      <c r="G27" s="156">
        <f>G64</f>
        <v>17373.468000000001</v>
      </c>
      <c r="H27" s="156">
        <v>13510.720000000001</v>
      </c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</row>
    <row r="28" spans="1:25" ht="13.2">
      <c r="A28" s="87"/>
      <c r="B28" s="87"/>
      <c r="C28" s="87" t="s">
        <v>691</v>
      </c>
      <c r="D28" s="87"/>
      <c r="E28" s="87"/>
      <c r="F28" s="87"/>
      <c r="G28" s="156">
        <f>G72</f>
        <v>555.4</v>
      </c>
      <c r="H28" s="156">
        <v>1579.1999999999998</v>
      </c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</row>
    <row r="29" spans="1:25" ht="13.2">
      <c r="A29" s="87"/>
      <c r="B29" s="87"/>
      <c r="C29" s="87" t="s">
        <v>692</v>
      </c>
      <c r="D29" s="87"/>
      <c r="E29" s="87"/>
      <c r="F29" s="87"/>
      <c r="G29" s="156">
        <f>G75</f>
        <v>2373.0499999999997</v>
      </c>
      <c r="H29" s="156">
        <v>6824.5999999999995</v>
      </c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</row>
    <row r="30" spans="1:25" ht="13.2">
      <c r="A30" s="87"/>
      <c r="B30" s="87"/>
      <c r="C30" s="87" t="s">
        <v>693</v>
      </c>
      <c r="D30" s="87"/>
      <c r="E30" s="87"/>
      <c r="F30" s="87"/>
      <c r="G30" s="156">
        <f>G87</f>
        <v>0</v>
      </c>
      <c r="H30" s="156">
        <v>0</v>
      </c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</row>
    <row r="31" spans="1:25" ht="13.2">
      <c r="A31" s="87"/>
      <c r="B31" s="87"/>
      <c r="C31" s="87"/>
      <c r="D31" s="87"/>
      <c r="E31" s="87"/>
      <c r="F31" s="87"/>
      <c r="G31" s="87"/>
      <c r="H31" s="156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</row>
    <row r="32" spans="1:25" ht="13.2">
      <c r="A32" s="87"/>
      <c r="B32" s="87"/>
      <c r="C32" s="87"/>
      <c r="D32" s="87" t="s">
        <v>694</v>
      </c>
      <c r="E32" s="87"/>
      <c r="F32" s="87"/>
      <c r="G32" s="156">
        <f>SUM(G22:G30)</f>
        <v>30152.348000000002</v>
      </c>
      <c r="H32" s="156">
        <v>38208.350000000006</v>
      </c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</row>
    <row r="33" spans="1:25" ht="13.2">
      <c r="A33" s="87"/>
      <c r="B33" s="87"/>
      <c r="C33" s="87"/>
      <c r="D33" s="87" t="s">
        <v>695</v>
      </c>
      <c r="E33" s="87"/>
      <c r="F33" s="87"/>
      <c r="G33" s="156">
        <f>G32</f>
        <v>30152.348000000002</v>
      </c>
      <c r="H33" s="156">
        <v>38208.350000000006</v>
      </c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</row>
    <row r="34" spans="1:25" ht="13.2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</row>
    <row r="35" spans="1:25" ht="13.2">
      <c r="A35" s="87"/>
      <c r="B35" s="153" t="s">
        <v>696</v>
      </c>
      <c r="C35" s="87"/>
      <c r="D35" s="87"/>
      <c r="E35" s="87"/>
      <c r="F35" s="87"/>
      <c r="G35" s="157">
        <f>G17-G33</f>
        <v>90897.690450736001</v>
      </c>
      <c r="H35" s="157">
        <v>113294.54967398202</v>
      </c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</row>
    <row r="36" spans="1:25" ht="13.2">
      <c r="A36" s="87"/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</row>
    <row r="37" spans="1:25" ht="13.2">
      <c r="A37" s="87"/>
      <c r="B37" s="153" t="s">
        <v>697</v>
      </c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</row>
    <row r="38" spans="1:25" ht="13.2">
      <c r="A38" s="87"/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</row>
    <row r="39" spans="1:25" ht="13.2">
      <c r="A39" s="87"/>
      <c r="B39" s="87"/>
      <c r="C39" s="87"/>
      <c r="D39" s="87"/>
      <c r="E39" s="87"/>
      <c r="F39" s="156"/>
      <c r="G39" s="156"/>
      <c r="H39" s="156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</row>
    <row r="40" spans="1:25" ht="13.2">
      <c r="A40" s="87"/>
      <c r="B40" s="87"/>
      <c r="C40" s="87"/>
      <c r="D40" s="87"/>
      <c r="E40" s="87"/>
      <c r="F40" s="156"/>
      <c r="G40" s="156"/>
      <c r="H40" s="156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</row>
    <row r="41" spans="1:25" ht="13.2">
      <c r="A41" s="87"/>
      <c r="B41" s="87"/>
      <c r="C41" s="87" t="s">
        <v>698</v>
      </c>
      <c r="D41" s="87" t="s">
        <v>699</v>
      </c>
      <c r="E41" s="87"/>
      <c r="F41" s="156"/>
      <c r="G41" s="156"/>
      <c r="H41" s="156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</row>
    <row r="42" spans="1:25" ht="13.2">
      <c r="A42" s="87"/>
      <c r="B42" s="87"/>
      <c r="C42" s="87"/>
      <c r="D42" s="87"/>
      <c r="E42" s="87"/>
      <c r="F42" s="156"/>
      <c r="G42" s="156"/>
      <c r="H42" s="156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</row>
    <row r="43" spans="1:25" ht="13.2">
      <c r="A43" s="87"/>
      <c r="B43" s="87"/>
      <c r="C43" s="87"/>
      <c r="D43" s="153" t="s">
        <v>700</v>
      </c>
      <c r="E43" s="87"/>
      <c r="F43" s="156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</row>
    <row r="44" spans="1:25" ht="13.2">
      <c r="A44" s="87"/>
      <c r="B44" s="87"/>
      <c r="C44" s="87">
        <v>4336</v>
      </c>
      <c r="D44" s="87" t="s">
        <v>701</v>
      </c>
      <c r="E44" s="87"/>
      <c r="F44" s="158"/>
      <c r="G44" s="156"/>
      <c r="H44" s="156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</row>
    <row r="45" spans="1:25" ht="13.2">
      <c r="A45" s="87"/>
      <c r="B45" s="87"/>
      <c r="C45" s="87">
        <v>4338</v>
      </c>
      <c r="D45" s="87" t="s">
        <v>702</v>
      </c>
      <c r="E45" s="87"/>
      <c r="F45" s="159">
        <v>0</v>
      </c>
      <c r="G45" s="156"/>
      <c r="H45" s="156"/>
      <c r="I45" s="160"/>
      <c r="J45" s="160"/>
      <c r="K45" s="160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</row>
    <row r="46" spans="1:25" ht="13.2">
      <c r="A46" s="87"/>
      <c r="B46" s="87"/>
      <c r="C46" s="87"/>
      <c r="D46" s="87"/>
      <c r="E46" s="160"/>
      <c r="F46" s="156"/>
      <c r="G46" s="156"/>
      <c r="H46" s="156"/>
      <c r="I46" s="160"/>
      <c r="J46" s="160"/>
      <c r="K46" s="160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</row>
    <row r="47" spans="1:25" ht="13.2">
      <c r="A47" s="87"/>
      <c r="B47" s="87"/>
      <c r="C47" s="87"/>
      <c r="D47" s="153" t="s">
        <v>703</v>
      </c>
      <c r="E47" s="160"/>
      <c r="F47" s="156"/>
      <c r="G47" s="156">
        <f>SUM(F48:F50)</f>
        <v>0</v>
      </c>
      <c r="H47" s="156"/>
      <c r="I47" s="160"/>
      <c r="J47" s="160"/>
      <c r="K47" s="160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</row>
    <row r="48" spans="1:25" ht="13.2">
      <c r="A48" s="87"/>
      <c r="B48" s="87"/>
      <c r="C48" s="87">
        <v>3820</v>
      </c>
      <c r="D48" s="87" t="s">
        <v>704</v>
      </c>
      <c r="E48" s="160"/>
      <c r="F48" s="158"/>
      <c r="G48" s="156"/>
      <c r="H48" s="156"/>
      <c r="I48" s="160"/>
      <c r="J48" s="160"/>
      <c r="K48" s="160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</row>
    <row r="49" spans="1:25" ht="13.2">
      <c r="A49" s="87"/>
      <c r="B49" s="87"/>
      <c r="C49" s="87">
        <v>3840</v>
      </c>
      <c r="D49" s="87" t="s">
        <v>705</v>
      </c>
      <c r="E49" s="160"/>
      <c r="F49" s="161"/>
      <c r="G49" s="156"/>
      <c r="H49" s="156"/>
      <c r="I49" s="160"/>
      <c r="J49" s="160"/>
      <c r="K49" s="160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</row>
    <row r="50" spans="1:25" ht="13.2">
      <c r="A50" s="87"/>
      <c r="B50" s="87"/>
      <c r="C50" s="87">
        <v>3841</v>
      </c>
      <c r="D50" s="87" t="s">
        <v>706</v>
      </c>
      <c r="E50" s="160"/>
      <c r="F50" s="159"/>
      <c r="G50" s="156"/>
      <c r="H50" s="156"/>
      <c r="I50" s="160"/>
      <c r="J50" s="160"/>
      <c r="K50" s="160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</row>
    <row r="51" spans="1:25" ht="13.2">
      <c r="A51" s="87"/>
      <c r="B51" s="87"/>
      <c r="C51" s="87"/>
      <c r="D51" s="87"/>
      <c r="E51" s="160"/>
      <c r="F51" s="156"/>
      <c r="G51" s="156"/>
      <c r="H51" s="156"/>
      <c r="I51" s="160"/>
      <c r="J51" s="160"/>
      <c r="K51" s="160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</row>
    <row r="52" spans="1:25" ht="13.2">
      <c r="A52" s="87"/>
      <c r="B52" s="87"/>
      <c r="C52" s="87"/>
      <c r="D52" s="153" t="s">
        <v>686</v>
      </c>
      <c r="E52" s="160"/>
      <c r="F52" s="156"/>
      <c r="G52" s="156">
        <f>F53</f>
        <v>600</v>
      </c>
      <c r="H52" s="156"/>
      <c r="I52" s="160"/>
      <c r="J52" s="160"/>
      <c r="K52" s="160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</row>
    <row r="53" spans="1:25" ht="13.2">
      <c r="A53" s="87"/>
      <c r="B53" s="87"/>
      <c r="C53" s="87">
        <v>6348</v>
      </c>
      <c r="D53" s="87" t="s">
        <v>707</v>
      </c>
      <c r="E53" s="160"/>
      <c r="F53" s="162">
        <v>600</v>
      </c>
      <c r="G53" s="156"/>
      <c r="H53" s="156"/>
      <c r="I53" s="160"/>
      <c r="J53" s="160"/>
      <c r="K53" s="160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</row>
    <row r="54" spans="1:25" ht="13.2">
      <c r="A54" s="87"/>
      <c r="B54" s="87"/>
      <c r="C54" s="87"/>
      <c r="D54" s="87"/>
      <c r="E54" s="160"/>
      <c r="F54" s="156"/>
      <c r="G54" s="156"/>
      <c r="H54" s="156"/>
      <c r="I54" s="160"/>
      <c r="J54" s="160"/>
      <c r="K54" s="160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</row>
    <row r="55" spans="1:25" ht="13.2">
      <c r="A55" s="87"/>
      <c r="B55" s="87"/>
      <c r="C55" s="87"/>
      <c r="D55" s="153" t="s">
        <v>708</v>
      </c>
      <c r="E55" s="160"/>
      <c r="F55" s="156"/>
      <c r="G55" s="156">
        <f>SUM(F56:F58)</f>
        <v>9250.43</v>
      </c>
      <c r="H55" s="156"/>
      <c r="I55" s="160"/>
      <c r="J55" s="160"/>
      <c r="K55" s="160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</row>
    <row r="56" spans="1:25" ht="13.2">
      <c r="A56" s="87"/>
      <c r="B56" s="87"/>
      <c r="C56" s="87">
        <v>6400</v>
      </c>
      <c r="D56" s="87" t="s">
        <v>709</v>
      </c>
      <c r="E56" s="160"/>
      <c r="F56" s="158">
        <f>H6</f>
        <v>9250.43</v>
      </c>
      <c r="G56" s="156"/>
      <c r="H56" s="156"/>
      <c r="I56" s="160"/>
      <c r="J56" s="160"/>
      <c r="K56" s="160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</row>
    <row r="57" spans="1:25" ht="13.2">
      <c r="A57" s="87"/>
      <c r="B57" s="87"/>
      <c r="C57" s="87">
        <v>6420</v>
      </c>
      <c r="D57" s="87" t="s">
        <v>710</v>
      </c>
      <c r="E57" s="160"/>
      <c r="F57" s="161">
        <v>0</v>
      </c>
      <c r="G57" s="156"/>
      <c r="H57" s="156"/>
      <c r="I57" s="160"/>
      <c r="J57" s="160"/>
      <c r="K57" s="160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</row>
    <row r="58" spans="1:25" ht="13.2">
      <c r="A58" s="87"/>
      <c r="B58" s="87"/>
      <c r="C58" s="87">
        <v>6430</v>
      </c>
      <c r="D58" s="87" t="s">
        <v>711</v>
      </c>
      <c r="E58" s="160"/>
      <c r="F58" s="159">
        <v>0</v>
      </c>
      <c r="G58" s="156"/>
      <c r="H58" s="156"/>
      <c r="I58" s="160"/>
      <c r="J58" s="160"/>
      <c r="K58" s="160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</row>
    <row r="59" spans="1:25" ht="13.2">
      <c r="A59" s="87"/>
      <c r="B59" s="87"/>
      <c r="C59" s="87"/>
      <c r="D59" s="87"/>
      <c r="E59" s="160"/>
      <c r="F59" s="156"/>
      <c r="G59" s="156"/>
      <c r="H59" s="156"/>
      <c r="I59" s="160"/>
      <c r="J59" s="160"/>
      <c r="K59" s="160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</row>
    <row r="60" spans="1:25" ht="13.2">
      <c r="A60" s="87"/>
      <c r="B60" s="87"/>
      <c r="C60" s="87"/>
      <c r="D60" s="153" t="s">
        <v>689</v>
      </c>
      <c r="E60" s="160"/>
      <c r="F60" s="156"/>
      <c r="G60" s="156">
        <f>SUM(F61:F62)</f>
        <v>0</v>
      </c>
      <c r="H60" s="156"/>
      <c r="I60" s="160"/>
      <c r="J60" s="160"/>
      <c r="K60" s="160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</row>
    <row r="61" spans="1:25" ht="13.2">
      <c r="A61" s="87"/>
      <c r="B61" s="87"/>
      <c r="C61" s="87">
        <v>6590</v>
      </c>
      <c r="D61" s="87" t="s">
        <v>712</v>
      </c>
      <c r="E61" s="160"/>
      <c r="F61" s="158">
        <f>O6</f>
        <v>0</v>
      </c>
      <c r="G61" s="156"/>
      <c r="H61" s="156"/>
      <c r="I61" s="160"/>
      <c r="J61" s="160"/>
      <c r="K61" s="160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</row>
    <row r="62" spans="1:25" ht="13.2">
      <c r="A62" s="87"/>
      <c r="B62" s="87"/>
      <c r="C62" s="87">
        <v>6595</v>
      </c>
      <c r="D62" s="87" t="s">
        <v>713</v>
      </c>
      <c r="E62" s="160"/>
      <c r="F62" s="159"/>
      <c r="G62" s="156"/>
      <c r="H62" s="156"/>
      <c r="I62" s="160"/>
      <c r="J62" s="160"/>
      <c r="K62" s="160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</row>
    <row r="63" spans="1:25" ht="13.2">
      <c r="A63" s="87"/>
      <c r="B63" s="87"/>
      <c r="C63" s="87"/>
      <c r="D63" s="87"/>
      <c r="E63" s="160"/>
      <c r="F63" s="156"/>
      <c r="G63" s="156"/>
      <c r="H63" s="156"/>
      <c r="I63" s="160"/>
      <c r="J63" s="160"/>
      <c r="K63" s="160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</row>
    <row r="64" spans="1:25" ht="13.2">
      <c r="A64" s="87"/>
      <c r="B64" s="87"/>
      <c r="C64" s="87"/>
      <c r="D64" s="153" t="s">
        <v>714</v>
      </c>
      <c r="E64" s="160"/>
      <c r="F64" s="156"/>
      <c r="G64" s="156">
        <f>SUM(F65:F70)</f>
        <v>17373.468000000001</v>
      </c>
      <c r="H64" s="156"/>
      <c r="I64" s="160"/>
      <c r="J64" s="160"/>
      <c r="K64" s="160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</row>
    <row r="65" spans="1:25" ht="13.2">
      <c r="A65" s="87"/>
      <c r="B65" s="87"/>
      <c r="C65" s="87">
        <v>6600</v>
      </c>
      <c r="D65" s="87" t="s">
        <v>715</v>
      </c>
      <c r="E65" s="160"/>
      <c r="F65" s="158">
        <v>0</v>
      </c>
      <c r="G65" s="156"/>
      <c r="H65" s="156"/>
      <c r="I65" s="160"/>
      <c r="J65" s="160"/>
      <c r="K65" s="160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</row>
    <row r="66" spans="1:25" ht="13.2">
      <c r="A66" s="87"/>
      <c r="B66" s="87"/>
      <c r="C66" s="87">
        <v>6640</v>
      </c>
      <c r="D66" s="87" t="s">
        <v>716</v>
      </c>
      <c r="E66" s="160"/>
      <c r="F66" s="161">
        <v>0</v>
      </c>
      <c r="G66" s="156"/>
      <c r="H66" s="156"/>
      <c r="I66" s="160"/>
      <c r="J66" s="160"/>
      <c r="K66" s="160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</row>
    <row r="67" spans="1:25" ht="13.2">
      <c r="A67" s="87"/>
      <c r="B67" s="87"/>
      <c r="C67" s="87">
        <v>6644</v>
      </c>
      <c r="D67" s="87" t="s">
        <v>717</v>
      </c>
      <c r="E67" s="160"/>
      <c r="F67" s="161">
        <v>0</v>
      </c>
      <c r="G67" s="156"/>
      <c r="H67" s="156"/>
      <c r="I67" s="160"/>
      <c r="J67" s="160"/>
      <c r="K67" s="160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</row>
    <row r="68" spans="1:25" ht="13.2">
      <c r="A68" s="87"/>
      <c r="B68" s="87"/>
      <c r="C68" s="87">
        <v>6673</v>
      </c>
      <c r="D68" s="87" t="s">
        <v>718</v>
      </c>
      <c r="E68" s="160"/>
      <c r="F68" s="161">
        <f>M6</f>
        <v>1557.58</v>
      </c>
      <c r="G68" s="156"/>
      <c r="H68" s="156"/>
      <c r="I68" s="160"/>
      <c r="J68" s="160"/>
      <c r="K68" s="160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</row>
    <row r="69" spans="1:25" ht="13.2">
      <c r="A69" s="87"/>
      <c r="B69" s="87"/>
      <c r="C69" s="87">
        <v>6674</v>
      </c>
      <c r="D69" s="87" t="s">
        <v>719</v>
      </c>
      <c r="E69" s="160"/>
      <c r="F69" s="161">
        <f>L6</f>
        <v>3373.9200000000005</v>
      </c>
      <c r="G69" s="156"/>
      <c r="H69" s="156"/>
      <c r="I69" s="160"/>
      <c r="J69" s="160"/>
      <c r="K69" s="160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</row>
    <row r="70" spans="1:25" ht="13.2">
      <c r="A70" s="87"/>
      <c r="B70" s="87"/>
      <c r="C70" s="87">
        <v>6680</v>
      </c>
      <c r="D70" s="87" t="s">
        <v>720</v>
      </c>
      <c r="E70" s="160"/>
      <c r="F70" s="159">
        <f>N6</f>
        <v>12441.968000000001</v>
      </c>
      <c r="G70" s="156"/>
      <c r="H70" s="156"/>
      <c r="I70" s="160"/>
      <c r="J70" s="160"/>
      <c r="K70" s="160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</row>
    <row r="71" spans="1:25" ht="13.2">
      <c r="A71" s="87"/>
      <c r="B71" s="87"/>
      <c r="C71" s="87"/>
      <c r="D71" s="87"/>
      <c r="E71" s="160"/>
      <c r="F71" s="156"/>
      <c r="G71" s="156"/>
      <c r="H71" s="156"/>
      <c r="I71" s="160"/>
      <c r="J71" s="160"/>
      <c r="K71" s="160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</row>
    <row r="72" spans="1:25" ht="13.2">
      <c r="A72" s="87"/>
      <c r="B72" s="87"/>
      <c r="C72" s="87"/>
      <c r="D72" s="153" t="s">
        <v>721</v>
      </c>
      <c r="E72" s="160"/>
      <c r="F72" s="156"/>
      <c r="G72" s="156">
        <f>SUM(F73)</f>
        <v>555.4</v>
      </c>
      <c r="H72" s="156"/>
      <c r="I72" s="160"/>
      <c r="J72" s="160"/>
      <c r="K72" s="160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</row>
    <row r="73" spans="1:25" ht="13.2">
      <c r="A73" s="87"/>
      <c r="B73" s="87"/>
      <c r="C73" s="87">
        <v>6495</v>
      </c>
      <c r="D73" s="87" t="s">
        <v>722</v>
      </c>
      <c r="E73" s="160"/>
      <c r="F73" s="163">
        <f>Q6+P6</f>
        <v>555.4</v>
      </c>
      <c r="G73" s="156"/>
      <c r="H73" s="156"/>
      <c r="I73" s="160"/>
      <c r="J73" s="160"/>
      <c r="K73" s="160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</row>
    <row r="74" spans="1:25" ht="13.2">
      <c r="A74" s="87"/>
      <c r="B74" s="87"/>
      <c r="C74" s="87"/>
      <c r="D74" s="87"/>
      <c r="E74" s="160"/>
      <c r="F74" s="156"/>
      <c r="G74" s="156"/>
      <c r="H74" s="156"/>
      <c r="I74" s="160"/>
      <c r="J74" s="160"/>
      <c r="K74" s="160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</row>
    <row r="75" spans="1:25" ht="13.2">
      <c r="A75" s="87"/>
      <c r="B75" s="87"/>
      <c r="C75" s="87"/>
      <c r="D75" s="153" t="s">
        <v>723</v>
      </c>
      <c r="E75" s="160"/>
      <c r="F75" s="156"/>
      <c r="G75" s="156">
        <f>SUM(F76:F85)</f>
        <v>2373.0499999999997</v>
      </c>
      <c r="H75" s="156"/>
      <c r="I75" s="160"/>
      <c r="J75" s="160"/>
      <c r="K75" s="160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</row>
    <row r="76" spans="1:25" ht="13.2">
      <c r="A76" s="87"/>
      <c r="B76" s="87"/>
      <c r="C76" s="87">
        <v>6800</v>
      </c>
      <c r="D76" s="87" t="s">
        <v>724</v>
      </c>
      <c r="E76" s="160"/>
      <c r="F76" s="158">
        <v>0</v>
      </c>
      <c r="G76" s="156"/>
      <c r="H76" s="156"/>
      <c r="I76" s="160"/>
      <c r="J76" s="160"/>
      <c r="K76" s="160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</row>
    <row r="77" spans="1:25" ht="13.2">
      <c r="A77" s="87"/>
      <c r="B77" s="87"/>
      <c r="C77" s="87">
        <v>6805</v>
      </c>
      <c r="D77" s="87" t="s">
        <v>725</v>
      </c>
      <c r="E77" s="160"/>
      <c r="F77" s="161">
        <f>J6</f>
        <v>159</v>
      </c>
      <c r="G77" s="156"/>
      <c r="H77" s="156"/>
      <c r="I77" s="160"/>
      <c r="J77" s="160"/>
      <c r="K77" s="160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</row>
    <row r="78" spans="1:25" ht="13.2">
      <c r="A78" s="87"/>
      <c r="B78" s="87"/>
      <c r="C78" s="87">
        <v>6810</v>
      </c>
      <c r="D78" s="87" t="s">
        <v>726</v>
      </c>
      <c r="E78" s="160"/>
      <c r="F78" s="161">
        <f>K6</f>
        <v>1001.1700000000001</v>
      </c>
      <c r="G78" s="156"/>
      <c r="H78" s="156"/>
      <c r="I78" s="160"/>
      <c r="J78" s="160"/>
      <c r="K78" s="160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</row>
    <row r="79" spans="1:25" ht="13.2">
      <c r="A79" s="87"/>
      <c r="B79" s="87"/>
      <c r="C79" s="87">
        <v>6815</v>
      </c>
      <c r="D79" s="87" t="s">
        <v>727</v>
      </c>
      <c r="E79" s="160"/>
      <c r="F79" s="161">
        <f>Zusammenfassung!P144</f>
        <v>1</v>
      </c>
      <c r="G79" s="156"/>
      <c r="H79" s="156"/>
      <c r="I79" s="160"/>
      <c r="J79" s="160"/>
      <c r="K79" s="160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</row>
    <row r="80" spans="1:25" ht="13.2">
      <c r="A80" s="87"/>
      <c r="B80" s="87"/>
      <c r="C80" s="87">
        <v>6825</v>
      </c>
      <c r="D80" s="87" t="s">
        <v>728</v>
      </c>
      <c r="E80" s="160"/>
      <c r="F80" s="161">
        <f>R6</f>
        <v>934.39999999999986</v>
      </c>
      <c r="G80" s="156"/>
      <c r="H80" s="156"/>
      <c r="I80" s="160"/>
      <c r="J80" s="160"/>
      <c r="K80" s="160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</row>
    <row r="81" spans="1:25" ht="13.2">
      <c r="A81" s="87"/>
      <c r="B81" s="87"/>
      <c r="C81" s="87">
        <v>6827</v>
      </c>
      <c r="D81" s="87" t="s">
        <v>729</v>
      </c>
      <c r="E81" s="160"/>
      <c r="F81" s="161">
        <v>0</v>
      </c>
      <c r="G81" s="156"/>
      <c r="H81" s="156"/>
      <c r="I81" s="160"/>
      <c r="J81" s="160"/>
      <c r="K81" s="160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</row>
    <row r="82" spans="1:25" ht="13.2">
      <c r="A82" s="87"/>
      <c r="B82" s="87"/>
      <c r="C82" s="87">
        <v>6830</v>
      </c>
      <c r="D82" s="87" t="s">
        <v>730</v>
      </c>
      <c r="E82" s="160"/>
      <c r="F82" s="161">
        <v>0</v>
      </c>
      <c r="G82" s="156"/>
      <c r="H82" s="156"/>
      <c r="I82" s="160"/>
      <c r="J82" s="160"/>
      <c r="K82" s="160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</row>
    <row r="83" spans="1:25" ht="13.2">
      <c r="A83" s="87"/>
      <c r="B83" s="87"/>
      <c r="C83" s="87">
        <v>6850</v>
      </c>
      <c r="D83" s="87" t="s">
        <v>731</v>
      </c>
      <c r="E83" s="160"/>
      <c r="F83" s="161">
        <f>S6</f>
        <v>277.4799999999999</v>
      </c>
      <c r="G83" s="156"/>
      <c r="H83" s="156"/>
      <c r="I83" s="160"/>
      <c r="J83" s="160"/>
      <c r="K83" s="160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</row>
    <row r="84" spans="1:25" ht="13.2">
      <c r="A84" s="87"/>
      <c r="B84" s="87"/>
      <c r="C84" s="87">
        <v>6851</v>
      </c>
      <c r="D84" s="87" t="s">
        <v>732</v>
      </c>
      <c r="E84" s="160"/>
      <c r="F84" s="161">
        <v>0</v>
      </c>
      <c r="G84" s="156"/>
      <c r="H84" s="156"/>
      <c r="I84" s="160"/>
      <c r="J84" s="160"/>
      <c r="K84" s="160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</row>
    <row r="85" spans="1:25" ht="13.2">
      <c r="A85" s="87"/>
      <c r="B85" s="87"/>
      <c r="C85" s="87">
        <v>6855</v>
      </c>
      <c r="D85" s="87" t="s">
        <v>733</v>
      </c>
      <c r="E85" s="160"/>
      <c r="F85" s="159">
        <v>0</v>
      </c>
      <c r="G85" s="156"/>
      <c r="H85" s="156"/>
      <c r="I85" s="160"/>
      <c r="J85" s="160"/>
      <c r="K85" s="160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</row>
    <row r="86" spans="1:25" ht="13.2">
      <c r="A86" s="87"/>
      <c r="B86" s="87"/>
      <c r="C86" s="87"/>
      <c r="D86" s="87"/>
      <c r="E86" s="160"/>
      <c r="F86" s="156"/>
      <c r="G86" s="156"/>
      <c r="H86" s="156"/>
      <c r="I86" s="160"/>
      <c r="J86" s="160"/>
      <c r="K86" s="160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</row>
    <row r="87" spans="1:25" ht="13.2">
      <c r="A87" s="87"/>
      <c r="B87" s="87"/>
      <c r="C87" s="87"/>
      <c r="D87" s="153" t="s">
        <v>734</v>
      </c>
      <c r="E87" s="160"/>
      <c r="F87" s="156"/>
      <c r="G87" s="156">
        <f>SUM(F88:F91)</f>
        <v>0</v>
      </c>
      <c r="H87" s="156"/>
      <c r="I87" s="160"/>
      <c r="J87" s="160"/>
      <c r="K87" s="160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</row>
    <row r="88" spans="1:25" ht="13.2">
      <c r="A88" s="87"/>
      <c r="B88" s="87"/>
      <c r="C88" s="87">
        <v>1401</v>
      </c>
      <c r="D88" s="87" t="s">
        <v>735</v>
      </c>
      <c r="E88" s="164">
        <v>7.0000000000000007E-2</v>
      </c>
      <c r="F88" s="158"/>
      <c r="G88" s="156"/>
      <c r="H88" s="156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</row>
    <row r="89" spans="1:25" ht="13.2">
      <c r="A89" s="87"/>
      <c r="B89" s="87"/>
      <c r="C89" s="87">
        <v>1403</v>
      </c>
      <c r="D89" s="87" t="s">
        <v>735</v>
      </c>
      <c r="E89" s="164">
        <v>0.05</v>
      </c>
      <c r="F89" s="161"/>
      <c r="G89" s="156"/>
      <c r="H89" s="156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</row>
    <row r="90" spans="1:25" ht="13.2">
      <c r="A90" s="87"/>
      <c r="B90" s="87"/>
      <c r="C90" s="87">
        <v>1405</v>
      </c>
      <c r="D90" s="87" t="s">
        <v>735</v>
      </c>
      <c r="E90" s="164">
        <v>0.16</v>
      </c>
      <c r="F90" s="161"/>
      <c r="G90" s="156"/>
      <c r="H90" s="156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</row>
    <row r="91" spans="1:25" ht="13.2">
      <c r="A91" s="87"/>
      <c r="B91" s="87"/>
      <c r="C91" s="87">
        <v>1406</v>
      </c>
      <c r="D91" s="87" t="s">
        <v>735</v>
      </c>
      <c r="E91" s="164">
        <v>0.19</v>
      </c>
      <c r="F91" s="159"/>
      <c r="G91" s="156"/>
      <c r="H91" s="156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</row>
    <row r="92" spans="1:25" ht="13.2">
      <c r="A92" s="87"/>
      <c r="B92" s="87"/>
      <c r="C92" s="87"/>
      <c r="D92" s="87"/>
      <c r="E92" s="87"/>
      <c r="F92" s="156"/>
      <c r="G92" s="156"/>
      <c r="H92" s="156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</row>
    <row r="93" spans="1:25" ht="13.2">
      <c r="A93" s="87"/>
      <c r="B93" s="87"/>
      <c r="C93" s="87"/>
      <c r="D93" s="153" t="s">
        <v>736</v>
      </c>
      <c r="E93" s="87"/>
      <c r="F93" s="156"/>
      <c r="G93" s="156">
        <f>G35</f>
        <v>90897.690450736001</v>
      </c>
      <c r="H93" s="156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</row>
    <row r="94" spans="1:25" ht="13.2">
      <c r="A94" s="87"/>
      <c r="B94" s="87"/>
      <c r="C94" s="87"/>
      <c r="D94" s="87"/>
      <c r="E94" s="87"/>
      <c r="F94" s="156"/>
      <c r="G94" s="156"/>
      <c r="H94" s="156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</row>
    <row r="95" spans="1:25" ht="13.2">
      <c r="A95" s="87"/>
      <c r="B95" s="87"/>
      <c r="C95" s="87"/>
      <c r="D95" s="153" t="s">
        <v>716</v>
      </c>
      <c r="E95" s="87"/>
      <c r="F95" s="156"/>
      <c r="G95" s="156"/>
      <c r="H95" s="156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</row>
    <row r="96" spans="1:25" ht="13.2">
      <c r="A96" s="87"/>
      <c r="B96" s="87"/>
      <c r="C96" s="87">
        <v>6644</v>
      </c>
      <c r="D96" s="87" t="s">
        <v>737</v>
      </c>
      <c r="E96" s="87"/>
      <c r="F96" s="156"/>
      <c r="G96" s="156">
        <v>0</v>
      </c>
      <c r="H96" s="156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</row>
    <row r="97" spans="1:25" ht="13.2">
      <c r="A97" s="87"/>
      <c r="B97" s="87"/>
      <c r="C97" s="87"/>
      <c r="D97" s="87"/>
      <c r="E97" s="87"/>
      <c r="F97" s="156"/>
      <c r="G97" s="165"/>
      <c r="H97" s="156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</row>
    <row r="98" spans="1:25" ht="20.25" customHeight="1">
      <c r="A98" s="87"/>
      <c r="B98" s="87"/>
      <c r="C98" s="87"/>
      <c r="D98" s="153" t="s">
        <v>738</v>
      </c>
      <c r="E98" s="87"/>
      <c r="F98" s="156"/>
      <c r="G98" s="157">
        <f>G93+G96</f>
        <v>90897.690450736001</v>
      </c>
      <c r="H98" s="156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</row>
    <row r="99" spans="1:25" ht="13.2">
      <c r="F99" s="84"/>
      <c r="G99" s="166"/>
      <c r="H99" s="84"/>
    </row>
    <row r="100" spans="1:25" ht="13.2">
      <c r="G100" s="167"/>
    </row>
  </sheetData>
  <conditionalFormatting sqref="T4:T5 T8:T9">
    <cfRule type="cellIs" dxfId="12" priority="1" operator="between">
      <formula>U4+1</formula>
      <formula>U4-1</formula>
    </cfRule>
    <cfRule type="cellIs" dxfId="11" priority="2" operator="notBetween">
      <formula>U4+1</formula>
      <formula>U4-1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outlinePr summaryBelow="0" summaryRight="0"/>
  </sheetPr>
  <dimension ref="A1:AB26"/>
  <sheetViews>
    <sheetView workbookViewId="0">
      <pane ySplit="3" topLeftCell="A4" activePane="bottomLeft" state="frozen"/>
      <selection pane="bottomLeft" activeCell="E11" sqref="E11:E23"/>
    </sheetView>
  </sheetViews>
  <sheetFormatPr defaultColWidth="12.6640625" defaultRowHeight="15" customHeight="1"/>
  <cols>
    <col min="1" max="1" width="11" customWidth="1"/>
    <col min="2" max="2" width="23.33203125" customWidth="1"/>
    <col min="3" max="3" width="43.33203125" customWidth="1"/>
    <col min="8" max="8" width="15" customWidth="1"/>
    <col min="20" max="24" width="12.6640625" hidden="1"/>
  </cols>
  <sheetData>
    <row r="1" spans="1:28" ht="55.2">
      <c r="A1" s="133"/>
      <c r="B1" s="22" t="s">
        <v>640</v>
      </c>
      <c r="C1" s="22" t="s">
        <v>2</v>
      </c>
      <c r="D1" s="171" t="s">
        <v>143</v>
      </c>
      <c r="E1" s="171" t="s">
        <v>144</v>
      </c>
      <c r="F1" s="172" t="s">
        <v>145</v>
      </c>
      <c r="G1" s="173" t="s">
        <v>146</v>
      </c>
      <c r="H1" s="173" t="s">
        <v>36</v>
      </c>
      <c r="I1" s="174" t="s">
        <v>37</v>
      </c>
      <c r="J1" s="173" t="s">
        <v>3</v>
      </c>
      <c r="K1" s="173" t="s">
        <v>147</v>
      </c>
      <c r="L1" s="173" t="s">
        <v>148</v>
      </c>
      <c r="M1" s="22" t="s">
        <v>149</v>
      </c>
      <c r="N1" s="22" t="s">
        <v>150</v>
      </c>
      <c r="O1" s="22" t="s">
        <v>151</v>
      </c>
      <c r="P1" s="22" t="s">
        <v>740</v>
      </c>
      <c r="Q1" s="22" t="s">
        <v>42</v>
      </c>
      <c r="R1" s="22" t="s">
        <v>14</v>
      </c>
      <c r="S1" s="22" t="s">
        <v>48</v>
      </c>
      <c r="T1" s="175" t="s">
        <v>46</v>
      </c>
      <c r="U1" s="176" t="s">
        <v>47</v>
      </c>
      <c r="V1" s="176" t="s">
        <v>49</v>
      </c>
      <c r="W1" s="176" t="s">
        <v>153</v>
      </c>
      <c r="X1" s="177" t="str">
        <f>Zusammenfassung!X1</f>
        <v>Expenses Check</v>
      </c>
      <c r="Y1" s="22" t="s">
        <v>741</v>
      </c>
      <c r="Z1" s="178"/>
      <c r="AA1" s="178"/>
      <c r="AB1" s="178"/>
    </row>
    <row r="2" spans="1:28" ht="31.2" hidden="1">
      <c r="A2" s="179"/>
      <c r="B2" s="180" t="s">
        <v>154</v>
      </c>
      <c r="C2" s="181" t="s">
        <v>155</v>
      </c>
      <c r="D2" s="28" t="s">
        <v>156</v>
      </c>
      <c r="E2" s="28" t="s">
        <v>52</v>
      </c>
      <c r="F2" s="182" t="s">
        <v>157</v>
      </c>
      <c r="G2" s="183"/>
      <c r="H2" s="184" t="s">
        <v>157</v>
      </c>
      <c r="I2" s="185" t="s">
        <v>157</v>
      </c>
      <c r="J2" s="186">
        <v>13</v>
      </c>
      <c r="K2" s="186">
        <v>100</v>
      </c>
      <c r="L2" s="186">
        <v>146</v>
      </c>
      <c r="M2" s="186">
        <v>146</v>
      </c>
      <c r="N2" s="186">
        <v>146</v>
      </c>
      <c r="O2" s="186"/>
      <c r="P2" s="186"/>
      <c r="Q2" s="186">
        <v>183</v>
      </c>
      <c r="R2" s="186">
        <v>221</v>
      </c>
      <c r="S2" s="187" t="s">
        <v>158</v>
      </c>
      <c r="T2" s="188" t="s">
        <v>159</v>
      </c>
      <c r="U2" s="188" t="s">
        <v>160</v>
      </c>
      <c r="V2" s="189" t="s">
        <v>60</v>
      </c>
      <c r="W2" s="189" t="s">
        <v>60</v>
      </c>
      <c r="X2" s="190"/>
      <c r="Y2" s="178"/>
      <c r="Z2" s="178"/>
      <c r="AA2" s="178"/>
      <c r="AB2" s="178"/>
    </row>
    <row r="3" spans="1:28" ht="13.2">
      <c r="A3" s="191">
        <v>1</v>
      </c>
      <c r="B3" s="191">
        <v>2</v>
      </c>
      <c r="C3" s="191">
        <v>3</v>
      </c>
      <c r="D3" s="191">
        <v>4</v>
      </c>
      <c r="E3" s="191">
        <v>5</v>
      </c>
      <c r="F3" s="191">
        <v>6</v>
      </c>
      <c r="G3" s="191">
        <v>7</v>
      </c>
      <c r="H3" s="191">
        <v>8</v>
      </c>
      <c r="I3" s="191">
        <v>9</v>
      </c>
      <c r="J3" s="191">
        <v>10</v>
      </c>
      <c r="K3" s="191">
        <v>11</v>
      </c>
      <c r="L3" s="191">
        <v>12</v>
      </c>
      <c r="M3" s="191">
        <v>13</v>
      </c>
      <c r="N3" s="191">
        <v>14</v>
      </c>
      <c r="O3" s="191">
        <v>15</v>
      </c>
      <c r="P3" s="191">
        <v>16</v>
      </c>
      <c r="Q3" s="191">
        <v>17</v>
      </c>
      <c r="R3" s="191">
        <v>18</v>
      </c>
      <c r="S3" s="191">
        <v>19</v>
      </c>
      <c r="T3" s="191">
        <v>20</v>
      </c>
      <c r="U3" s="191">
        <v>21</v>
      </c>
      <c r="V3" s="191">
        <v>22</v>
      </c>
      <c r="W3" s="192"/>
      <c r="X3" s="192"/>
      <c r="Y3" s="192"/>
      <c r="Z3" s="192"/>
      <c r="AA3" s="192"/>
      <c r="AB3" s="192"/>
    </row>
    <row r="4" spans="1:28" ht="13.2">
      <c r="A4" s="178"/>
      <c r="B4" s="193" t="str">
        <f>Zusammenfassung!B16</f>
        <v>2023.04.06 bis 2023.12.31</v>
      </c>
      <c r="C4" s="194" t="str">
        <f>Zusammenfassung!C20</f>
        <v>UK portion (£)</v>
      </c>
      <c r="D4" s="195">
        <f>Zusammenfassung!D20</f>
        <v>50526</v>
      </c>
      <c r="E4" s="195"/>
      <c r="F4" s="195"/>
      <c r="G4" s="195"/>
      <c r="H4" s="195">
        <f>Zusammenfassung!H20</f>
        <v>0</v>
      </c>
      <c r="I4" s="195">
        <f>Zusammenfassung!I20</f>
        <v>0</v>
      </c>
      <c r="J4" s="195">
        <f>Zusammenfassung!J20</f>
        <v>62</v>
      </c>
      <c r="K4" s="195">
        <f>Zusammenfassung!K20</f>
        <v>359</v>
      </c>
      <c r="L4" s="195">
        <f>Zusammenfassung!L20</f>
        <v>1342</v>
      </c>
      <c r="M4" s="195">
        <f>Zusammenfassung!M20</f>
        <v>0</v>
      </c>
      <c r="N4" s="195">
        <f>Zusammenfassung!N20</f>
        <v>0</v>
      </c>
      <c r="O4" s="195">
        <f>Zusammenfassung!O20</f>
        <v>1752</v>
      </c>
      <c r="P4" s="195">
        <f>Zusammenfassung!P20</f>
        <v>0</v>
      </c>
      <c r="Q4" s="195">
        <f>Zusammenfassung!Q20</f>
        <v>10</v>
      </c>
      <c r="R4" s="195">
        <f>Zusammenfassung!R20</f>
        <v>474</v>
      </c>
      <c r="S4" s="195">
        <f>Zusammenfassung!S20</f>
        <v>106</v>
      </c>
      <c r="T4" s="195"/>
      <c r="U4" s="195"/>
      <c r="V4" s="195"/>
      <c r="W4" s="196"/>
      <c r="X4" s="178"/>
      <c r="Y4" s="196">
        <f t="shared" ref="Y4:Y6" si="0">SUM(H4:S4)</f>
        <v>4105</v>
      </c>
      <c r="Z4" s="178"/>
      <c r="AA4" s="178"/>
      <c r="AB4" s="178"/>
    </row>
    <row r="5" spans="1:28" ht="13.2">
      <c r="A5" s="178"/>
      <c r="B5" s="193" t="str">
        <f>Zusammenfassung!B21</f>
        <v>2024.01.01 bis 2024.04.05</v>
      </c>
      <c r="C5" s="194" t="str">
        <f>Zusammenfassung!C25</f>
        <v>UK portion (£)</v>
      </c>
      <c r="D5" s="195">
        <f>Zusammenfassung!D25</f>
        <v>6462</v>
      </c>
      <c r="E5" s="195"/>
      <c r="F5" s="195"/>
      <c r="G5" s="195"/>
      <c r="H5" s="195">
        <f>Zusammenfassung!H25</f>
        <v>0</v>
      </c>
      <c r="I5" s="195">
        <f>Zusammenfassung!I25</f>
        <v>0</v>
      </c>
      <c r="J5" s="195">
        <f>Zusammenfassung!J25</f>
        <v>21</v>
      </c>
      <c r="K5" s="195">
        <f>Zusammenfassung!K25</f>
        <v>103</v>
      </c>
      <c r="L5" s="195">
        <f>Zusammenfassung!L25</f>
        <v>358</v>
      </c>
      <c r="M5" s="195">
        <f>Zusammenfassung!M25</f>
        <v>0</v>
      </c>
      <c r="N5" s="195">
        <f>Zusammenfassung!N25</f>
        <v>0</v>
      </c>
      <c r="O5" s="195">
        <f>Zusammenfassung!O25</f>
        <v>1362</v>
      </c>
      <c r="P5" s="195">
        <f>Zusammenfassung!P25</f>
        <v>0</v>
      </c>
      <c r="Q5" s="195">
        <f>Zusammenfassung!Q25</f>
        <v>305</v>
      </c>
      <c r="R5" s="195">
        <f>Zusammenfassung!R25</f>
        <v>0</v>
      </c>
      <c r="S5" s="195">
        <f>Zusammenfassung!S25</f>
        <v>27</v>
      </c>
      <c r="T5" s="195"/>
      <c r="U5" s="195"/>
      <c r="V5" s="195"/>
      <c r="W5" s="196"/>
      <c r="X5" s="178"/>
      <c r="Y5" s="196">
        <f t="shared" si="0"/>
        <v>2176</v>
      </c>
      <c r="Z5" s="178"/>
      <c r="AA5" s="178"/>
      <c r="AB5" s="178"/>
    </row>
    <row r="6" spans="1:28" ht="13.2">
      <c r="A6" s="178"/>
      <c r="B6" s="193"/>
      <c r="C6" s="194" t="s">
        <v>675</v>
      </c>
      <c r="D6" s="197">
        <f>SUM(D4:D5)</f>
        <v>56988</v>
      </c>
      <c r="E6" s="198"/>
      <c r="F6" s="198"/>
      <c r="G6" s="198"/>
      <c r="H6" s="198">
        <f t="shared" ref="H6:S6" si="1">SUM(H4:H5)</f>
        <v>0</v>
      </c>
      <c r="I6" s="198">
        <f t="shared" si="1"/>
        <v>0</v>
      </c>
      <c r="J6" s="197">
        <f t="shared" si="1"/>
        <v>83</v>
      </c>
      <c r="K6" s="197">
        <f t="shared" si="1"/>
        <v>462</v>
      </c>
      <c r="L6" s="199">
        <f t="shared" si="1"/>
        <v>1700</v>
      </c>
      <c r="M6" s="199">
        <f t="shared" si="1"/>
        <v>0</v>
      </c>
      <c r="N6" s="197">
        <f t="shared" si="1"/>
        <v>0</v>
      </c>
      <c r="O6" s="197">
        <f t="shared" si="1"/>
        <v>3114</v>
      </c>
      <c r="P6" s="197">
        <f t="shared" si="1"/>
        <v>0</v>
      </c>
      <c r="Q6" s="197">
        <f t="shared" si="1"/>
        <v>315</v>
      </c>
      <c r="R6" s="197">
        <f t="shared" si="1"/>
        <v>474</v>
      </c>
      <c r="S6" s="197">
        <f t="shared" si="1"/>
        <v>133</v>
      </c>
      <c r="T6" s="198"/>
      <c r="U6" s="198"/>
      <c r="V6" s="198"/>
      <c r="W6" s="200"/>
      <c r="X6" s="201"/>
      <c r="Y6" s="200">
        <f t="shared" si="0"/>
        <v>6281</v>
      </c>
      <c r="Z6" s="178"/>
      <c r="AA6" s="178"/>
      <c r="AB6" s="178"/>
    </row>
    <row r="7" spans="1:28" ht="13.2">
      <c r="A7" s="178"/>
      <c r="B7" s="193"/>
      <c r="C7" s="178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6"/>
      <c r="X7" s="178"/>
      <c r="Y7" s="178"/>
      <c r="Z7" s="178"/>
      <c r="AA7" s="178"/>
      <c r="AB7" s="178"/>
    </row>
    <row r="8" spans="1:28" ht="13.2">
      <c r="A8" s="178"/>
      <c r="B8" s="193"/>
      <c r="C8" s="178"/>
      <c r="D8" s="195"/>
      <c r="E8" s="195"/>
      <c r="F8" s="195"/>
      <c r="G8" s="195"/>
      <c r="H8" s="195"/>
      <c r="I8" s="195"/>
      <c r="J8" s="195"/>
      <c r="K8" s="195"/>
      <c r="L8" s="195"/>
      <c r="M8" s="195"/>
      <c r="N8" s="195"/>
      <c r="O8" s="195"/>
      <c r="P8" s="195"/>
      <c r="Q8" s="195"/>
      <c r="R8" s="195"/>
      <c r="S8" s="195"/>
      <c r="T8" s="195"/>
      <c r="U8" s="195"/>
      <c r="V8" s="195"/>
      <c r="W8" s="196"/>
      <c r="X8" s="178"/>
      <c r="Y8" s="178"/>
      <c r="Z8" s="178"/>
      <c r="AA8" s="178"/>
      <c r="AB8" s="178"/>
    </row>
    <row r="9" spans="1:28" ht="13.2">
      <c r="A9" s="178"/>
      <c r="B9" s="178"/>
      <c r="C9" s="178"/>
      <c r="D9" s="178"/>
      <c r="E9" s="178"/>
      <c r="F9" s="178"/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8"/>
      <c r="W9" s="178"/>
      <c r="X9" s="178"/>
      <c r="Y9" s="178"/>
      <c r="Z9" s="178"/>
      <c r="AA9" s="178"/>
      <c r="AB9" s="178"/>
    </row>
    <row r="10" spans="1:28" ht="13.2">
      <c r="A10" s="178"/>
      <c r="B10" s="178"/>
      <c r="C10" s="178"/>
      <c r="D10" s="178"/>
      <c r="E10" s="202">
        <v>2023</v>
      </c>
      <c r="F10" s="202">
        <v>2022</v>
      </c>
      <c r="G10" s="178"/>
      <c r="H10" s="178"/>
      <c r="I10" s="178"/>
      <c r="J10" s="178"/>
      <c r="L10" s="178"/>
      <c r="M10" s="178"/>
      <c r="N10" s="203">
        <f>SUM(N12:N13)</f>
        <v>4814</v>
      </c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</row>
    <row r="11" spans="1:28" ht="13.2">
      <c r="A11" s="178"/>
      <c r="B11" s="178"/>
      <c r="C11" s="178" t="s">
        <v>742</v>
      </c>
      <c r="D11" s="195"/>
      <c r="E11" s="196">
        <f>D6</f>
        <v>56988</v>
      </c>
      <c r="F11" s="178"/>
      <c r="G11" s="178"/>
      <c r="H11" s="178"/>
      <c r="I11" s="178"/>
      <c r="J11" s="178"/>
      <c r="K11" s="204">
        <f>SUM(K12:K16)</f>
        <v>545</v>
      </c>
      <c r="L11" s="178"/>
      <c r="M11" s="178"/>
      <c r="N11" s="205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</row>
    <row r="12" spans="1:28" ht="13.2">
      <c r="A12" s="178"/>
      <c r="B12" s="178"/>
      <c r="C12" s="178" t="s">
        <v>743</v>
      </c>
      <c r="D12" s="195">
        <f>D8</f>
        <v>0</v>
      </c>
      <c r="E12" s="196">
        <f>D6-E13</f>
        <v>50707</v>
      </c>
      <c r="F12" s="196">
        <f>'UK 2022'!D7</f>
        <v>51322.073111167294</v>
      </c>
      <c r="G12" s="178"/>
      <c r="H12" s="178"/>
      <c r="I12" s="178"/>
      <c r="J12" s="206" t="s">
        <v>3</v>
      </c>
      <c r="K12" s="207">
        <f>J6</f>
        <v>83</v>
      </c>
      <c r="L12" s="178"/>
      <c r="M12" s="206" t="s">
        <v>744</v>
      </c>
      <c r="N12" s="208">
        <f>O6</f>
        <v>3114</v>
      </c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</row>
    <row r="13" spans="1:28" ht="13.2">
      <c r="A13" s="178"/>
      <c r="B13" s="178"/>
      <c r="C13" s="178"/>
      <c r="D13" s="178"/>
      <c r="E13" s="209">
        <f t="shared" ref="E13:F13" si="2">SUM(E14:E23)</f>
        <v>6281</v>
      </c>
      <c r="F13" s="195">
        <f t="shared" si="2"/>
        <v>6639.1868888327062</v>
      </c>
      <c r="G13" s="178"/>
      <c r="H13" s="178"/>
      <c r="I13" s="178"/>
      <c r="J13" s="206" t="s">
        <v>745</v>
      </c>
      <c r="K13" s="210">
        <f>K6</f>
        <v>462</v>
      </c>
      <c r="L13" s="178"/>
      <c r="M13" s="206" t="s">
        <v>746</v>
      </c>
      <c r="N13" s="211">
        <f>L6</f>
        <v>1700</v>
      </c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</row>
    <row r="14" spans="1:28" ht="13.2">
      <c r="A14" s="178"/>
      <c r="B14" s="178"/>
      <c r="C14" s="178" t="s">
        <v>747</v>
      </c>
      <c r="D14" s="212"/>
      <c r="E14" s="195">
        <v>0</v>
      </c>
      <c r="F14" s="213">
        <f>'UK 2022'!E9</f>
        <v>0</v>
      </c>
      <c r="G14" s="194"/>
      <c r="H14" s="178"/>
      <c r="I14" s="178"/>
      <c r="J14" s="206" t="s">
        <v>748</v>
      </c>
      <c r="K14" s="210">
        <f>P6</f>
        <v>0</v>
      </c>
      <c r="L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</row>
    <row r="15" spans="1:28" ht="13.2">
      <c r="A15" s="178"/>
      <c r="B15" s="178"/>
      <c r="C15" s="178" t="s">
        <v>749</v>
      </c>
      <c r="D15" s="212"/>
      <c r="E15" s="195">
        <f>N10</f>
        <v>4814</v>
      </c>
      <c r="F15" s="214">
        <f>'UK 2022'!E10</f>
        <v>2928.8955455969572</v>
      </c>
      <c r="G15" s="194" t="s">
        <v>750</v>
      </c>
      <c r="H15" s="178"/>
      <c r="I15" s="178"/>
      <c r="J15" s="206"/>
      <c r="K15" s="215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</row>
    <row r="16" spans="1:28" ht="13.2">
      <c r="A16" s="178"/>
      <c r="B16" s="178"/>
      <c r="C16" s="178" t="s">
        <v>751</v>
      </c>
      <c r="D16" s="212"/>
      <c r="E16" s="195">
        <v>0</v>
      </c>
      <c r="F16" s="214">
        <f>'UK 2022'!E11</f>
        <v>0</v>
      </c>
      <c r="G16" s="178"/>
      <c r="H16" s="178"/>
      <c r="I16" s="178"/>
      <c r="J16" s="206"/>
      <c r="K16" s="216"/>
      <c r="L16" s="178"/>
      <c r="M16" s="206" t="s">
        <v>752</v>
      </c>
      <c r="N16" s="217">
        <f>N8</f>
        <v>0</v>
      </c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</row>
    <row r="17" spans="1:28" ht="13.2">
      <c r="A17" s="178"/>
      <c r="B17" s="178"/>
      <c r="C17" s="178" t="s">
        <v>753</v>
      </c>
      <c r="D17" s="212"/>
      <c r="E17" s="195">
        <f>N6</f>
        <v>0</v>
      </c>
      <c r="F17" s="214">
        <f>'UK 2022'!E12</f>
        <v>0</v>
      </c>
      <c r="G17" s="178">
        <v>14</v>
      </c>
      <c r="H17" s="178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8"/>
      <c r="Z17" s="178"/>
      <c r="AA17" s="178"/>
      <c r="AB17" s="178"/>
    </row>
    <row r="18" spans="1:28" ht="13.2">
      <c r="A18" s="178"/>
      <c r="B18" s="178"/>
      <c r="C18" s="178" t="s">
        <v>754</v>
      </c>
      <c r="D18" s="212"/>
      <c r="E18" s="195">
        <v>0</v>
      </c>
      <c r="F18" s="214">
        <f>'UK 2022'!E13</f>
        <v>0</v>
      </c>
      <c r="G18" s="178"/>
      <c r="H18" s="178"/>
      <c r="I18" s="178"/>
      <c r="J18" s="178"/>
      <c r="K18" s="218">
        <f>SUM(K19:K23)</f>
        <v>315</v>
      </c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178"/>
      <c r="Z18" s="178"/>
      <c r="AA18" s="178"/>
      <c r="AB18" s="178"/>
    </row>
    <row r="19" spans="1:28" ht="13.2">
      <c r="A19" s="178"/>
      <c r="B19" s="178"/>
      <c r="C19" s="219" t="s">
        <v>755</v>
      </c>
      <c r="D19" s="220"/>
      <c r="E19" s="221">
        <f>R6</f>
        <v>474</v>
      </c>
      <c r="F19" s="214">
        <f>'UK 2022'!E14</f>
        <v>1237.4824093702969</v>
      </c>
      <c r="G19" s="178">
        <v>18</v>
      </c>
      <c r="H19" s="178"/>
      <c r="I19" s="178"/>
      <c r="J19" s="206" t="s">
        <v>756</v>
      </c>
      <c r="K19" s="222">
        <f>Q6</f>
        <v>315</v>
      </c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</row>
    <row r="20" spans="1:28" ht="13.2">
      <c r="A20" s="178"/>
      <c r="B20" s="178"/>
      <c r="C20" s="178" t="s">
        <v>757</v>
      </c>
      <c r="D20" s="212"/>
      <c r="E20" s="195">
        <f>S6</f>
        <v>133</v>
      </c>
      <c r="F20" s="214">
        <f>'UK 2022'!E15</f>
        <v>183.75068502610367</v>
      </c>
      <c r="G20" s="178">
        <v>19</v>
      </c>
      <c r="H20" s="178"/>
      <c r="I20" s="178"/>
      <c r="J20" s="206"/>
      <c r="K20" s="206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</row>
    <row r="21" spans="1:28" ht="13.2">
      <c r="A21" s="178"/>
      <c r="B21" s="178"/>
      <c r="C21" s="178" t="s">
        <v>758</v>
      </c>
      <c r="D21" s="212"/>
      <c r="E21" s="195">
        <f>K11</f>
        <v>545</v>
      </c>
      <c r="F21" s="214">
        <f>'UK 2022'!E16</f>
        <v>1602.5288713232965</v>
      </c>
      <c r="G21" s="194" t="s">
        <v>759</v>
      </c>
      <c r="H21" s="178"/>
      <c r="I21" s="178"/>
      <c r="J21" s="206"/>
      <c r="K21" s="223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78"/>
      <c r="W21" s="178"/>
      <c r="X21" s="178"/>
      <c r="Y21" s="178"/>
      <c r="Z21" s="178"/>
      <c r="AA21" s="178"/>
      <c r="AB21" s="178"/>
    </row>
    <row r="22" spans="1:28" ht="13.2">
      <c r="A22" s="178"/>
      <c r="B22" s="178"/>
      <c r="C22" s="178" t="s">
        <v>760</v>
      </c>
      <c r="D22" s="212"/>
      <c r="E22" s="195">
        <f>K18</f>
        <v>315</v>
      </c>
      <c r="F22" s="214">
        <f>'UK 2022'!E17</f>
        <v>686.52937751605123</v>
      </c>
      <c r="G22" s="178"/>
      <c r="H22" s="178"/>
      <c r="I22" s="178"/>
      <c r="J22" s="178"/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178"/>
      <c r="W22" s="178"/>
      <c r="X22" s="178"/>
      <c r="Y22" s="178"/>
      <c r="Z22" s="178"/>
      <c r="AA22" s="178"/>
      <c r="AB22" s="178"/>
    </row>
    <row r="23" spans="1:28" ht="13.2">
      <c r="A23" s="178"/>
      <c r="B23" s="178"/>
      <c r="C23" s="178"/>
      <c r="D23" s="206"/>
      <c r="E23" s="224"/>
      <c r="F23" s="225">
        <f>'UK 2022'!E18</f>
        <v>0</v>
      </c>
      <c r="G23" s="178"/>
      <c r="H23" s="178"/>
      <c r="I23" s="178"/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/>
    </row>
    <row r="24" spans="1:28" ht="13.2">
      <c r="A24" s="178"/>
      <c r="B24" s="178"/>
      <c r="C24" s="178"/>
      <c r="D24" s="226"/>
      <c r="E24" s="226"/>
      <c r="F24" s="178"/>
      <c r="G24" s="178"/>
      <c r="H24" s="178"/>
      <c r="I24" s="178"/>
      <c r="J24" s="178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</row>
    <row r="25" spans="1:28" ht="13.2">
      <c r="A25" s="178"/>
      <c r="B25" s="178"/>
      <c r="C25" s="178"/>
      <c r="D25" s="226"/>
      <c r="E25" s="226"/>
      <c r="F25" s="178"/>
      <c r="G25" s="178"/>
      <c r="H25" s="178"/>
      <c r="I25" s="178"/>
      <c r="J25" s="178"/>
      <c r="K25" s="178"/>
      <c r="L25" s="178"/>
      <c r="M25" s="178"/>
      <c r="N25" s="178"/>
      <c r="O25" s="178"/>
      <c r="P25" s="178"/>
      <c r="Q25" s="178"/>
      <c r="R25" s="178"/>
      <c r="S25" s="178"/>
      <c r="T25" s="178"/>
      <c r="U25" s="178"/>
      <c r="V25" s="178"/>
      <c r="W25" s="178"/>
      <c r="X25" s="178"/>
      <c r="Y25" s="178"/>
      <c r="Z25" s="178"/>
      <c r="AA25" s="178"/>
      <c r="AB25" s="178"/>
    </row>
    <row r="26" spans="1:28" ht="13.2">
      <c r="A26" s="178"/>
      <c r="B26" s="178"/>
      <c r="C26" s="178"/>
      <c r="D26" s="226"/>
      <c r="E26" s="226"/>
      <c r="F26" s="178"/>
      <c r="G26" s="178"/>
      <c r="H26" s="178"/>
      <c r="I26" s="178"/>
      <c r="J26" s="17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</row>
  </sheetData>
  <conditionalFormatting sqref="B2">
    <cfRule type="cellIs" dxfId="10" priority="1" operator="lessThan">
      <formula>0</formula>
    </cfRule>
  </conditionalFormatting>
  <conditionalFormatting sqref="E13">
    <cfRule type="cellIs" dxfId="9" priority="2" operator="equal">
      <formula>Y6</formula>
    </cfRule>
    <cfRule type="cellIs" dxfId="8" priority="3" operator="notEqual">
      <formula>Y6</formula>
    </cfRule>
  </conditionalFormatting>
  <hyperlinks>
    <hyperlink ref="B2" r:id="rId1" xr:uid="{00000000-0004-0000-0600-00000000000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outlinePr summaryBelow="0" summaryRight="0"/>
  </sheetPr>
  <dimension ref="A1:AC525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2.6640625" defaultRowHeight="15" customHeight="1"/>
  <cols>
    <col min="1" max="1" width="11.109375" customWidth="1"/>
    <col min="2" max="2" width="23.44140625" customWidth="1"/>
    <col min="3" max="3" width="27.109375" customWidth="1"/>
    <col min="4" max="5" width="11.21875" customWidth="1"/>
    <col min="6" max="8" width="14.33203125" customWidth="1"/>
    <col min="9" max="12" width="11.109375" customWidth="1"/>
    <col min="13" max="13" width="13.109375" customWidth="1"/>
    <col min="14" max="17" width="11.109375" customWidth="1"/>
    <col min="18" max="18" width="13.33203125" customWidth="1"/>
    <col min="19" max="24" width="11.109375" customWidth="1"/>
    <col min="25" max="25" width="11.21875" customWidth="1"/>
    <col min="26" max="29" width="11.109375" customWidth="1"/>
  </cols>
  <sheetData>
    <row r="1" spans="1:29" ht="64.5" customHeight="1">
      <c r="A1" s="133"/>
      <c r="B1" s="22" t="s">
        <v>640</v>
      </c>
      <c r="C1" s="22" t="s">
        <v>2</v>
      </c>
      <c r="D1" s="171" t="str">
        <f>'Einnahmen Ausgaben'!D2</f>
        <v>Income 
(UK)</v>
      </c>
      <c r="E1" s="171" t="str">
        <f>'Einnahmen Ausgaben'!E2</f>
        <v>Income (Germany)</v>
      </c>
      <c r="F1" s="172" t="str">
        <f>'Einnahmen Ausgaben'!F2</f>
        <v>Steuer
DE
Finanzamt 2150
Gemeinde 7610</v>
      </c>
      <c r="G1" s="173" t="str">
        <f>'Einnahmen Ausgaben'!G2</f>
        <v>Steuer
(UK)</v>
      </c>
      <c r="H1" s="173" t="str">
        <f>'Einnahmen Ausgaben'!H2</f>
        <v>Krankenkasse ens.</v>
      </c>
      <c r="I1" s="174" t="str">
        <f>'Einnahmen Ausgaben'!I2</f>
        <v>Medical</v>
      </c>
      <c r="J1" s="173" t="str">
        <f>'Einnahmen Ausgaben'!J2</f>
        <v>Telephone</v>
      </c>
      <c r="K1" s="173" t="str">
        <f>'Einnahmen Ausgaben'!K2</f>
        <v>Data SIM Cards, Internet</v>
      </c>
      <c r="L1" s="173" t="str">
        <f>'Einnahmen Ausgaben'!L2</f>
        <v>Airline tickets &amp; Covid Tests</v>
      </c>
      <c r="M1" s="22" t="str">
        <f>'Einnahmen Ausgaben'!M2</f>
        <v>Taxi, Train, Toll, Parking</v>
      </c>
      <c r="N1" s="22" t="str">
        <f>'Einnahmen Ausgaben'!N2</f>
        <v>Hotel, Apartment</v>
      </c>
      <c r="O1" s="22" t="str">
        <f>'Einnahmen Ausgaben'!O2</f>
        <v>Auto</v>
      </c>
      <c r="P1" s="22" t="str">
        <f>'Einnahmen Ausgaben'!P2</f>
        <v>Office equipment, hardware, Insurance</v>
      </c>
      <c r="Q1" s="22" t="str">
        <f>'Einnahmen Ausgaben'!Q2</f>
        <v>Software Cloud Services</v>
      </c>
      <c r="R1" s="22" t="str">
        <f>'Einnahmen Ausgaben'!R2</f>
        <v>Professional fees</v>
      </c>
      <c r="S1" s="22" t="str">
        <f>'Einnahmen Ausgaben'!S2</f>
        <v>Bank charges</v>
      </c>
      <c r="T1" s="175" t="str">
        <f>'Einnahmen Ausgaben'!T2</f>
        <v>Wohnung</v>
      </c>
      <c r="U1" s="176" t="str">
        <f>'Einnahmen Ausgaben'!U2</f>
        <v>Mortgage / Hypothek</v>
      </c>
      <c r="V1" s="176" t="str">
        <f>'Einnahmen Ausgaben'!V2</f>
        <v>South Africa Pension Medical</v>
      </c>
      <c r="W1" s="176" t="str">
        <f>'Einnahmen Ausgaben'!W2</f>
        <v>Unassigned</v>
      </c>
    </row>
    <row r="2" spans="1:29" ht="39.75" hidden="1" customHeight="1">
      <c r="A2" s="227"/>
      <c r="B2" s="228" t="s">
        <v>1</v>
      </c>
      <c r="C2" s="181" t="s">
        <v>643</v>
      </c>
      <c r="D2" s="229" t="s">
        <v>156</v>
      </c>
      <c r="E2" s="22" t="s">
        <v>52</v>
      </c>
      <c r="F2" s="182" t="s">
        <v>157</v>
      </c>
      <c r="G2" s="183"/>
      <c r="H2" s="184" t="s">
        <v>157</v>
      </c>
      <c r="I2" s="185" t="s">
        <v>157</v>
      </c>
      <c r="J2" s="186">
        <v>13</v>
      </c>
      <c r="K2" s="186">
        <v>100</v>
      </c>
      <c r="L2" s="186">
        <v>146</v>
      </c>
      <c r="M2" s="186">
        <v>146</v>
      </c>
      <c r="N2" s="186">
        <v>146</v>
      </c>
      <c r="O2" s="186"/>
      <c r="P2" s="186"/>
      <c r="Q2" s="186">
        <v>183</v>
      </c>
      <c r="R2" s="186">
        <v>221</v>
      </c>
      <c r="S2" s="187" t="s">
        <v>158</v>
      </c>
      <c r="T2" s="188" t="s">
        <v>159</v>
      </c>
      <c r="U2" s="188" t="s">
        <v>160</v>
      </c>
      <c r="V2" s="189" t="s">
        <v>60</v>
      </c>
      <c r="W2" s="189" t="s">
        <v>60</v>
      </c>
      <c r="X2" s="230">
        <f>X3-X4</f>
        <v>899252.7185146095</v>
      </c>
      <c r="Y2" s="31"/>
    </row>
    <row r="3" spans="1:29" ht="30.75" hidden="1" customHeight="1">
      <c r="A3" s="76"/>
      <c r="B3" s="231">
        <v>1.1747999999999996</v>
      </c>
      <c r="C3" s="44" t="s">
        <v>761</v>
      </c>
      <c r="D3" s="86">
        <f t="shared" ref="D3:W3" si="0">SUM(D8:D15)</f>
        <v>232012.7</v>
      </c>
      <c r="E3" s="130">
        <f t="shared" si="0"/>
        <v>15776.4</v>
      </c>
      <c r="F3" s="130">
        <f t="shared" si="0"/>
        <v>13752.400000000001</v>
      </c>
      <c r="G3" s="130">
        <f t="shared" si="0"/>
        <v>250</v>
      </c>
      <c r="H3" s="130">
        <f t="shared" si="0"/>
        <v>23828.7</v>
      </c>
      <c r="I3" s="130">
        <f t="shared" si="0"/>
        <v>277.38</v>
      </c>
      <c r="J3" s="130">
        <f t="shared" si="0"/>
        <v>617.57999999999993</v>
      </c>
      <c r="K3" s="130">
        <f t="shared" si="0"/>
        <v>5863.6600000000008</v>
      </c>
      <c r="L3" s="130">
        <f t="shared" si="0"/>
        <v>6301.4400000000014</v>
      </c>
      <c r="M3" s="130">
        <f t="shared" si="0"/>
        <v>3374.1</v>
      </c>
      <c r="N3" s="130">
        <f t="shared" si="0"/>
        <v>20720</v>
      </c>
      <c r="O3" s="130">
        <f t="shared" si="0"/>
        <v>4184.8599999999997</v>
      </c>
      <c r="P3" s="130">
        <f t="shared" si="0"/>
        <v>437.2</v>
      </c>
      <c r="Q3" s="130">
        <f t="shared" si="0"/>
        <v>3158.4</v>
      </c>
      <c r="R3" s="130">
        <f t="shared" si="0"/>
        <v>5971.8799999999992</v>
      </c>
      <c r="S3" s="130">
        <f t="shared" si="0"/>
        <v>758.87999999999977</v>
      </c>
      <c r="T3" s="130">
        <f t="shared" si="0"/>
        <v>35725.420000000006</v>
      </c>
      <c r="U3" s="130">
        <f t="shared" si="0"/>
        <v>0</v>
      </c>
      <c r="V3" s="130">
        <f t="shared" si="0"/>
        <v>12438.599999999999</v>
      </c>
      <c r="W3" s="130">
        <f t="shared" si="0"/>
        <v>1500</v>
      </c>
      <c r="X3" s="232">
        <f>(D6*B3)+E6</f>
        <v>1117035.253765743</v>
      </c>
      <c r="Y3" s="18"/>
    </row>
    <row r="4" spans="1:29" ht="27.75" hidden="1" customHeight="1">
      <c r="A4" s="233"/>
      <c r="B4" s="234"/>
      <c r="C4" s="235" t="s">
        <v>762</v>
      </c>
      <c r="D4" s="236" t="e">
        <f t="shared" ref="D4:W4" si="1">SUM(#REF!)</f>
        <v>#REF!</v>
      </c>
      <c r="E4" s="130" t="e">
        <f t="shared" si="1"/>
        <v>#REF!</v>
      </c>
      <c r="F4" s="130" t="e">
        <f t="shared" si="1"/>
        <v>#REF!</v>
      </c>
      <c r="G4" s="130" t="e">
        <f t="shared" si="1"/>
        <v>#REF!</v>
      </c>
      <c r="H4" s="130" t="e">
        <f t="shared" si="1"/>
        <v>#REF!</v>
      </c>
      <c r="I4" s="130" t="e">
        <f t="shared" si="1"/>
        <v>#REF!</v>
      </c>
      <c r="J4" s="130" t="e">
        <f t="shared" si="1"/>
        <v>#REF!</v>
      </c>
      <c r="K4" s="130" t="e">
        <f t="shared" si="1"/>
        <v>#REF!</v>
      </c>
      <c r="L4" s="130" t="e">
        <f t="shared" si="1"/>
        <v>#REF!</v>
      </c>
      <c r="M4" s="130" t="e">
        <f t="shared" si="1"/>
        <v>#REF!</v>
      </c>
      <c r="N4" s="130" t="e">
        <f t="shared" si="1"/>
        <v>#REF!</v>
      </c>
      <c r="O4" s="130" t="e">
        <f t="shared" si="1"/>
        <v>#REF!</v>
      </c>
      <c r="P4" s="130" t="e">
        <f t="shared" si="1"/>
        <v>#REF!</v>
      </c>
      <c r="Q4" s="130" t="e">
        <f t="shared" si="1"/>
        <v>#REF!</v>
      </c>
      <c r="R4" s="130" t="e">
        <f t="shared" si="1"/>
        <v>#REF!</v>
      </c>
      <c r="S4" s="130" t="e">
        <f t="shared" si="1"/>
        <v>#REF!</v>
      </c>
      <c r="T4" s="130" t="e">
        <f t="shared" si="1"/>
        <v>#REF!</v>
      </c>
      <c r="U4" s="130" t="e">
        <f t="shared" si="1"/>
        <v>#REF!</v>
      </c>
      <c r="V4" s="130" t="e">
        <f t="shared" si="1"/>
        <v>#REF!</v>
      </c>
      <c r="W4" s="130" t="e">
        <f t="shared" si="1"/>
        <v>#REF!</v>
      </c>
      <c r="X4" s="232">
        <f>SUM(J6:S6)+H6</f>
        <v>217782.53525113349</v>
      </c>
      <c r="Y4" s="237"/>
    </row>
    <row r="5" spans="1:29" ht="15.75" hidden="1" customHeight="1">
      <c r="A5" s="238"/>
      <c r="B5" s="239"/>
      <c r="C5" s="239"/>
      <c r="D5" s="238"/>
      <c r="E5" s="239"/>
      <c r="F5" s="238"/>
      <c r="G5" s="238"/>
      <c r="H5" s="238">
        <v>6400</v>
      </c>
      <c r="I5" s="238"/>
      <c r="J5" s="238">
        <v>6805</v>
      </c>
      <c r="K5" s="238">
        <v>6810</v>
      </c>
      <c r="L5" s="238">
        <v>6673</v>
      </c>
      <c r="M5" s="238">
        <v>6595</v>
      </c>
      <c r="N5" s="238">
        <v>6680</v>
      </c>
      <c r="O5" s="238">
        <v>6590</v>
      </c>
      <c r="P5" s="238">
        <v>6815</v>
      </c>
      <c r="Q5" s="238">
        <v>6495</v>
      </c>
      <c r="R5" s="238">
        <v>6825</v>
      </c>
      <c r="S5" s="238">
        <v>6855</v>
      </c>
      <c r="T5" s="238"/>
      <c r="U5" s="238"/>
      <c r="V5" s="238"/>
      <c r="W5" s="238"/>
      <c r="Y5" s="240"/>
      <c r="Z5" s="241"/>
      <c r="AA5" s="241"/>
      <c r="AB5" s="241"/>
      <c r="AC5" s="241"/>
    </row>
    <row r="6" spans="1:29" ht="27.75" hidden="1" customHeight="1">
      <c r="A6" s="242" t="s">
        <v>0</v>
      </c>
      <c r="B6" s="37"/>
      <c r="C6" s="243" t="s">
        <v>763</v>
      </c>
      <c r="D6" s="244">
        <f>SUM(D8:D38)</f>
        <v>874889.86530962144</v>
      </c>
      <c r="E6" s="245">
        <f t="shared" ref="E6:F6" si="2">SUM(E8:E36)</f>
        <v>89214.639999999985</v>
      </c>
      <c r="F6" s="246">
        <f t="shared" si="2"/>
        <v>21779.45</v>
      </c>
      <c r="G6" s="244">
        <f>SUM(G8:G15)</f>
        <v>250</v>
      </c>
      <c r="H6" s="246">
        <f t="shared" ref="H6:W6" si="3">SUM(H8:H36)</f>
        <v>63494.34</v>
      </c>
      <c r="I6" s="246">
        <f t="shared" si="3"/>
        <v>1115.28</v>
      </c>
      <c r="J6" s="246">
        <f t="shared" si="3"/>
        <v>1712.8249374</v>
      </c>
      <c r="K6" s="246">
        <f t="shared" si="3"/>
        <v>14091.758445000001</v>
      </c>
      <c r="L6" s="246">
        <f t="shared" si="3"/>
        <v>24461.093249200003</v>
      </c>
      <c r="M6" s="246">
        <f t="shared" si="3"/>
        <v>9730.89</v>
      </c>
      <c r="N6" s="246">
        <f t="shared" si="3"/>
        <v>68402.90400000001</v>
      </c>
      <c r="O6" s="246">
        <f t="shared" si="3"/>
        <v>11435.226001333456</v>
      </c>
      <c r="P6" s="246">
        <f t="shared" si="3"/>
        <v>809.1</v>
      </c>
      <c r="Q6" s="246">
        <f t="shared" si="3"/>
        <v>7433.4026402000009</v>
      </c>
      <c r="R6" s="246">
        <f t="shared" si="3"/>
        <v>13767.778414999997</v>
      </c>
      <c r="S6" s="246">
        <f t="shared" si="3"/>
        <v>2443.2175629999992</v>
      </c>
      <c r="T6" s="246">
        <f t="shared" si="3"/>
        <v>63463.380000000012</v>
      </c>
      <c r="U6" s="246">
        <f t="shared" si="3"/>
        <v>0</v>
      </c>
      <c r="V6" s="246">
        <f t="shared" si="3"/>
        <v>24877.199999999997</v>
      </c>
      <c r="W6" s="246">
        <f t="shared" si="3"/>
        <v>1500</v>
      </c>
      <c r="Y6" s="5"/>
    </row>
    <row r="7" spans="1:29" ht="17.25" hidden="1" customHeight="1">
      <c r="A7" s="93"/>
      <c r="B7" s="247" t="s">
        <v>644</v>
      </c>
      <c r="C7" s="94">
        <v>0.83650000000000002</v>
      </c>
      <c r="D7" s="82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248"/>
    </row>
    <row r="8" spans="1:29" ht="17.25" hidden="1" customHeight="1">
      <c r="A8" s="95">
        <f>SUM(Flights!H2:H6)</f>
        <v>66</v>
      </c>
      <c r="B8" s="96" t="s">
        <v>645</v>
      </c>
      <c r="C8" s="97" t="s">
        <v>646</v>
      </c>
      <c r="D8" s="86">
        <f>SUM('Einnahmen Ausgaben'!D13:D130)+SUM('Einnahmen Ausgaben'!D140:D148)</f>
        <v>19576</v>
      </c>
      <c r="E8" s="46">
        <f>SUM('Einnahmen Ausgaben'!E13:E130)+SUM('Einnahmen Ausgaben'!E140:E148)</f>
        <v>8709.76</v>
      </c>
      <c r="F8" s="46">
        <f>SUM('Einnahmen Ausgaben'!F13:F130)+SUM('Einnahmen Ausgaben'!F140:F148)</f>
        <v>-6562.52</v>
      </c>
      <c r="G8" s="46">
        <f>SUM('Einnahmen Ausgaben'!G13:G130)+SUM('Einnahmen Ausgaben'!G140:G148)</f>
        <v>0</v>
      </c>
      <c r="H8" s="46">
        <f>SUM('Einnahmen Ausgaben'!H13:H130)+SUM('Einnahmen Ausgaben'!H140:H148)</f>
        <v>1992.16</v>
      </c>
      <c r="I8" s="46">
        <f>SUM('Einnahmen Ausgaben'!I13:I130)+SUM('Einnahmen Ausgaben'!I140:I148)</f>
        <v>0</v>
      </c>
      <c r="J8" s="46">
        <f>SUM('Einnahmen Ausgaben'!J13:J130)+SUM('Einnahmen Ausgaben'!J140:J148)</f>
        <v>68.25</v>
      </c>
      <c r="K8" s="46">
        <f>SUM('Einnahmen Ausgaben'!K13:K130)+SUM('Einnahmen Ausgaben'!K140:K148)</f>
        <v>701.12000000000023</v>
      </c>
      <c r="L8" s="46">
        <f>SUM('Einnahmen Ausgaben'!L13:L130)+SUM('Einnahmen Ausgaben'!L140:L148)</f>
        <v>2197.1700000000005</v>
      </c>
      <c r="M8" s="46">
        <f>SUM('Einnahmen Ausgaben'!M13:M130)+SUM('Einnahmen Ausgaben'!M140:M148)</f>
        <v>214.16000000000003</v>
      </c>
      <c r="N8" s="46">
        <f>SUM('Einnahmen Ausgaben'!N13:N130)+SUM('Einnahmen Ausgaben'!N140:N148)</f>
        <v>1925</v>
      </c>
      <c r="O8" s="46">
        <f>SUM('Einnahmen Ausgaben'!O13:O130)+SUM('Einnahmen Ausgaben'!O140:O148)</f>
        <v>976.84999999999991</v>
      </c>
      <c r="P8" s="46">
        <f>SUM('Einnahmen Ausgaben'!P13:P130)+SUM('Einnahmen Ausgaben'!P140:P148)</f>
        <v>206.84</v>
      </c>
      <c r="Q8" s="46">
        <f>SUM('Einnahmen Ausgaben'!Q13:Q130)+SUM('Einnahmen Ausgaben'!Q140:Q148)</f>
        <v>991.32999999999993</v>
      </c>
      <c r="R8" s="46">
        <f>SUM('Einnahmen Ausgaben'!R13:R130)+SUM('Einnahmen Ausgaben'!R140:R148)</f>
        <v>726.38</v>
      </c>
      <c r="S8" s="46">
        <f>SUM('Einnahmen Ausgaben'!S13:S130)+SUM('Einnahmen Ausgaben'!S140:S148)</f>
        <v>138.49999999999997</v>
      </c>
      <c r="T8" s="46">
        <f>SUM('Einnahmen Ausgaben'!T13:T130)+SUM('Einnahmen Ausgaben'!T140:T148)</f>
        <v>10083.44</v>
      </c>
      <c r="U8" s="46">
        <f>SUM('Einnahmen Ausgaben'!U13:U130)+SUM('Einnahmen Ausgaben'!U140:U148)</f>
        <v>0</v>
      </c>
      <c r="V8" s="46">
        <f>SUM('Einnahmen Ausgaben'!V13:V130)+SUM('Einnahmen Ausgaben'!V140:V148)</f>
        <v>4146.2</v>
      </c>
      <c r="W8" s="46">
        <f>SUM('Einnahmen Ausgaben'!W13:W130)+SUM('Einnahmen Ausgaben'!W140:W148)</f>
        <v>1000</v>
      </c>
      <c r="X8" s="46"/>
      <c r="Y8" s="249"/>
    </row>
    <row r="9" spans="1:29" ht="17.25" hidden="1" customHeight="1">
      <c r="A9" s="95">
        <f>Flights!Q4-A8</f>
        <v>29</v>
      </c>
      <c r="B9" s="96" t="s">
        <v>647</v>
      </c>
      <c r="C9" s="97" t="s">
        <v>648</v>
      </c>
      <c r="D9" s="86">
        <f>ROUND(D8*$A$10,2)</f>
        <v>13507.44</v>
      </c>
      <c r="E9" s="46"/>
      <c r="F9" s="46"/>
      <c r="G9" s="46"/>
      <c r="H9" s="46">
        <v>0</v>
      </c>
      <c r="I9" s="46">
        <v>0</v>
      </c>
      <c r="J9" s="46">
        <f t="shared" ref="J9:L9" si="4">ROUND(J8*$A$10,2)</f>
        <v>47.09</v>
      </c>
      <c r="K9" s="46">
        <f t="shared" si="4"/>
        <v>483.77</v>
      </c>
      <c r="L9" s="46">
        <f t="shared" si="4"/>
        <v>1516.05</v>
      </c>
      <c r="M9" s="46">
        <v>0</v>
      </c>
      <c r="N9" s="46">
        <v>0</v>
      </c>
      <c r="O9" s="46">
        <f>O8</f>
        <v>976.84999999999991</v>
      </c>
      <c r="P9" s="46">
        <v>0</v>
      </c>
      <c r="Q9" s="46">
        <f t="shared" ref="Q9:S9" si="5">ROUND(Q8*$A$10,2)</f>
        <v>684.02</v>
      </c>
      <c r="R9" s="46">
        <f t="shared" si="5"/>
        <v>501.2</v>
      </c>
      <c r="S9" s="46">
        <f t="shared" si="5"/>
        <v>95.57</v>
      </c>
      <c r="T9" s="46"/>
      <c r="U9" s="46"/>
      <c r="V9" s="46"/>
      <c r="W9" s="46"/>
      <c r="X9" s="46"/>
      <c r="Y9" s="249"/>
    </row>
    <row r="10" spans="1:29" ht="17.25" hidden="1" customHeight="1">
      <c r="A10" s="98">
        <f>ROUND(A8/Flights!Q4,2)</f>
        <v>0.69</v>
      </c>
      <c r="B10" s="96" t="s">
        <v>649</v>
      </c>
      <c r="C10" s="97" t="s">
        <v>650</v>
      </c>
      <c r="D10" s="86">
        <f>D8-D9</f>
        <v>6068.5599999999995</v>
      </c>
      <c r="E10" s="46"/>
      <c r="F10" s="46"/>
      <c r="G10" s="46"/>
      <c r="H10" s="46">
        <f t="shared" ref="H10:I10" si="6">H8</f>
        <v>1992.16</v>
      </c>
      <c r="I10" s="46">
        <f t="shared" si="6"/>
        <v>0</v>
      </c>
      <c r="J10" s="46">
        <f t="shared" ref="J10:L10" si="7">J8-J9</f>
        <v>21.159999999999997</v>
      </c>
      <c r="K10" s="46">
        <f t="shared" si="7"/>
        <v>217.35000000000025</v>
      </c>
      <c r="L10" s="46">
        <f t="shared" si="7"/>
        <v>681.12000000000057</v>
      </c>
      <c r="M10" s="46">
        <f t="shared" ref="M10:N10" si="8">M8</f>
        <v>214.16000000000003</v>
      </c>
      <c r="N10" s="46">
        <f t="shared" si="8"/>
        <v>1925</v>
      </c>
      <c r="O10" s="46">
        <v>0</v>
      </c>
      <c r="P10" s="46">
        <f>P8</f>
        <v>206.84</v>
      </c>
      <c r="Q10" s="46">
        <f t="shared" ref="Q10:S10" si="9">Q8-Q9</f>
        <v>307.30999999999995</v>
      </c>
      <c r="R10" s="46">
        <f t="shared" si="9"/>
        <v>225.18</v>
      </c>
      <c r="S10" s="46">
        <f t="shared" si="9"/>
        <v>42.929999999999978</v>
      </c>
      <c r="T10" s="46"/>
      <c r="U10" s="46"/>
      <c r="V10" s="46"/>
      <c r="W10" s="46"/>
      <c r="X10" s="46"/>
      <c r="Y10" s="249"/>
    </row>
    <row r="11" spans="1:29" ht="17.25" hidden="1" customHeight="1">
      <c r="A11" s="99"/>
      <c r="B11" s="100" t="s">
        <v>651</v>
      </c>
      <c r="C11" s="101">
        <v>0.85850000000000004</v>
      </c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89"/>
      <c r="Y11" s="250"/>
    </row>
    <row r="12" spans="1:29" ht="17.25" hidden="1" customHeight="1">
      <c r="A12" s="102">
        <f>SUM(Flights!H7:H18)</f>
        <v>127</v>
      </c>
      <c r="B12" s="96" t="s">
        <v>645</v>
      </c>
      <c r="C12" s="97" t="s">
        <v>646</v>
      </c>
      <c r="D12" s="86">
        <f>SUM('Einnahmen Ausgaben'!D131:D138)+SUM('Einnahmen Ausgaben'!D149:D497)</f>
        <v>96430.35</v>
      </c>
      <c r="E12" s="46">
        <f>SUM('Einnahmen Ausgaben'!E131:E138)+SUM('Einnahmen Ausgaben'!E149:E497)</f>
        <v>7066.6399999999994</v>
      </c>
      <c r="F12" s="46">
        <f>SUM('Einnahmen Ausgaben'!F131:F138)+SUM('Einnahmen Ausgaben'!F149:F497)</f>
        <v>20314.920000000002</v>
      </c>
      <c r="G12" s="46">
        <f>SUM('Einnahmen Ausgaben'!G131:G138)+SUM('Einnahmen Ausgaben'!G149:G497)</f>
        <v>250</v>
      </c>
      <c r="H12" s="46">
        <f>SUM('Einnahmen Ausgaben'!H131:H138)+SUM('Einnahmen Ausgaben'!H149:H497)</f>
        <v>9922.19</v>
      </c>
      <c r="I12" s="46">
        <f>SUM('Einnahmen Ausgaben'!I131:I138)+SUM('Einnahmen Ausgaben'!I149:I497)</f>
        <v>138.69</v>
      </c>
      <c r="J12" s="46">
        <f>SUM('Einnahmen Ausgaben'!J131:J138)+SUM('Einnahmen Ausgaben'!J149:J497)</f>
        <v>240.54</v>
      </c>
      <c r="K12" s="46">
        <f>SUM('Einnahmen Ausgaben'!K131:K138)+SUM('Einnahmen Ausgaben'!K149:K497)</f>
        <v>2230.71</v>
      </c>
      <c r="L12" s="46">
        <f>SUM('Einnahmen Ausgaben'!L131:L138)+SUM('Einnahmen Ausgaben'!L149:L497)</f>
        <v>953.54999999999984</v>
      </c>
      <c r="M12" s="46">
        <f>SUM('Einnahmen Ausgaben'!M131:M138)+SUM('Einnahmen Ausgaben'!M149:M497)</f>
        <v>1472.8899999999999</v>
      </c>
      <c r="N12" s="46">
        <f>SUM('Einnahmen Ausgaben'!N131:N138)+SUM('Einnahmen Ausgaben'!N149:N497)</f>
        <v>8435</v>
      </c>
      <c r="O12" s="46">
        <f>SUM('Einnahmen Ausgaben'!O131:O138)+SUM('Einnahmen Ausgaben'!O149:O497)</f>
        <v>1115.58</v>
      </c>
      <c r="P12" s="46">
        <f>SUM('Einnahmen Ausgaben'!P131:P138)+SUM('Einnahmen Ausgaben'!P149:P497)</f>
        <v>11.76</v>
      </c>
      <c r="Q12" s="46">
        <f>SUM('Einnahmen Ausgaben'!Q131:Q138)+SUM('Einnahmen Ausgaben'!Q149:Q497)</f>
        <v>587.87</v>
      </c>
      <c r="R12" s="46">
        <f>SUM('Einnahmen Ausgaben'!R131:R138)+SUM('Einnahmen Ausgaben'!R149:R497)</f>
        <v>2259.56</v>
      </c>
      <c r="S12" s="46">
        <f>SUM('Einnahmen Ausgaben'!S131:S138)+SUM('Einnahmen Ausgaben'!S149:S497)</f>
        <v>240.93999999999991</v>
      </c>
      <c r="T12" s="46">
        <f>SUM('Einnahmen Ausgaben'!T131:T138)+SUM('Einnahmen Ausgaben'!T149:T497)</f>
        <v>25641.980000000003</v>
      </c>
      <c r="U12" s="46">
        <f>SUM('Einnahmen Ausgaben'!U131:U138)+SUM('Einnahmen Ausgaben'!U149:U497)</f>
        <v>0</v>
      </c>
      <c r="V12" s="46">
        <f>SUM('Einnahmen Ausgaben'!V131:V138)+SUM('Einnahmen Ausgaben'!V149:V497)</f>
        <v>8292.4</v>
      </c>
      <c r="W12" s="46">
        <f>SUM('Einnahmen Ausgaben'!W131:W138)+SUM('Einnahmen Ausgaben'!W149:W497)</f>
        <v>500</v>
      </c>
      <c r="X12" s="46"/>
      <c r="Y12" s="249"/>
    </row>
    <row r="13" spans="1:29" ht="17.25" hidden="1" customHeight="1">
      <c r="A13" s="102">
        <f>Flights!Q6-A12</f>
        <v>143</v>
      </c>
      <c r="B13" s="96" t="s">
        <v>647</v>
      </c>
      <c r="C13" s="97" t="s">
        <v>648</v>
      </c>
      <c r="D13" s="86">
        <f>ROUND(D12*$A$14,2)</f>
        <v>45322.26</v>
      </c>
      <c r="E13" s="46"/>
      <c r="F13" s="46"/>
      <c r="G13" s="46"/>
      <c r="H13" s="46">
        <v>0</v>
      </c>
      <c r="I13" s="46">
        <v>0</v>
      </c>
      <c r="J13" s="46">
        <f t="shared" ref="J13:L13" si="10">ROUND(J12*$A$14,2)</f>
        <v>113.05</v>
      </c>
      <c r="K13" s="46">
        <f t="shared" si="10"/>
        <v>1048.43</v>
      </c>
      <c r="L13" s="46">
        <f t="shared" si="10"/>
        <v>448.17</v>
      </c>
      <c r="M13" s="46">
        <v>0</v>
      </c>
      <c r="N13" s="46">
        <v>0</v>
      </c>
      <c r="O13" s="46">
        <f>O12</f>
        <v>1115.58</v>
      </c>
      <c r="P13" s="46">
        <v>0</v>
      </c>
      <c r="Q13" s="46">
        <f t="shared" ref="Q13:S13" si="11">ROUND(Q12*$A$14,2)</f>
        <v>276.3</v>
      </c>
      <c r="R13" s="46">
        <f t="shared" si="11"/>
        <v>1061.99</v>
      </c>
      <c r="S13" s="46">
        <f t="shared" si="11"/>
        <v>113.24</v>
      </c>
      <c r="T13" s="46"/>
      <c r="U13" s="46"/>
      <c r="V13" s="46"/>
      <c r="W13" s="46"/>
      <c r="X13" s="46"/>
      <c r="Y13" s="249"/>
    </row>
    <row r="14" spans="1:29" ht="17.25" hidden="1" customHeight="1">
      <c r="A14" s="98">
        <f>ROUND(A12/Flights!Q6,2)</f>
        <v>0.47</v>
      </c>
      <c r="B14" s="96" t="s">
        <v>649</v>
      </c>
      <c r="C14" s="97" t="s">
        <v>650</v>
      </c>
      <c r="D14" s="86">
        <f>D12-D13</f>
        <v>51108.090000000004</v>
      </c>
      <c r="E14" s="46"/>
      <c r="F14" s="46"/>
      <c r="G14" s="46"/>
      <c r="H14" s="46">
        <f t="shared" ref="H14:I14" si="12">H12</f>
        <v>9922.19</v>
      </c>
      <c r="I14" s="46">
        <f t="shared" si="12"/>
        <v>138.69</v>
      </c>
      <c r="J14" s="46">
        <f t="shared" ref="J14:L14" si="13">J12-J13</f>
        <v>127.49</v>
      </c>
      <c r="K14" s="46">
        <f t="shared" si="13"/>
        <v>1182.28</v>
      </c>
      <c r="L14" s="46">
        <f t="shared" si="13"/>
        <v>505.37999999999982</v>
      </c>
      <c r="M14" s="46">
        <f t="shared" ref="M14:N14" si="14">M12</f>
        <v>1472.8899999999999</v>
      </c>
      <c r="N14" s="46">
        <f t="shared" si="14"/>
        <v>8435</v>
      </c>
      <c r="O14" s="46">
        <v>0</v>
      </c>
      <c r="P14" s="46">
        <f>P12</f>
        <v>11.76</v>
      </c>
      <c r="Q14" s="46">
        <f t="shared" ref="Q14:S14" si="15">Q12-Q13</f>
        <v>311.57</v>
      </c>
      <c r="R14" s="46">
        <f t="shared" si="15"/>
        <v>1197.57</v>
      </c>
      <c r="S14" s="46">
        <f t="shared" si="15"/>
        <v>127.69999999999992</v>
      </c>
      <c r="T14" s="46"/>
      <c r="U14" s="46"/>
      <c r="V14" s="46"/>
      <c r="W14" s="46"/>
      <c r="X14" s="46"/>
      <c r="Y14" s="249"/>
    </row>
    <row r="15" spans="1:29" ht="17.25" customHeight="1">
      <c r="A15" s="99"/>
      <c r="B15" s="100" t="s">
        <v>764</v>
      </c>
      <c r="C15" s="100">
        <v>0.88278000000000001</v>
      </c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89"/>
      <c r="Y15" s="250"/>
    </row>
    <row r="16" spans="1:29" ht="15.75" customHeight="1">
      <c r="A16" s="102">
        <f>SUM(Flights!H19:H23)</f>
        <v>40</v>
      </c>
      <c r="B16" s="96" t="s">
        <v>645</v>
      </c>
      <c r="C16" s="97" t="s">
        <v>652</v>
      </c>
      <c r="D16" s="251">
        <f>SUM('Einnahmen Ausgaben'!D499:D615)+SUM('Einnahmen Ausgaben'!D616)</f>
        <v>30015.16</v>
      </c>
      <c r="E16" s="251">
        <f>SUM('Einnahmen Ausgaben'!E499:E615)+SUM('Einnahmen Ausgaben'!E616)</f>
        <v>1789.5199999999998</v>
      </c>
      <c r="F16" s="251">
        <f>SUM('Einnahmen Ausgaben'!F499:F615)+SUM('Einnahmen Ausgaben'!F616)</f>
        <v>1827</v>
      </c>
      <c r="G16" s="251">
        <f>SUM('Einnahmen Ausgaben'!G499:G615)+SUM('Einnahmen Ausgaben'!G616)</f>
        <v>1</v>
      </c>
      <c r="H16" s="251">
        <f>SUM('Einnahmen Ausgaben'!H499:H615)+SUM('Einnahmen Ausgaben'!H616)</f>
        <v>2471.34</v>
      </c>
      <c r="I16" s="251">
        <f>SUM('Einnahmen Ausgaben'!I499:I615)+SUM('Einnahmen Ausgaben'!I616)</f>
        <v>232.07</v>
      </c>
      <c r="J16" s="251">
        <f>SUM('Einnahmen Ausgaben'!J499:J615)+SUM('Einnahmen Ausgaben'!J616)</f>
        <v>60.910000000000004</v>
      </c>
      <c r="K16" s="251">
        <f>SUM('Einnahmen Ausgaben'!K499:K615)+SUM('Einnahmen Ausgaben'!K616)</f>
        <v>489.28000000000014</v>
      </c>
      <c r="L16" s="251">
        <f>SUM('Einnahmen Ausgaben'!L499:L615)+SUM('Einnahmen Ausgaben'!L616)</f>
        <v>1212.83</v>
      </c>
      <c r="M16" s="251">
        <f>SUM('Einnahmen Ausgaben'!M499:M615)+SUM('Einnahmen Ausgaben'!M616)</f>
        <v>436.17999999999995</v>
      </c>
      <c r="N16" s="251">
        <f>SUM('Einnahmen Ausgaben'!N499:N615)+SUM('Einnahmen Ausgaben'!N616)</f>
        <v>3621.6495999999997</v>
      </c>
      <c r="O16" s="251">
        <f>SUM('Einnahmen Ausgaben'!O499:O615)+SUM('Einnahmen Ausgaben'!O616)</f>
        <v>493.10485519999997</v>
      </c>
      <c r="P16" s="251">
        <f>SUM('Einnahmen Ausgaben'!P499:P615)+SUM('Einnahmen Ausgaben'!P616)</f>
        <v>0</v>
      </c>
      <c r="Q16" s="251">
        <f>SUM('Einnahmen Ausgaben'!Q499:Q615)+SUM('Einnahmen Ausgaben'!Q616)</f>
        <v>804.98</v>
      </c>
      <c r="R16" s="251">
        <f>SUM('Einnahmen Ausgaben'!R499:R615)+SUM('Einnahmen Ausgaben'!R616)</f>
        <v>0</v>
      </c>
      <c r="S16" s="251">
        <f>SUM('Einnahmen Ausgaben'!S499:S615)+SUM('Einnahmen Ausgaben'!S616)</f>
        <v>113.93</v>
      </c>
      <c r="T16" s="251">
        <f>SUM('Einnahmen Ausgaben'!T499:T615)+SUM('Einnahmen Ausgaben'!T616)</f>
        <v>9705.4100000000017</v>
      </c>
      <c r="U16" s="251">
        <f>SUM('Einnahmen Ausgaben'!U499:U615)+SUM('Einnahmen Ausgaben'!U616)</f>
        <v>0</v>
      </c>
      <c r="V16" s="251">
        <f>SUM('Einnahmen Ausgaben'!V499:V615)+SUM('Einnahmen Ausgaben'!V616)</f>
        <v>4146.2</v>
      </c>
      <c r="W16" s="251">
        <f>SUM('Einnahmen Ausgaben'!W499:W615)+SUM('Einnahmen Ausgaben'!W616)</f>
        <v>0</v>
      </c>
      <c r="X16" s="251"/>
      <c r="Y16" s="252"/>
    </row>
    <row r="17" spans="1:25" ht="15.75" customHeight="1">
      <c r="A17" s="102">
        <f>Flights!Q8-A16</f>
        <v>55</v>
      </c>
      <c r="B17" s="96" t="s">
        <v>647</v>
      </c>
      <c r="C17" s="253" t="s">
        <v>648</v>
      </c>
      <c r="D17" s="254">
        <f>ROUND(D16*$A$14,2)</f>
        <v>14107.13</v>
      </c>
      <c r="E17" s="251"/>
      <c r="F17" s="251"/>
      <c r="G17" s="251"/>
      <c r="H17" s="251">
        <v>0</v>
      </c>
      <c r="I17" s="251">
        <v>0</v>
      </c>
      <c r="J17" s="251">
        <f t="shared" ref="J17:L17" si="16">ROUND(J16*$A$18,2)</f>
        <v>25.58</v>
      </c>
      <c r="K17" s="251">
        <f t="shared" si="16"/>
        <v>205.5</v>
      </c>
      <c r="L17" s="251">
        <f t="shared" si="16"/>
        <v>509.39</v>
      </c>
      <c r="M17" s="251">
        <v>0</v>
      </c>
      <c r="N17" s="251">
        <v>0</v>
      </c>
      <c r="O17" s="251">
        <f>O16</f>
        <v>493.10485519999997</v>
      </c>
      <c r="P17" s="251">
        <v>0</v>
      </c>
      <c r="Q17" s="251">
        <f t="shared" ref="Q17:S17" si="17">ROUND(Q16*$A$18,2)</f>
        <v>338.09</v>
      </c>
      <c r="R17" s="251">
        <f t="shared" si="17"/>
        <v>0</v>
      </c>
      <c r="S17" s="251">
        <f t="shared" si="17"/>
        <v>47.85</v>
      </c>
      <c r="T17" s="251"/>
      <c r="U17" s="251"/>
      <c r="V17" s="251"/>
      <c r="W17" s="251"/>
      <c r="X17" s="251"/>
      <c r="Y17" s="252"/>
    </row>
    <row r="18" spans="1:25" ht="15.75" customHeight="1">
      <c r="A18" s="98">
        <f>ROUND(A16/Flights!Q8,2)</f>
        <v>0.42</v>
      </c>
      <c r="B18" s="96" t="s">
        <v>649</v>
      </c>
      <c r="C18" s="253" t="s">
        <v>650</v>
      </c>
      <c r="D18" s="255">
        <f>D16-D17</f>
        <v>15908.03</v>
      </c>
      <c r="E18" s="251"/>
      <c r="F18" s="251"/>
      <c r="G18" s="251"/>
      <c r="H18" s="251">
        <f t="shared" ref="H18:I18" si="18">H16</f>
        <v>2471.34</v>
      </c>
      <c r="I18" s="251">
        <f t="shared" si="18"/>
        <v>232.07</v>
      </c>
      <c r="J18" s="251">
        <f t="shared" ref="J18:L18" si="19">J16-J17</f>
        <v>35.330000000000005</v>
      </c>
      <c r="K18" s="251">
        <f t="shared" si="19"/>
        <v>283.78000000000014</v>
      </c>
      <c r="L18" s="251">
        <f t="shared" si="19"/>
        <v>703.43999999999994</v>
      </c>
      <c r="M18" s="251">
        <f t="shared" ref="M18:N18" si="20">M16</f>
        <v>436.17999999999995</v>
      </c>
      <c r="N18" s="251">
        <f t="shared" si="20"/>
        <v>3621.6495999999997</v>
      </c>
      <c r="O18" s="251">
        <v>0</v>
      </c>
      <c r="P18" s="251">
        <f>P16</f>
        <v>0</v>
      </c>
      <c r="Q18" s="251">
        <f t="shared" ref="Q18:S18" si="21">Q16-Q17</f>
        <v>466.89000000000004</v>
      </c>
      <c r="R18" s="251">
        <f t="shared" si="21"/>
        <v>0</v>
      </c>
      <c r="S18" s="251">
        <f t="shared" si="21"/>
        <v>66.080000000000013</v>
      </c>
      <c r="T18" s="251"/>
      <c r="U18" s="251"/>
      <c r="V18" s="251"/>
      <c r="W18" s="251"/>
      <c r="X18" s="251"/>
      <c r="Y18" s="252"/>
    </row>
    <row r="19" spans="1:25" ht="17.25" customHeight="1">
      <c r="A19" s="99"/>
      <c r="B19" s="100" t="s">
        <v>765</v>
      </c>
      <c r="C19" s="100">
        <v>0.87019999999999997</v>
      </c>
      <c r="D19" s="103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256"/>
    </row>
    <row r="20" spans="1:25" ht="15.75" customHeight="1">
      <c r="A20" s="102">
        <f>SUM(Flights!G24:G39)</f>
        <v>101</v>
      </c>
      <c r="B20" s="96" t="s">
        <v>645</v>
      </c>
      <c r="C20" s="97" t="s">
        <v>652</v>
      </c>
      <c r="D20" s="251">
        <f>'Einnahmen Ausgaben'!D5</f>
        <v>106384</v>
      </c>
      <c r="E20" s="251">
        <f>'Einnahmen Ausgaben'!E5</f>
        <v>34929.599999999999</v>
      </c>
      <c r="F20" s="251">
        <f>'Einnahmen Ausgaben'!F5</f>
        <v>6200.05</v>
      </c>
      <c r="G20" s="251">
        <f>'Einnahmen Ausgaben'!G5</f>
        <v>18574</v>
      </c>
      <c r="H20" s="251">
        <f>'Einnahmen Ausgaben'!H5</f>
        <v>6779.09</v>
      </c>
      <c r="I20" s="251">
        <f>'Einnahmen Ausgaben'!I5</f>
        <v>1</v>
      </c>
      <c r="J20" s="251">
        <f>'Einnahmen Ausgaben'!J5</f>
        <v>193.79</v>
      </c>
      <c r="K20" s="251">
        <f>'Einnahmen Ausgaben'!K5</f>
        <v>1122.5999999999999</v>
      </c>
      <c r="L20" s="251">
        <f>'Einnahmen Ausgaben'!L5</f>
        <v>4199.7700000000004</v>
      </c>
      <c r="M20" s="251">
        <f>'Einnahmen Ausgaben'!M5</f>
        <v>1120.4000000000001</v>
      </c>
      <c r="N20" s="251">
        <f>'Einnahmen Ausgaben'!N5</f>
        <v>8819.3184000000001</v>
      </c>
      <c r="O20" s="251">
        <f>'Einnahmen Ausgaben'!O5</f>
        <v>2028.2477568600002</v>
      </c>
      <c r="P20" s="251">
        <f>'Einnahmen Ausgaben'!P5</f>
        <v>51.1</v>
      </c>
      <c r="Q20" s="251">
        <f>'Einnahmen Ausgaben'!Q5</f>
        <v>31.67</v>
      </c>
      <c r="R20" s="251">
        <f>'Einnahmen Ausgaben'!R5</f>
        <v>1482.2199999999998</v>
      </c>
      <c r="S20" s="251">
        <f>'Einnahmen Ausgaben'!S5</f>
        <v>331.36999999999995</v>
      </c>
      <c r="T20" s="251">
        <f>'Einnahmen Ausgaben'!T5</f>
        <v>18032.550000000003</v>
      </c>
      <c r="U20" s="251">
        <f>'Einnahmen Ausgaben'!U5</f>
        <v>0</v>
      </c>
      <c r="V20" s="251">
        <f>'Einnahmen Ausgaben'!V5</f>
        <v>8292.4</v>
      </c>
      <c r="W20" s="251">
        <f>'Einnahmen Ausgaben'!W5</f>
        <v>0</v>
      </c>
      <c r="X20" s="251"/>
      <c r="Y20" s="252"/>
    </row>
    <row r="21" spans="1:25" ht="15.75" customHeight="1">
      <c r="A21" s="102">
        <f>Flights!Q10-A20</f>
        <v>169</v>
      </c>
      <c r="B21" s="96" t="s">
        <v>647</v>
      </c>
      <c r="C21" s="253" t="s">
        <v>648</v>
      </c>
      <c r="D21" s="254">
        <f>ROUND(D20*$A$22,2)</f>
        <v>39362.080000000002</v>
      </c>
      <c r="E21" s="251"/>
      <c r="F21" s="251"/>
      <c r="G21" s="251"/>
      <c r="H21" s="251">
        <v>0</v>
      </c>
      <c r="I21" s="251">
        <v>0</v>
      </c>
      <c r="J21" s="251">
        <f t="shared" ref="J21:L21" si="22">ROUND(J20*$A$22,2)</f>
        <v>71.7</v>
      </c>
      <c r="K21" s="251">
        <f t="shared" si="22"/>
        <v>415.36</v>
      </c>
      <c r="L21" s="251">
        <f t="shared" si="22"/>
        <v>1553.91</v>
      </c>
      <c r="M21" s="251">
        <v>0</v>
      </c>
      <c r="N21" s="251">
        <v>0</v>
      </c>
      <c r="O21" s="251">
        <f>ROUND(O20*$A$22,2)</f>
        <v>750.45</v>
      </c>
      <c r="P21" s="251">
        <v>0</v>
      </c>
      <c r="Q21" s="251">
        <f t="shared" ref="Q21:S21" si="23">ROUND(Q20*$A$22,2)</f>
        <v>11.72</v>
      </c>
      <c r="R21" s="251">
        <f t="shared" si="23"/>
        <v>548.41999999999996</v>
      </c>
      <c r="S21" s="251">
        <f t="shared" si="23"/>
        <v>122.61</v>
      </c>
      <c r="T21" s="251"/>
      <c r="U21" s="251"/>
      <c r="V21" s="251"/>
      <c r="W21" s="251"/>
      <c r="X21" s="251"/>
      <c r="Y21" s="252"/>
    </row>
    <row r="22" spans="1:25" ht="15.75" customHeight="1">
      <c r="A22" s="98">
        <f>ROUND(A20/Flights!Q10,2)</f>
        <v>0.37</v>
      </c>
      <c r="B22" s="96" t="s">
        <v>649</v>
      </c>
      <c r="C22" s="253" t="s">
        <v>650</v>
      </c>
      <c r="D22" s="255">
        <f>D20-D21</f>
        <v>67021.919999999998</v>
      </c>
      <c r="E22" s="251"/>
      <c r="F22" s="251"/>
      <c r="G22" s="251"/>
      <c r="H22" s="251">
        <f t="shared" ref="H22:I22" si="24">H20</f>
        <v>6779.09</v>
      </c>
      <c r="I22" s="251">
        <f t="shared" si="24"/>
        <v>1</v>
      </c>
      <c r="J22" s="251">
        <f t="shared" ref="J22:L22" si="25">J20-J21</f>
        <v>122.08999999999999</v>
      </c>
      <c r="K22" s="251">
        <f t="shared" si="25"/>
        <v>707.2399999999999</v>
      </c>
      <c r="L22" s="251">
        <f t="shared" si="25"/>
        <v>2645.8600000000006</v>
      </c>
      <c r="M22" s="251">
        <f t="shared" ref="M22:N22" si="26">M20</f>
        <v>1120.4000000000001</v>
      </c>
      <c r="N22" s="251">
        <f t="shared" si="26"/>
        <v>8819.3184000000001</v>
      </c>
      <c r="O22" s="251">
        <v>0</v>
      </c>
      <c r="P22" s="251">
        <f>P20</f>
        <v>51.1</v>
      </c>
      <c r="Q22" s="251">
        <f t="shared" ref="Q22:S22" si="27">Q20-Q21</f>
        <v>19.950000000000003</v>
      </c>
      <c r="R22" s="251">
        <f t="shared" si="27"/>
        <v>933.79999999999984</v>
      </c>
      <c r="S22" s="251">
        <f t="shared" si="27"/>
        <v>208.75999999999993</v>
      </c>
      <c r="T22" s="251"/>
      <c r="U22" s="251"/>
      <c r="V22" s="251"/>
      <c r="W22" s="251"/>
      <c r="X22" s="251"/>
      <c r="Y22" s="252"/>
    </row>
    <row r="23" spans="1:25" ht="15.75" customHeight="1">
      <c r="A23" s="76"/>
      <c r="B23" s="76"/>
      <c r="C23" s="7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46"/>
      <c r="Y23" s="18"/>
    </row>
    <row r="24" spans="1:25" ht="15.75" customHeight="1">
      <c r="A24" s="76"/>
      <c r="C24" s="76"/>
      <c r="D24" s="46"/>
      <c r="E24" s="46"/>
      <c r="F24" s="46"/>
      <c r="G24" s="46"/>
      <c r="H24" s="86"/>
      <c r="I24" s="86"/>
      <c r="J24" s="86"/>
      <c r="K24" s="86"/>
      <c r="L24" s="86"/>
      <c r="M24" s="86"/>
      <c r="N24" s="86"/>
      <c r="O24" s="46"/>
      <c r="P24" s="86"/>
      <c r="Q24" s="86"/>
      <c r="R24" s="86"/>
      <c r="S24" s="86"/>
      <c r="T24" s="86"/>
      <c r="U24" s="86"/>
      <c r="V24" s="86"/>
      <c r="W24" s="86"/>
      <c r="X24" s="46"/>
      <c r="Y24" s="18"/>
    </row>
    <row r="25" spans="1:25" ht="15.75" customHeight="1">
      <c r="A25" s="76"/>
      <c r="B25" s="76"/>
      <c r="C25" s="76"/>
      <c r="D25" s="46"/>
      <c r="E25" s="46"/>
      <c r="F25" s="46"/>
      <c r="G25" s="4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46"/>
      <c r="Y25" s="18"/>
    </row>
    <row r="26" spans="1:25" ht="15.75" customHeight="1">
      <c r="A26" s="76"/>
      <c r="B26" s="76"/>
      <c r="C26" s="76"/>
      <c r="D26" s="86"/>
      <c r="E26" s="46"/>
      <c r="F26" s="46"/>
      <c r="G26" s="4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46"/>
      <c r="Y26" s="18"/>
    </row>
    <row r="27" spans="1:25" ht="15.75" hidden="1" customHeight="1">
      <c r="A27" s="76"/>
      <c r="B27" s="76"/>
      <c r="C27" s="7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46"/>
      <c r="Y27" s="18"/>
    </row>
    <row r="28" spans="1:25" ht="15.75" hidden="1" customHeight="1">
      <c r="A28" s="76"/>
      <c r="B28" s="76"/>
      <c r="C28" s="7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46"/>
      <c r="Y28" s="18"/>
    </row>
    <row r="29" spans="1:25" ht="15.75" hidden="1" customHeight="1">
      <c r="A29" s="76"/>
      <c r="B29" s="88" t="s">
        <v>665</v>
      </c>
      <c r="C29" s="88" t="s">
        <v>766</v>
      </c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46"/>
      <c r="Y29" s="18"/>
    </row>
    <row r="30" spans="1:25" ht="15.75" hidden="1" customHeight="1">
      <c r="A30" s="76"/>
      <c r="B30" s="257" t="s">
        <v>767</v>
      </c>
      <c r="C30" s="76"/>
      <c r="D30" s="8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18"/>
    </row>
    <row r="31" spans="1:25" ht="15.75" hidden="1" customHeight="1">
      <c r="A31" s="76"/>
      <c r="B31" s="76"/>
      <c r="C31" s="76"/>
      <c r="D31" s="8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18"/>
    </row>
    <row r="32" spans="1:25" ht="15.75" hidden="1" customHeight="1">
      <c r="A32" s="76"/>
      <c r="B32" s="115" t="s">
        <v>666</v>
      </c>
      <c r="C32" s="116" t="s">
        <v>667</v>
      </c>
      <c r="D32" s="117">
        <f>D13+D17</f>
        <v>59429.39</v>
      </c>
      <c r="E32" s="118"/>
      <c r="F32" s="118"/>
      <c r="G32" s="118"/>
      <c r="H32" s="119">
        <f t="shared" ref="H32:S32" si="28">(H13*$C$11)+(H17*$C$15)</f>
        <v>0</v>
      </c>
      <c r="I32" s="119">
        <f t="shared" si="28"/>
        <v>0</v>
      </c>
      <c r="J32" s="119">
        <f t="shared" si="28"/>
        <v>119.6349374</v>
      </c>
      <c r="K32" s="119">
        <f t="shared" si="28"/>
        <v>1081.488445</v>
      </c>
      <c r="L32" s="119">
        <f t="shared" si="28"/>
        <v>834.43324920000009</v>
      </c>
      <c r="M32" s="119">
        <f t="shared" si="28"/>
        <v>0</v>
      </c>
      <c r="N32" s="119">
        <f t="shared" si="28"/>
        <v>0</v>
      </c>
      <c r="O32" s="119">
        <f t="shared" si="28"/>
        <v>1393.0285340734558</v>
      </c>
      <c r="P32" s="119">
        <f t="shared" si="28"/>
        <v>0</v>
      </c>
      <c r="Q32" s="119">
        <f t="shared" si="28"/>
        <v>535.66264019999994</v>
      </c>
      <c r="R32" s="119">
        <f t="shared" si="28"/>
        <v>911.71841500000005</v>
      </c>
      <c r="S32" s="120">
        <f t="shared" si="28"/>
        <v>139.45756299999999</v>
      </c>
      <c r="T32" s="46"/>
      <c r="U32" s="46"/>
      <c r="V32" s="46"/>
      <c r="W32" s="46"/>
      <c r="X32" s="110">
        <f>D32-SUM(E32:S32)</f>
        <v>54413.966216126544</v>
      </c>
      <c r="Y32" s="18"/>
    </row>
    <row r="33" spans="1:29" ht="15.75" customHeight="1">
      <c r="A33" s="76"/>
      <c r="B33" s="76"/>
      <c r="C33" s="76"/>
      <c r="D33" s="8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18"/>
    </row>
    <row r="34" spans="1:29" ht="15.75" customHeight="1">
      <c r="A34" s="76"/>
      <c r="B34" s="76"/>
      <c r="C34" s="76"/>
      <c r="D34" s="8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18"/>
    </row>
    <row r="35" spans="1:29" ht="33" hidden="1" customHeight="1">
      <c r="A35" s="76"/>
      <c r="B35" s="121" t="s">
        <v>668</v>
      </c>
      <c r="C35" s="122" t="s">
        <v>669</v>
      </c>
      <c r="D35" s="123">
        <f>E8+E12+(D8/C7)+(D12/C11)</f>
        <v>151502.89967398203</v>
      </c>
      <c r="E35" s="123"/>
      <c r="F35" s="123"/>
      <c r="G35" s="123"/>
      <c r="H35" s="124">
        <f t="shared" ref="H35:S35" si="29">H8+H12</f>
        <v>11914.35</v>
      </c>
      <c r="I35" s="123">
        <f t="shared" si="29"/>
        <v>138.69</v>
      </c>
      <c r="J35" s="124">
        <f t="shared" si="29"/>
        <v>308.78999999999996</v>
      </c>
      <c r="K35" s="124">
        <f t="shared" si="29"/>
        <v>2931.8300000000004</v>
      </c>
      <c r="L35" s="124">
        <f t="shared" si="29"/>
        <v>3150.7200000000003</v>
      </c>
      <c r="M35" s="124">
        <f t="shared" si="29"/>
        <v>1687.05</v>
      </c>
      <c r="N35" s="124">
        <f t="shared" si="29"/>
        <v>10360</v>
      </c>
      <c r="O35" s="124">
        <f t="shared" si="29"/>
        <v>2092.4299999999998</v>
      </c>
      <c r="P35" s="124">
        <f t="shared" si="29"/>
        <v>218.6</v>
      </c>
      <c r="Q35" s="124">
        <f t="shared" si="29"/>
        <v>1579.1999999999998</v>
      </c>
      <c r="R35" s="124">
        <f t="shared" si="29"/>
        <v>2985.94</v>
      </c>
      <c r="S35" s="124">
        <f t="shared" si="29"/>
        <v>379.43999999999988</v>
      </c>
      <c r="T35" s="46"/>
      <c r="U35" s="46"/>
      <c r="V35" s="46"/>
      <c r="W35" s="46"/>
      <c r="X35" s="125">
        <f>D35-(SUM(E35:S35)-I35+600)</f>
        <v>113294.54967398202</v>
      </c>
      <c r="Y35" s="11"/>
      <c r="Z35" s="87"/>
      <c r="AA35" s="87"/>
      <c r="AB35" s="87"/>
      <c r="AC35" s="87"/>
    </row>
    <row r="36" spans="1:29" ht="33" customHeight="1">
      <c r="A36" s="76"/>
      <c r="B36" s="121" t="s">
        <v>668</v>
      </c>
      <c r="C36" s="126" t="s">
        <v>670</v>
      </c>
      <c r="D36" s="127">
        <f>(D17/C15)+(D21/C19)</f>
        <v>61213.717817819721</v>
      </c>
      <c r="E36" s="128">
        <f>E16+E20</f>
        <v>36719.119999999995</v>
      </c>
      <c r="F36" s="123"/>
      <c r="G36" s="123"/>
      <c r="H36" s="129">
        <f t="shared" ref="H36:S36" si="30">H18+H22</f>
        <v>9250.43</v>
      </c>
      <c r="I36" s="124">
        <f t="shared" si="30"/>
        <v>233.07</v>
      </c>
      <c r="J36" s="129">
        <f t="shared" si="30"/>
        <v>157.41999999999999</v>
      </c>
      <c r="K36" s="129">
        <f t="shared" si="30"/>
        <v>991.02</v>
      </c>
      <c r="L36" s="129">
        <f t="shared" si="30"/>
        <v>3349.3000000000006</v>
      </c>
      <c r="M36" s="129">
        <f t="shared" si="30"/>
        <v>1556.58</v>
      </c>
      <c r="N36" s="129">
        <f t="shared" si="30"/>
        <v>12440.968000000001</v>
      </c>
      <c r="O36" s="124">
        <f t="shared" si="30"/>
        <v>0</v>
      </c>
      <c r="P36" s="129">
        <f t="shared" si="30"/>
        <v>51.1</v>
      </c>
      <c r="Q36" s="129">
        <f t="shared" si="30"/>
        <v>486.84000000000003</v>
      </c>
      <c r="R36" s="129">
        <f t="shared" si="30"/>
        <v>933.79999999999984</v>
      </c>
      <c r="S36" s="129">
        <f t="shared" si="30"/>
        <v>274.83999999999992</v>
      </c>
      <c r="T36" s="46"/>
      <c r="U36" s="46"/>
      <c r="V36" s="46"/>
      <c r="W36" s="46"/>
      <c r="X36" s="125">
        <f>(D36+E36)-H36-SUM(J36:N36)-SUM(P36:S36)-600</f>
        <v>67840.539817819707</v>
      </c>
      <c r="Y36" s="11"/>
      <c r="Z36" s="87"/>
      <c r="AA36" s="87"/>
      <c r="AB36" s="87"/>
      <c r="AC36" s="87"/>
    </row>
    <row r="37" spans="1:29" ht="15.75" customHeight="1">
      <c r="A37" s="76"/>
      <c r="B37" s="76"/>
      <c r="E37" s="46"/>
      <c r="F37" s="130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18"/>
    </row>
    <row r="38" spans="1:29" ht="15.75" customHeight="1">
      <c r="A38" s="76"/>
      <c r="B38" s="76"/>
      <c r="C38" s="76"/>
      <c r="D38" s="86">
        <f>D36+E36</f>
        <v>97932.837817819716</v>
      </c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18"/>
    </row>
    <row r="39" spans="1:29" ht="15.75" customHeight="1">
      <c r="A39" s="76"/>
      <c r="B39" s="76"/>
      <c r="C39" s="76"/>
      <c r="D39" s="8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18"/>
    </row>
    <row r="40" spans="1:29" ht="15.75" customHeight="1">
      <c r="A40" s="76"/>
      <c r="B40" s="76"/>
      <c r="C40" s="76"/>
      <c r="D40" s="8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18"/>
    </row>
    <row r="41" spans="1:29" ht="15.75" customHeight="1">
      <c r="A41" s="76"/>
      <c r="C41" s="76"/>
      <c r="D41" s="8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18"/>
    </row>
    <row r="42" spans="1:29" ht="15.75" customHeight="1">
      <c r="A42" s="76"/>
      <c r="B42" s="76"/>
      <c r="C42" s="76"/>
      <c r="D42" s="8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18"/>
    </row>
    <row r="43" spans="1:29" ht="15.75" customHeight="1">
      <c r="A43" s="76"/>
      <c r="B43" s="76"/>
      <c r="C43" s="76"/>
      <c r="D43" s="8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18"/>
    </row>
    <row r="44" spans="1:29" ht="15.75" customHeight="1">
      <c r="A44" s="76"/>
      <c r="B44" s="76"/>
      <c r="C44" s="76"/>
      <c r="D44" s="8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18"/>
    </row>
    <row r="45" spans="1:29" ht="15.75" customHeight="1">
      <c r="A45" s="76"/>
      <c r="B45" s="76"/>
      <c r="C45" s="76"/>
      <c r="D45" s="8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18"/>
    </row>
    <row r="46" spans="1:29" ht="15.75" customHeight="1">
      <c r="A46" s="76"/>
      <c r="B46" s="76"/>
      <c r="C46" s="76"/>
      <c r="D46" s="8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18"/>
    </row>
    <row r="47" spans="1:29" ht="15.75" customHeight="1">
      <c r="A47" s="76"/>
      <c r="B47" s="76"/>
      <c r="C47" s="76"/>
      <c r="D47" s="8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18"/>
    </row>
    <row r="48" spans="1:29" ht="15.75" customHeight="1">
      <c r="A48" s="76"/>
      <c r="B48" s="76"/>
      <c r="C48" s="76"/>
      <c r="D48" s="8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18"/>
    </row>
    <row r="49" spans="1:25" ht="15.75" customHeight="1">
      <c r="A49" s="76"/>
      <c r="B49" s="76"/>
      <c r="C49" s="76"/>
      <c r="D49" s="8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18"/>
    </row>
    <row r="50" spans="1:25" ht="15.75" customHeight="1">
      <c r="A50" s="76"/>
      <c r="B50" s="76"/>
      <c r="C50" s="76"/>
      <c r="D50" s="8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18"/>
    </row>
    <row r="51" spans="1:25" ht="15.75" customHeight="1">
      <c r="A51" s="76"/>
      <c r="B51" s="76"/>
      <c r="C51" s="76"/>
    </row>
    <row r="52" spans="1:25" ht="15.75" customHeight="1">
      <c r="A52" s="76"/>
      <c r="B52" s="76"/>
      <c r="C52" s="76"/>
    </row>
    <row r="53" spans="1:25" ht="15.75" customHeight="1">
      <c r="A53" s="76"/>
      <c r="B53" s="76"/>
      <c r="C53" s="76"/>
    </row>
    <row r="54" spans="1:25" ht="15.75" customHeight="1">
      <c r="A54" s="76"/>
      <c r="B54" s="76"/>
      <c r="C54" s="76"/>
    </row>
    <row r="55" spans="1:25" ht="15.75" customHeight="1">
      <c r="A55" s="76"/>
      <c r="B55" s="76"/>
      <c r="C55" s="76"/>
    </row>
    <row r="56" spans="1:25" ht="15.75" customHeight="1">
      <c r="A56" s="76"/>
      <c r="B56" s="76"/>
      <c r="C56" s="76"/>
    </row>
    <row r="57" spans="1:25" ht="15.75" customHeight="1">
      <c r="A57" s="76"/>
      <c r="B57" s="76"/>
      <c r="C57" s="76"/>
    </row>
    <row r="58" spans="1:25" ht="15.75" customHeight="1">
      <c r="A58" s="76"/>
      <c r="B58" s="76"/>
      <c r="C58" s="76"/>
    </row>
    <row r="59" spans="1:25" ht="15.75" customHeight="1">
      <c r="A59" s="76"/>
      <c r="B59" s="76"/>
      <c r="C59" s="76"/>
    </row>
    <row r="60" spans="1:25" ht="15.75" customHeight="1">
      <c r="A60" s="76"/>
      <c r="B60" s="76"/>
      <c r="C60" s="76"/>
    </row>
    <row r="61" spans="1:25" ht="15.75" customHeight="1">
      <c r="A61" s="76"/>
      <c r="B61" s="76"/>
      <c r="C61" s="76"/>
    </row>
    <row r="62" spans="1:25" ht="15.75" customHeight="1">
      <c r="A62" s="76"/>
      <c r="B62" s="76"/>
      <c r="C62" s="76"/>
    </row>
    <row r="63" spans="1:25" ht="15.75" customHeight="1">
      <c r="A63" s="76"/>
      <c r="B63" s="76"/>
      <c r="C63" s="76"/>
    </row>
    <row r="64" spans="1:25" ht="15.75" customHeight="1">
      <c r="A64" s="76"/>
      <c r="B64" s="76"/>
      <c r="C64" s="76"/>
    </row>
    <row r="65" spans="1:3" ht="15.75" customHeight="1">
      <c r="A65" s="76"/>
      <c r="B65" s="76"/>
      <c r="C65" s="76"/>
    </row>
    <row r="66" spans="1:3" ht="15.75" customHeight="1">
      <c r="A66" s="76"/>
      <c r="B66" s="76"/>
      <c r="C66" s="76"/>
    </row>
    <row r="67" spans="1:3" ht="15.75" customHeight="1">
      <c r="A67" s="76"/>
      <c r="B67" s="76"/>
      <c r="C67" s="76"/>
    </row>
    <row r="68" spans="1:3" ht="15.75" customHeight="1">
      <c r="A68" s="76"/>
      <c r="B68" s="76"/>
      <c r="C68" s="76"/>
    </row>
    <row r="69" spans="1:3" ht="15.75" customHeight="1">
      <c r="A69" s="76"/>
      <c r="B69" s="76"/>
      <c r="C69" s="76"/>
    </row>
    <row r="70" spans="1:3" ht="15.75" customHeight="1">
      <c r="A70" s="76"/>
      <c r="B70" s="76"/>
      <c r="C70" s="76"/>
    </row>
    <row r="71" spans="1:3" ht="15.75" customHeight="1">
      <c r="A71" s="76"/>
      <c r="B71" s="76"/>
      <c r="C71" s="76"/>
    </row>
    <row r="72" spans="1:3" ht="15.75" customHeight="1">
      <c r="A72" s="131"/>
      <c r="C72" s="132"/>
    </row>
    <row r="73" spans="1:3" ht="15.75" customHeight="1">
      <c r="A73" s="131"/>
      <c r="C73" s="132"/>
    </row>
    <row r="74" spans="1:3" ht="15.75" customHeight="1">
      <c r="A74" s="131"/>
      <c r="C74" s="132"/>
    </row>
    <row r="75" spans="1:3" ht="15.75" customHeight="1">
      <c r="A75" s="131"/>
      <c r="C75" s="132"/>
    </row>
    <row r="76" spans="1:3" ht="15.75" customHeight="1">
      <c r="A76" s="131"/>
      <c r="C76" s="132"/>
    </row>
    <row r="77" spans="1:3" ht="15.75" customHeight="1">
      <c r="A77" s="131"/>
      <c r="C77" s="132"/>
    </row>
    <row r="78" spans="1:3" ht="15.75" customHeight="1">
      <c r="A78" s="131"/>
      <c r="C78" s="132"/>
    </row>
    <row r="79" spans="1:3" ht="15.75" customHeight="1">
      <c r="A79" s="131"/>
      <c r="C79" s="132"/>
    </row>
    <row r="80" spans="1:3" ht="15.75" customHeight="1">
      <c r="A80" s="131"/>
      <c r="C80" s="132"/>
    </row>
    <row r="81" spans="1:3" ht="15.75" customHeight="1">
      <c r="A81" s="131"/>
      <c r="C81" s="132"/>
    </row>
    <row r="82" spans="1:3" ht="15.75" customHeight="1">
      <c r="A82" s="131"/>
      <c r="C82" s="132"/>
    </row>
    <row r="83" spans="1:3" ht="15.75" customHeight="1">
      <c r="A83" s="131"/>
      <c r="C83" s="132"/>
    </row>
    <row r="84" spans="1:3" ht="15.75" customHeight="1">
      <c r="A84" s="131"/>
      <c r="C84" s="132"/>
    </row>
    <row r="85" spans="1:3" ht="15.75" customHeight="1">
      <c r="A85" s="131"/>
      <c r="C85" s="132"/>
    </row>
    <row r="86" spans="1:3" ht="15.75" customHeight="1">
      <c r="A86" s="131"/>
      <c r="C86" s="132"/>
    </row>
    <row r="87" spans="1:3" ht="15.75" customHeight="1">
      <c r="A87" s="131"/>
      <c r="C87" s="132"/>
    </row>
    <row r="88" spans="1:3" ht="15.75" customHeight="1">
      <c r="A88" s="131"/>
      <c r="C88" s="132"/>
    </row>
    <row r="89" spans="1:3" ht="15.75" customHeight="1">
      <c r="A89" s="131"/>
      <c r="C89" s="132"/>
    </row>
    <row r="90" spans="1:3" ht="15.75" customHeight="1">
      <c r="A90" s="131"/>
      <c r="C90" s="132"/>
    </row>
    <row r="91" spans="1:3" ht="15.75" customHeight="1">
      <c r="A91" s="131"/>
      <c r="C91" s="132"/>
    </row>
    <row r="92" spans="1:3" ht="15.75" customHeight="1">
      <c r="A92" s="131"/>
      <c r="C92" s="132"/>
    </row>
    <row r="93" spans="1:3" ht="15.75" customHeight="1">
      <c r="A93" s="131"/>
      <c r="C93" s="132"/>
    </row>
    <row r="94" spans="1:3" ht="15.75" customHeight="1">
      <c r="A94" s="131"/>
      <c r="C94" s="132"/>
    </row>
    <row r="95" spans="1:3" ht="15.75" customHeight="1">
      <c r="A95" s="131"/>
      <c r="C95" s="132"/>
    </row>
    <row r="96" spans="1:3" ht="15.75" customHeight="1">
      <c r="A96" s="131"/>
      <c r="C96" s="132"/>
    </row>
    <row r="97" spans="1:3" ht="15.75" customHeight="1">
      <c r="A97" s="131"/>
      <c r="C97" s="132"/>
    </row>
    <row r="98" spans="1:3" ht="15.75" customHeight="1">
      <c r="A98" s="131"/>
      <c r="C98" s="132"/>
    </row>
    <row r="99" spans="1:3" ht="15.75" customHeight="1">
      <c r="A99" s="131"/>
      <c r="C99" s="132"/>
    </row>
    <row r="100" spans="1:3" ht="15.75" customHeight="1">
      <c r="A100" s="131"/>
      <c r="C100" s="132"/>
    </row>
    <row r="101" spans="1:3" ht="15.75" customHeight="1">
      <c r="A101" s="131"/>
      <c r="C101" s="132"/>
    </row>
    <row r="102" spans="1:3" ht="15.75" customHeight="1">
      <c r="A102" s="131"/>
      <c r="C102" s="132"/>
    </row>
    <row r="103" spans="1:3" ht="15.75" customHeight="1">
      <c r="A103" s="131"/>
      <c r="C103" s="132"/>
    </row>
    <row r="104" spans="1:3" ht="15.75" customHeight="1">
      <c r="A104" s="131"/>
      <c r="C104" s="132"/>
    </row>
    <row r="105" spans="1:3" ht="15.75" customHeight="1">
      <c r="A105" s="131"/>
      <c r="C105" s="132"/>
    </row>
    <row r="106" spans="1:3" ht="15.75" customHeight="1">
      <c r="A106" s="131"/>
      <c r="C106" s="132"/>
    </row>
    <row r="107" spans="1:3" ht="15.75" customHeight="1">
      <c r="A107" s="131"/>
      <c r="C107" s="132"/>
    </row>
    <row r="108" spans="1:3" ht="15.75" customHeight="1">
      <c r="A108" s="131"/>
      <c r="C108" s="132"/>
    </row>
    <row r="109" spans="1:3" ht="15.75" customHeight="1">
      <c r="A109" s="131"/>
      <c r="C109" s="132"/>
    </row>
    <row r="110" spans="1:3" ht="15.75" customHeight="1">
      <c r="A110" s="131"/>
      <c r="C110" s="132"/>
    </row>
    <row r="111" spans="1:3" ht="15.75" customHeight="1">
      <c r="A111" s="131"/>
      <c r="C111" s="132"/>
    </row>
    <row r="112" spans="1:3" ht="15.75" customHeight="1">
      <c r="A112" s="131"/>
      <c r="C112" s="132"/>
    </row>
    <row r="113" spans="1:3" ht="15.75" customHeight="1">
      <c r="A113" s="131"/>
      <c r="C113" s="132"/>
    </row>
    <row r="114" spans="1:3" ht="15.75" customHeight="1">
      <c r="A114" s="131"/>
      <c r="C114" s="132"/>
    </row>
    <row r="115" spans="1:3" ht="15.75" customHeight="1">
      <c r="A115" s="131"/>
      <c r="C115" s="132"/>
    </row>
    <row r="116" spans="1:3" ht="15.75" customHeight="1">
      <c r="A116" s="131"/>
      <c r="C116" s="132"/>
    </row>
    <row r="117" spans="1:3" ht="15.75" customHeight="1">
      <c r="A117" s="131"/>
      <c r="C117" s="132"/>
    </row>
    <row r="118" spans="1:3" ht="15.75" customHeight="1">
      <c r="A118" s="131"/>
      <c r="C118" s="132"/>
    </row>
    <row r="119" spans="1:3" ht="15.75" customHeight="1">
      <c r="A119" s="131"/>
      <c r="C119" s="132"/>
    </row>
    <row r="120" spans="1:3" ht="15.75" customHeight="1">
      <c r="A120" s="131"/>
      <c r="C120" s="132"/>
    </row>
    <row r="121" spans="1:3" ht="15.75" customHeight="1">
      <c r="A121" s="131"/>
      <c r="C121" s="132"/>
    </row>
    <row r="122" spans="1:3" ht="15.75" customHeight="1">
      <c r="A122" s="131"/>
      <c r="C122" s="132"/>
    </row>
    <row r="123" spans="1:3" ht="15.75" customHeight="1">
      <c r="A123" s="131"/>
      <c r="C123" s="132"/>
    </row>
    <row r="124" spans="1:3" ht="15.75" customHeight="1">
      <c r="A124" s="131"/>
      <c r="C124" s="132"/>
    </row>
    <row r="125" spans="1:3" ht="15.75" customHeight="1">
      <c r="A125" s="131"/>
      <c r="C125" s="132"/>
    </row>
    <row r="126" spans="1:3" ht="15.75" customHeight="1">
      <c r="A126" s="131"/>
      <c r="C126" s="132"/>
    </row>
    <row r="127" spans="1:3" ht="15.75" customHeight="1">
      <c r="A127" s="131"/>
      <c r="C127" s="132"/>
    </row>
    <row r="128" spans="1:3" ht="15.75" customHeight="1">
      <c r="A128" s="131"/>
      <c r="C128" s="132"/>
    </row>
    <row r="129" spans="1:3" ht="15.75" customHeight="1">
      <c r="A129" s="131"/>
      <c r="C129" s="132"/>
    </row>
    <row r="130" spans="1:3" ht="15.75" customHeight="1">
      <c r="A130" s="131"/>
      <c r="C130" s="132"/>
    </row>
    <row r="131" spans="1:3" ht="15.75" customHeight="1">
      <c r="A131" s="131"/>
      <c r="C131" s="132"/>
    </row>
    <row r="132" spans="1:3" ht="15.75" customHeight="1">
      <c r="A132" s="131"/>
      <c r="C132" s="132"/>
    </row>
    <row r="133" spans="1:3" ht="15.75" customHeight="1">
      <c r="A133" s="131"/>
      <c r="C133" s="132"/>
    </row>
    <row r="134" spans="1:3" ht="15.75" customHeight="1">
      <c r="A134" s="131"/>
      <c r="C134" s="132"/>
    </row>
    <row r="135" spans="1:3" ht="15.75" customHeight="1">
      <c r="A135" s="131"/>
      <c r="C135" s="132"/>
    </row>
    <row r="136" spans="1:3" ht="15.75" customHeight="1">
      <c r="A136" s="131"/>
      <c r="C136" s="132"/>
    </row>
    <row r="137" spans="1:3" ht="15.75" customHeight="1">
      <c r="A137" s="131"/>
      <c r="C137" s="132"/>
    </row>
    <row r="138" spans="1:3" ht="15.75" customHeight="1">
      <c r="A138" s="131"/>
      <c r="C138" s="132"/>
    </row>
    <row r="139" spans="1:3" ht="15.75" customHeight="1">
      <c r="A139" s="131"/>
      <c r="C139" s="132"/>
    </row>
    <row r="140" spans="1:3" ht="15.75" customHeight="1">
      <c r="A140" s="131"/>
      <c r="C140" s="132"/>
    </row>
    <row r="141" spans="1:3" ht="15.75" customHeight="1">
      <c r="A141" s="131"/>
      <c r="C141" s="132"/>
    </row>
    <row r="142" spans="1:3" ht="15.75" customHeight="1">
      <c r="A142" s="131"/>
      <c r="C142" s="132"/>
    </row>
    <row r="143" spans="1:3" ht="15.75" customHeight="1">
      <c r="A143" s="131"/>
      <c r="C143" s="132"/>
    </row>
    <row r="144" spans="1:3" ht="15.75" customHeight="1">
      <c r="A144" s="131"/>
      <c r="C144" s="132"/>
    </row>
    <row r="145" spans="1:3" ht="15.75" customHeight="1">
      <c r="A145" s="131"/>
      <c r="C145" s="132"/>
    </row>
    <row r="146" spans="1:3" ht="15.75" customHeight="1">
      <c r="A146" s="131"/>
      <c r="C146" s="132"/>
    </row>
    <row r="147" spans="1:3" ht="15.75" customHeight="1">
      <c r="A147" s="131"/>
      <c r="C147" s="132"/>
    </row>
    <row r="148" spans="1:3" ht="15.75" customHeight="1">
      <c r="A148" s="131"/>
      <c r="C148" s="132"/>
    </row>
    <row r="149" spans="1:3" ht="15.75" customHeight="1">
      <c r="A149" s="131"/>
      <c r="C149" s="132"/>
    </row>
    <row r="150" spans="1:3" ht="15.75" customHeight="1">
      <c r="A150" s="131"/>
      <c r="C150" s="132"/>
    </row>
    <row r="151" spans="1:3" ht="15.75" customHeight="1">
      <c r="A151" s="131"/>
      <c r="C151" s="132"/>
    </row>
    <row r="152" spans="1:3" ht="15.75" customHeight="1">
      <c r="A152" s="131"/>
      <c r="C152" s="132"/>
    </row>
    <row r="153" spans="1:3" ht="15.75" customHeight="1">
      <c r="A153" s="131"/>
      <c r="C153" s="132"/>
    </row>
    <row r="154" spans="1:3" ht="15.75" customHeight="1">
      <c r="A154" s="131"/>
      <c r="C154" s="132"/>
    </row>
    <row r="155" spans="1:3" ht="15.75" customHeight="1">
      <c r="A155" s="131"/>
      <c r="C155" s="132"/>
    </row>
    <row r="156" spans="1:3" ht="15.75" customHeight="1">
      <c r="A156" s="131"/>
      <c r="C156" s="132"/>
    </row>
    <row r="157" spans="1:3" ht="15.75" customHeight="1">
      <c r="A157" s="131"/>
      <c r="C157" s="132"/>
    </row>
    <row r="158" spans="1:3" ht="15.75" customHeight="1">
      <c r="A158" s="131"/>
      <c r="C158" s="132"/>
    </row>
    <row r="159" spans="1:3" ht="15.75" customHeight="1">
      <c r="A159" s="131"/>
      <c r="C159" s="132"/>
    </row>
    <row r="160" spans="1:3" ht="15.75" customHeight="1">
      <c r="A160" s="131"/>
      <c r="C160" s="132"/>
    </row>
    <row r="161" spans="1:3" ht="15.75" customHeight="1">
      <c r="A161" s="131"/>
      <c r="C161" s="132"/>
    </row>
    <row r="162" spans="1:3" ht="15.75" customHeight="1">
      <c r="A162" s="131"/>
      <c r="C162" s="132"/>
    </row>
    <row r="163" spans="1:3" ht="15.75" customHeight="1">
      <c r="A163" s="131"/>
      <c r="C163" s="132"/>
    </row>
    <row r="164" spans="1:3" ht="15.75" customHeight="1">
      <c r="A164" s="131"/>
      <c r="C164" s="132"/>
    </row>
    <row r="165" spans="1:3" ht="15.75" customHeight="1">
      <c r="A165" s="131"/>
      <c r="C165" s="132"/>
    </row>
    <row r="166" spans="1:3" ht="15.75" customHeight="1">
      <c r="A166" s="131"/>
      <c r="C166" s="132"/>
    </row>
    <row r="167" spans="1:3" ht="15.75" customHeight="1">
      <c r="A167" s="131"/>
      <c r="C167" s="132"/>
    </row>
    <row r="168" spans="1:3" ht="15.75" customHeight="1">
      <c r="A168" s="131"/>
      <c r="C168" s="132"/>
    </row>
    <row r="169" spans="1:3" ht="15.75" customHeight="1">
      <c r="A169" s="131"/>
      <c r="C169" s="132"/>
    </row>
    <row r="170" spans="1:3" ht="15.75" customHeight="1">
      <c r="A170" s="131"/>
      <c r="C170" s="132"/>
    </row>
    <row r="171" spans="1:3" ht="15.75" customHeight="1">
      <c r="A171" s="131"/>
      <c r="C171" s="132"/>
    </row>
    <row r="172" spans="1:3" ht="15.75" customHeight="1">
      <c r="A172" s="131"/>
      <c r="C172" s="132"/>
    </row>
    <row r="173" spans="1:3" ht="15.75" customHeight="1">
      <c r="A173" s="131"/>
      <c r="C173" s="132"/>
    </row>
    <row r="174" spans="1:3" ht="15.75" customHeight="1">
      <c r="A174" s="131"/>
      <c r="C174" s="132"/>
    </row>
    <row r="175" spans="1:3" ht="15.75" customHeight="1">
      <c r="A175" s="131"/>
      <c r="C175" s="132"/>
    </row>
    <row r="176" spans="1:3" ht="15.75" customHeight="1">
      <c r="A176" s="131"/>
      <c r="C176" s="132"/>
    </row>
    <row r="177" spans="1:3" ht="15.75" customHeight="1">
      <c r="A177" s="131"/>
      <c r="C177" s="132"/>
    </row>
    <row r="178" spans="1:3" ht="15.75" customHeight="1">
      <c r="A178" s="131"/>
      <c r="C178" s="132"/>
    </row>
    <row r="179" spans="1:3" ht="15.75" customHeight="1">
      <c r="A179" s="131"/>
      <c r="C179" s="132"/>
    </row>
    <row r="180" spans="1:3" ht="15.75" customHeight="1">
      <c r="A180" s="131"/>
      <c r="C180" s="132"/>
    </row>
    <row r="181" spans="1:3" ht="15.75" customHeight="1">
      <c r="A181" s="131"/>
      <c r="C181" s="132"/>
    </row>
    <row r="182" spans="1:3" ht="15.75" customHeight="1">
      <c r="A182" s="131"/>
      <c r="C182" s="132"/>
    </row>
    <row r="183" spans="1:3" ht="15.75" customHeight="1">
      <c r="A183" s="131"/>
      <c r="C183" s="132"/>
    </row>
    <row r="184" spans="1:3" ht="15.75" customHeight="1">
      <c r="A184" s="131"/>
      <c r="C184" s="132"/>
    </row>
    <row r="185" spans="1:3" ht="15.75" customHeight="1">
      <c r="A185" s="131"/>
      <c r="C185" s="132"/>
    </row>
    <row r="186" spans="1:3" ht="15.75" customHeight="1">
      <c r="A186" s="131"/>
      <c r="C186" s="132"/>
    </row>
    <row r="187" spans="1:3" ht="15.75" customHeight="1">
      <c r="A187" s="131"/>
      <c r="C187" s="132"/>
    </row>
    <row r="188" spans="1:3" ht="15.75" customHeight="1">
      <c r="A188" s="131"/>
      <c r="C188" s="132"/>
    </row>
    <row r="189" spans="1:3" ht="15.75" customHeight="1">
      <c r="A189" s="131"/>
      <c r="C189" s="132"/>
    </row>
    <row r="190" spans="1:3" ht="15.75" customHeight="1">
      <c r="A190" s="131"/>
      <c r="C190" s="132"/>
    </row>
    <row r="191" spans="1:3" ht="15.75" customHeight="1">
      <c r="A191" s="131"/>
      <c r="C191" s="132"/>
    </row>
    <row r="192" spans="1:3" ht="15.75" customHeight="1">
      <c r="A192" s="131"/>
      <c r="C192" s="132"/>
    </row>
    <row r="193" spans="1:3" ht="15.75" customHeight="1">
      <c r="A193" s="131"/>
      <c r="C193" s="132"/>
    </row>
    <row r="194" spans="1:3" ht="15.75" customHeight="1">
      <c r="A194" s="131"/>
      <c r="C194" s="132"/>
    </row>
    <row r="195" spans="1:3" ht="15.75" customHeight="1">
      <c r="A195" s="131"/>
      <c r="C195" s="132"/>
    </row>
    <row r="196" spans="1:3" ht="15.75" customHeight="1">
      <c r="A196" s="131"/>
      <c r="C196" s="132"/>
    </row>
    <row r="197" spans="1:3" ht="15.75" customHeight="1">
      <c r="A197" s="131"/>
      <c r="C197" s="132"/>
    </row>
    <row r="198" spans="1:3" ht="15.75" customHeight="1">
      <c r="A198" s="131"/>
      <c r="C198" s="132"/>
    </row>
    <row r="199" spans="1:3" ht="15.75" customHeight="1">
      <c r="A199" s="131"/>
      <c r="C199" s="132"/>
    </row>
    <row r="200" spans="1:3" ht="15.75" customHeight="1">
      <c r="A200" s="131"/>
      <c r="C200" s="132"/>
    </row>
    <row r="201" spans="1:3" ht="15.75" customHeight="1">
      <c r="A201" s="131"/>
      <c r="C201" s="132"/>
    </row>
    <row r="202" spans="1:3" ht="15.75" customHeight="1">
      <c r="A202" s="131"/>
      <c r="C202" s="132"/>
    </row>
    <row r="203" spans="1:3" ht="15.75" customHeight="1">
      <c r="A203" s="131"/>
      <c r="C203" s="132"/>
    </row>
    <row r="204" spans="1:3" ht="15.75" customHeight="1">
      <c r="A204" s="131"/>
      <c r="C204" s="132"/>
    </row>
    <row r="205" spans="1:3" ht="15.75" customHeight="1">
      <c r="A205" s="131"/>
      <c r="C205" s="132"/>
    </row>
    <row r="206" spans="1:3" ht="15.75" customHeight="1">
      <c r="A206" s="131"/>
      <c r="C206" s="132"/>
    </row>
    <row r="207" spans="1:3" ht="15.75" customHeight="1">
      <c r="A207" s="131"/>
      <c r="C207" s="132"/>
    </row>
    <row r="208" spans="1:3" ht="15.75" customHeight="1">
      <c r="A208" s="131"/>
      <c r="C208" s="132"/>
    </row>
    <row r="209" spans="1:3" ht="15.75" customHeight="1">
      <c r="A209" s="131"/>
      <c r="C209" s="132"/>
    </row>
    <row r="210" spans="1:3" ht="15.75" customHeight="1">
      <c r="A210" s="131"/>
      <c r="C210" s="132"/>
    </row>
    <row r="211" spans="1:3" ht="15.75" customHeight="1">
      <c r="A211" s="131"/>
      <c r="C211" s="132"/>
    </row>
    <row r="212" spans="1:3" ht="15.75" customHeight="1">
      <c r="A212" s="131"/>
      <c r="C212" s="132"/>
    </row>
    <row r="213" spans="1:3" ht="15.75" customHeight="1">
      <c r="A213" s="131"/>
      <c r="C213" s="132"/>
    </row>
    <row r="214" spans="1:3" ht="15.75" customHeight="1">
      <c r="A214" s="131"/>
      <c r="C214" s="132"/>
    </row>
    <row r="215" spans="1:3" ht="15.75" customHeight="1">
      <c r="A215" s="131"/>
      <c r="C215" s="132"/>
    </row>
    <row r="216" spans="1:3" ht="15.75" customHeight="1">
      <c r="A216" s="131"/>
      <c r="C216" s="132"/>
    </row>
    <row r="217" spans="1:3" ht="15.75" customHeight="1">
      <c r="A217" s="131"/>
      <c r="C217" s="132"/>
    </row>
    <row r="218" spans="1:3" ht="15.75" customHeight="1">
      <c r="A218" s="131"/>
      <c r="C218" s="132"/>
    </row>
    <row r="219" spans="1:3" ht="15.75" customHeight="1">
      <c r="A219" s="131"/>
      <c r="C219" s="132"/>
    </row>
    <row r="220" spans="1:3" ht="15.75" customHeight="1">
      <c r="A220" s="131"/>
      <c r="C220" s="132"/>
    </row>
    <row r="221" spans="1:3" ht="15.75" customHeight="1">
      <c r="A221" s="131"/>
      <c r="C221" s="132"/>
    </row>
    <row r="222" spans="1:3" ht="15.75" customHeight="1">
      <c r="A222" s="131"/>
      <c r="C222" s="132"/>
    </row>
    <row r="223" spans="1:3" ht="15.75" customHeight="1">
      <c r="A223" s="131"/>
      <c r="C223" s="132"/>
    </row>
    <row r="224" spans="1:3" ht="15.75" customHeight="1">
      <c r="A224" s="131"/>
      <c r="C224" s="132"/>
    </row>
    <row r="225" spans="1:3" ht="15.75" customHeight="1">
      <c r="A225" s="131"/>
      <c r="C225" s="132"/>
    </row>
    <row r="226" spans="1:3" ht="15.75" customHeight="1">
      <c r="A226" s="131"/>
      <c r="C226" s="132"/>
    </row>
    <row r="227" spans="1:3" ht="15.75" customHeight="1">
      <c r="A227" s="131"/>
      <c r="C227" s="132"/>
    </row>
    <row r="228" spans="1:3" ht="15.75" customHeight="1">
      <c r="A228" s="131"/>
      <c r="C228" s="132"/>
    </row>
    <row r="229" spans="1:3" ht="15.75" customHeight="1">
      <c r="A229" s="131"/>
      <c r="C229" s="132"/>
    </row>
    <row r="230" spans="1:3" ht="15.75" customHeight="1">
      <c r="A230" s="131"/>
      <c r="C230" s="132"/>
    </row>
    <row r="231" spans="1:3" ht="15.75" customHeight="1">
      <c r="A231" s="131"/>
      <c r="C231" s="132"/>
    </row>
    <row r="232" spans="1:3" ht="15.75" customHeight="1">
      <c r="A232" s="131"/>
      <c r="C232" s="132"/>
    </row>
    <row r="233" spans="1:3" ht="15.75" customHeight="1">
      <c r="A233" s="131"/>
      <c r="C233" s="132"/>
    </row>
    <row r="234" spans="1:3" ht="15.75" customHeight="1">
      <c r="A234" s="131"/>
      <c r="C234" s="132"/>
    </row>
    <row r="235" spans="1:3" ht="15.75" customHeight="1">
      <c r="A235" s="131"/>
      <c r="C235" s="132"/>
    </row>
    <row r="236" spans="1:3" ht="15.75" customHeight="1">
      <c r="A236" s="131"/>
      <c r="C236" s="132"/>
    </row>
    <row r="237" spans="1:3" ht="15.75" customHeight="1">
      <c r="A237" s="131"/>
      <c r="C237" s="132"/>
    </row>
    <row r="238" spans="1:3" ht="15.75" customHeight="1">
      <c r="A238" s="131"/>
      <c r="C238" s="132"/>
    </row>
    <row r="239" spans="1:3" ht="15.75" customHeight="1">
      <c r="A239" s="131"/>
      <c r="C239" s="132"/>
    </row>
    <row r="240" spans="1:3" ht="15.75" customHeight="1">
      <c r="A240" s="131"/>
      <c r="C240" s="132"/>
    </row>
    <row r="241" spans="1:3" ht="15.75" customHeight="1">
      <c r="A241" s="131"/>
      <c r="C241" s="132"/>
    </row>
    <row r="242" spans="1:3" ht="15.75" customHeight="1">
      <c r="A242" s="131"/>
      <c r="C242" s="132"/>
    </row>
    <row r="243" spans="1:3" ht="15.75" customHeight="1">
      <c r="A243" s="131"/>
      <c r="C243" s="132"/>
    </row>
    <row r="244" spans="1:3" ht="15.75" customHeight="1">
      <c r="A244" s="131"/>
      <c r="C244" s="132"/>
    </row>
    <row r="245" spans="1:3" ht="15.75" customHeight="1">
      <c r="A245" s="131"/>
      <c r="C245" s="132"/>
    </row>
    <row r="246" spans="1:3" ht="15.75" customHeight="1">
      <c r="A246" s="131"/>
      <c r="C246" s="132"/>
    </row>
    <row r="247" spans="1:3" ht="15.75" customHeight="1">
      <c r="A247" s="131"/>
      <c r="C247" s="132"/>
    </row>
    <row r="248" spans="1:3" ht="15.75" customHeight="1">
      <c r="A248" s="131"/>
      <c r="C248" s="132"/>
    </row>
    <row r="249" spans="1:3" ht="15.75" customHeight="1">
      <c r="A249" s="131"/>
      <c r="C249" s="132"/>
    </row>
    <row r="250" spans="1:3" ht="15.75" customHeight="1">
      <c r="A250" s="131"/>
      <c r="C250" s="132"/>
    </row>
    <row r="251" spans="1:3" ht="15.75" customHeight="1">
      <c r="A251" s="131"/>
      <c r="C251" s="132"/>
    </row>
    <row r="252" spans="1:3" ht="15.75" customHeight="1">
      <c r="A252" s="131"/>
      <c r="C252" s="132"/>
    </row>
    <row r="253" spans="1:3" ht="15.75" customHeight="1">
      <c r="A253" s="131"/>
      <c r="C253" s="132"/>
    </row>
    <row r="254" spans="1:3" ht="15.75" customHeight="1">
      <c r="A254" s="131"/>
      <c r="C254" s="132"/>
    </row>
    <row r="255" spans="1:3" ht="15.75" customHeight="1">
      <c r="A255" s="131"/>
      <c r="C255" s="132"/>
    </row>
    <row r="256" spans="1:3" ht="15.75" customHeight="1">
      <c r="A256" s="131"/>
      <c r="C256" s="132"/>
    </row>
    <row r="257" spans="1:3" ht="15.75" customHeight="1">
      <c r="A257" s="131"/>
      <c r="C257" s="132"/>
    </row>
    <row r="258" spans="1:3" ht="15.75" customHeight="1">
      <c r="A258" s="131"/>
      <c r="C258" s="132"/>
    </row>
    <row r="259" spans="1:3" ht="15.75" customHeight="1">
      <c r="A259" s="131"/>
      <c r="C259" s="132"/>
    </row>
    <row r="260" spans="1:3" ht="15.75" customHeight="1">
      <c r="A260" s="131"/>
      <c r="C260" s="132"/>
    </row>
    <row r="261" spans="1:3" ht="15.75" customHeight="1">
      <c r="A261" s="131"/>
      <c r="C261" s="132"/>
    </row>
    <row r="262" spans="1:3" ht="15.75" customHeight="1">
      <c r="A262" s="131"/>
      <c r="C262" s="132"/>
    </row>
    <row r="263" spans="1:3" ht="15.75" customHeight="1">
      <c r="A263" s="131"/>
      <c r="C263" s="132"/>
    </row>
    <row r="264" spans="1:3" ht="15.75" customHeight="1">
      <c r="A264" s="131"/>
      <c r="C264" s="132"/>
    </row>
    <row r="265" spans="1:3" ht="15.75" customHeight="1">
      <c r="A265" s="131"/>
      <c r="C265" s="132"/>
    </row>
    <row r="266" spans="1:3" ht="15.75" customHeight="1">
      <c r="A266" s="131"/>
      <c r="C266" s="132"/>
    </row>
    <row r="267" spans="1:3" ht="15.75" customHeight="1">
      <c r="A267" s="131"/>
      <c r="C267" s="132"/>
    </row>
    <row r="268" spans="1:3" ht="15.75" customHeight="1">
      <c r="A268" s="131"/>
      <c r="C268" s="132"/>
    </row>
    <row r="269" spans="1:3" ht="15.75" customHeight="1">
      <c r="A269" s="131"/>
      <c r="C269" s="132"/>
    </row>
    <row r="270" spans="1:3" ht="15.75" customHeight="1">
      <c r="A270" s="131"/>
      <c r="C270" s="132"/>
    </row>
    <row r="271" spans="1:3" ht="15.75" customHeight="1">
      <c r="A271" s="131"/>
      <c r="C271" s="132"/>
    </row>
    <row r="272" spans="1:3" ht="15.75" customHeight="1">
      <c r="A272" s="131"/>
      <c r="C272" s="132"/>
    </row>
    <row r="273" spans="1:3" ht="15.75" customHeight="1">
      <c r="A273" s="131"/>
      <c r="C273" s="132"/>
    </row>
    <row r="274" spans="1:3" ht="15.75" customHeight="1">
      <c r="A274" s="131"/>
      <c r="C274" s="132"/>
    </row>
    <row r="275" spans="1:3" ht="15.75" customHeight="1">
      <c r="A275" s="131"/>
      <c r="C275" s="132"/>
    </row>
    <row r="276" spans="1:3" ht="15.75" customHeight="1">
      <c r="A276" s="131"/>
      <c r="C276" s="132"/>
    </row>
    <row r="277" spans="1:3" ht="15.75" customHeight="1">
      <c r="A277" s="131"/>
      <c r="C277" s="132"/>
    </row>
    <row r="278" spans="1:3" ht="15.75" customHeight="1">
      <c r="A278" s="131"/>
      <c r="C278" s="132"/>
    </row>
    <row r="279" spans="1:3" ht="15.75" customHeight="1">
      <c r="A279" s="131"/>
      <c r="C279" s="132"/>
    </row>
    <row r="280" spans="1:3" ht="15.75" customHeight="1">
      <c r="A280" s="131"/>
      <c r="C280" s="132"/>
    </row>
    <row r="281" spans="1:3" ht="15.75" customHeight="1">
      <c r="A281" s="131"/>
      <c r="C281" s="132"/>
    </row>
    <row r="282" spans="1:3" ht="15.75" customHeight="1">
      <c r="A282" s="131"/>
      <c r="C282" s="132"/>
    </row>
    <row r="283" spans="1:3" ht="15.75" customHeight="1">
      <c r="A283" s="131"/>
      <c r="C283" s="132"/>
    </row>
    <row r="284" spans="1:3" ht="15.75" customHeight="1">
      <c r="A284" s="131"/>
      <c r="C284" s="132"/>
    </row>
    <row r="285" spans="1:3" ht="15.75" customHeight="1">
      <c r="A285" s="131"/>
      <c r="C285" s="132"/>
    </row>
    <row r="286" spans="1:3" ht="15.75" customHeight="1">
      <c r="A286" s="131"/>
      <c r="C286" s="132"/>
    </row>
    <row r="287" spans="1:3" ht="15.75" customHeight="1">
      <c r="A287" s="131"/>
      <c r="C287" s="132"/>
    </row>
    <row r="288" spans="1:3" ht="15.75" customHeight="1">
      <c r="A288" s="131"/>
      <c r="C288" s="132"/>
    </row>
    <row r="289" spans="1:3" ht="15.75" customHeight="1">
      <c r="A289" s="131"/>
      <c r="C289" s="132"/>
    </row>
    <row r="290" spans="1:3" ht="15.75" customHeight="1">
      <c r="A290" s="131"/>
      <c r="C290" s="132"/>
    </row>
    <row r="291" spans="1:3" ht="15.75" customHeight="1">
      <c r="A291" s="131"/>
      <c r="C291" s="132"/>
    </row>
    <row r="292" spans="1:3" ht="15.75" customHeight="1">
      <c r="A292" s="131"/>
      <c r="C292" s="132"/>
    </row>
    <row r="293" spans="1:3" ht="15.75" customHeight="1">
      <c r="A293" s="131"/>
      <c r="C293" s="132"/>
    </row>
    <row r="294" spans="1:3" ht="15.75" customHeight="1">
      <c r="A294" s="131"/>
      <c r="C294" s="132"/>
    </row>
    <row r="295" spans="1:3" ht="15.75" customHeight="1">
      <c r="A295" s="131"/>
      <c r="C295" s="132"/>
    </row>
    <row r="296" spans="1:3" ht="15.75" customHeight="1">
      <c r="A296" s="131"/>
      <c r="C296" s="132"/>
    </row>
    <row r="297" spans="1:3" ht="15.75" customHeight="1">
      <c r="A297" s="131"/>
      <c r="C297" s="132"/>
    </row>
    <row r="298" spans="1:3" ht="15.75" customHeight="1">
      <c r="A298" s="131"/>
      <c r="C298" s="132"/>
    </row>
    <row r="299" spans="1:3" ht="15.75" customHeight="1">
      <c r="A299" s="131"/>
      <c r="C299" s="132"/>
    </row>
    <row r="300" spans="1:3" ht="15.75" customHeight="1">
      <c r="A300" s="131"/>
      <c r="C300" s="132"/>
    </row>
    <row r="301" spans="1:3" ht="15.75" customHeight="1">
      <c r="A301" s="131"/>
      <c r="C301" s="132"/>
    </row>
    <row r="302" spans="1:3" ht="15.75" customHeight="1">
      <c r="A302" s="131"/>
      <c r="C302" s="132"/>
    </row>
    <row r="303" spans="1:3" ht="15.75" customHeight="1">
      <c r="A303" s="131"/>
      <c r="C303" s="132"/>
    </row>
    <row r="304" spans="1:3" ht="15.75" customHeight="1">
      <c r="A304" s="131"/>
      <c r="C304" s="132"/>
    </row>
    <row r="305" spans="1:3" ht="15.75" customHeight="1">
      <c r="A305" s="131"/>
      <c r="C305" s="132"/>
    </row>
    <row r="306" spans="1:3" ht="15.75" customHeight="1">
      <c r="A306" s="131"/>
      <c r="C306" s="132"/>
    </row>
    <row r="307" spans="1:3" ht="15.75" customHeight="1">
      <c r="A307" s="131"/>
      <c r="C307" s="132"/>
    </row>
    <row r="308" spans="1:3" ht="15.75" customHeight="1">
      <c r="A308" s="131"/>
      <c r="C308" s="132"/>
    </row>
    <row r="309" spans="1:3" ht="15.75" customHeight="1">
      <c r="A309" s="131"/>
      <c r="C309" s="132"/>
    </row>
    <row r="310" spans="1:3" ht="15.75" customHeight="1">
      <c r="A310" s="131"/>
      <c r="C310" s="132"/>
    </row>
    <row r="311" spans="1:3" ht="15.75" customHeight="1">
      <c r="A311" s="131"/>
      <c r="C311" s="132"/>
    </row>
    <row r="312" spans="1:3" ht="15.75" customHeight="1">
      <c r="A312" s="131"/>
      <c r="C312" s="132"/>
    </row>
    <row r="313" spans="1:3" ht="15.75" customHeight="1">
      <c r="A313" s="131"/>
      <c r="C313" s="132"/>
    </row>
    <row r="314" spans="1:3" ht="15.75" customHeight="1">
      <c r="A314" s="131"/>
      <c r="C314" s="132"/>
    </row>
    <row r="315" spans="1:3" ht="15.75" customHeight="1">
      <c r="A315" s="131"/>
      <c r="C315" s="132"/>
    </row>
    <row r="316" spans="1:3" ht="15.75" customHeight="1">
      <c r="A316" s="131"/>
      <c r="C316" s="132"/>
    </row>
    <row r="317" spans="1:3" ht="15.75" customHeight="1">
      <c r="A317" s="131"/>
      <c r="C317" s="132"/>
    </row>
    <row r="318" spans="1:3" ht="15.75" customHeight="1">
      <c r="A318" s="131"/>
      <c r="C318" s="132"/>
    </row>
    <row r="319" spans="1:3" ht="15.75" customHeight="1">
      <c r="A319" s="131"/>
      <c r="C319" s="132"/>
    </row>
    <row r="320" spans="1:3" ht="15.75" customHeight="1">
      <c r="A320" s="131"/>
      <c r="C320" s="132"/>
    </row>
    <row r="321" spans="1:3" ht="15.75" customHeight="1">
      <c r="A321" s="131"/>
      <c r="C321" s="132"/>
    </row>
    <row r="322" spans="1:3" ht="15.75" customHeight="1">
      <c r="A322" s="131"/>
      <c r="C322" s="132"/>
    </row>
    <row r="323" spans="1:3" ht="15.75" customHeight="1">
      <c r="A323" s="131"/>
      <c r="C323" s="132"/>
    </row>
    <row r="324" spans="1:3" ht="15.75" customHeight="1">
      <c r="A324" s="131"/>
      <c r="C324" s="132"/>
    </row>
    <row r="325" spans="1:3" ht="15.75" customHeight="1">
      <c r="A325" s="131"/>
      <c r="C325" s="132"/>
    </row>
    <row r="326" spans="1:3" ht="15.75" customHeight="1">
      <c r="A326" s="131"/>
      <c r="C326" s="132"/>
    </row>
    <row r="327" spans="1:3" ht="15.75" customHeight="1">
      <c r="A327" s="131"/>
      <c r="C327" s="132"/>
    </row>
    <row r="328" spans="1:3" ht="15.75" customHeight="1">
      <c r="A328" s="131"/>
      <c r="C328" s="132"/>
    </row>
    <row r="329" spans="1:3" ht="15.75" customHeight="1">
      <c r="A329" s="131"/>
      <c r="C329" s="132"/>
    </row>
    <row r="330" spans="1:3" ht="15.75" customHeight="1">
      <c r="A330" s="131"/>
      <c r="C330" s="132"/>
    </row>
    <row r="331" spans="1:3" ht="15.75" customHeight="1">
      <c r="A331" s="131"/>
      <c r="C331" s="132"/>
    </row>
    <row r="332" spans="1:3" ht="15.75" customHeight="1">
      <c r="A332" s="131"/>
      <c r="C332" s="132"/>
    </row>
    <row r="333" spans="1:3" ht="15.75" customHeight="1">
      <c r="A333" s="131"/>
      <c r="C333" s="132"/>
    </row>
    <row r="334" spans="1:3" ht="15.75" customHeight="1">
      <c r="A334" s="131"/>
      <c r="C334" s="132"/>
    </row>
    <row r="335" spans="1:3" ht="15.75" customHeight="1">
      <c r="A335" s="131"/>
      <c r="C335" s="132"/>
    </row>
    <row r="336" spans="1:3" ht="15.75" customHeight="1">
      <c r="A336" s="131"/>
      <c r="C336" s="132"/>
    </row>
    <row r="337" spans="1:3" ht="15.75" customHeight="1">
      <c r="A337" s="131"/>
      <c r="C337" s="132"/>
    </row>
    <row r="338" spans="1:3" ht="15.75" customHeight="1">
      <c r="A338" s="131"/>
      <c r="C338" s="132"/>
    </row>
    <row r="339" spans="1:3" ht="15.75" customHeight="1">
      <c r="A339" s="131"/>
      <c r="C339" s="132"/>
    </row>
    <row r="340" spans="1:3" ht="15.75" customHeight="1">
      <c r="A340" s="131"/>
      <c r="C340" s="132"/>
    </row>
    <row r="341" spans="1:3" ht="15.75" customHeight="1">
      <c r="A341" s="131"/>
      <c r="C341" s="132"/>
    </row>
    <row r="342" spans="1:3" ht="15.75" customHeight="1">
      <c r="A342" s="131"/>
      <c r="C342" s="132"/>
    </row>
    <row r="343" spans="1:3" ht="15.75" customHeight="1">
      <c r="A343" s="131"/>
      <c r="C343" s="132"/>
    </row>
    <row r="344" spans="1:3" ht="15.75" customHeight="1">
      <c r="A344" s="131"/>
      <c r="C344" s="132"/>
    </row>
    <row r="345" spans="1:3" ht="15.75" customHeight="1">
      <c r="A345" s="131"/>
      <c r="C345" s="132"/>
    </row>
    <row r="346" spans="1:3" ht="15.75" customHeight="1">
      <c r="A346" s="131"/>
      <c r="C346" s="132"/>
    </row>
    <row r="347" spans="1:3" ht="15.75" customHeight="1">
      <c r="A347" s="131"/>
      <c r="C347" s="132"/>
    </row>
    <row r="348" spans="1:3" ht="15.75" customHeight="1">
      <c r="A348" s="131"/>
      <c r="C348" s="132"/>
    </row>
    <row r="349" spans="1:3" ht="15.75" customHeight="1">
      <c r="A349" s="131"/>
      <c r="C349" s="132"/>
    </row>
    <row r="350" spans="1:3" ht="15.75" customHeight="1">
      <c r="A350" s="131"/>
      <c r="C350" s="132"/>
    </row>
    <row r="351" spans="1:3" ht="15.75" customHeight="1">
      <c r="A351" s="131"/>
      <c r="C351" s="132"/>
    </row>
    <row r="352" spans="1:3" ht="15.75" customHeight="1">
      <c r="A352" s="131"/>
      <c r="C352" s="132"/>
    </row>
    <row r="353" spans="1:3" ht="15.75" customHeight="1">
      <c r="A353" s="131"/>
      <c r="C353" s="132"/>
    </row>
    <row r="354" spans="1:3" ht="15.75" customHeight="1">
      <c r="A354" s="131"/>
      <c r="C354" s="132"/>
    </row>
    <row r="355" spans="1:3" ht="15.75" customHeight="1">
      <c r="A355" s="131"/>
      <c r="C355" s="132"/>
    </row>
    <row r="356" spans="1:3" ht="15.75" customHeight="1">
      <c r="A356" s="131"/>
      <c r="C356" s="132"/>
    </row>
    <row r="357" spans="1:3" ht="15.75" customHeight="1">
      <c r="A357" s="131"/>
      <c r="C357" s="132"/>
    </row>
    <row r="358" spans="1:3" ht="15.75" customHeight="1">
      <c r="A358" s="131"/>
      <c r="C358" s="132"/>
    </row>
    <row r="359" spans="1:3" ht="15.75" customHeight="1">
      <c r="A359" s="131"/>
      <c r="C359" s="132"/>
    </row>
    <row r="360" spans="1:3" ht="15.75" customHeight="1">
      <c r="A360" s="131"/>
      <c r="C360" s="132"/>
    </row>
    <row r="361" spans="1:3" ht="15.75" customHeight="1">
      <c r="A361" s="131"/>
      <c r="C361" s="132"/>
    </row>
    <row r="362" spans="1:3" ht="15.75" customHeight="1">
      <c r="A362" s="131"/>
      <c r="C362" s="132"/>
    </row>
    <row r="363" spans="1:3" ht="15.75" customHeight="1">
      <c r="A363" s="131"/>
      <c r="C363" s="132"/>
    </row>
    <row r="364" spans="1:3" ht="15.75" customHeight="1">
      <c r="A364" s="131"/>
      <c r="C364" s="132"/>
    </row>
    <row r="365" spans="1:3" ht="15.75" customHeight="1">
      <c r="A365" s="131"/>
      <c r="C365" s="132"/>
    </row>
    <row r="366" spans="1:3" ht="15.75" customHeight="1">
      <c r="A366" s="131"/>
      <c r="C366" s="132"/>
    </row>
    <row r="367" spans="1:3" ht="15.75" customHeight="1">
      <c r="A367" s="131"/>
      <c r="C367" s="132"/>
    </row>
    <row r="368" spans="1:3" ht="15.75" customHeight="1">
      <c r="A368" s="131"/>
      <c r="C368" s="132"/>
    </row>
    <row r="369" spans="1:3" ht="15.75" customHeight="1">
      <c r="A369" s="131"/>
      <c r="C369" s="132"/>
    </row>
    <row r="370" spans="1:3" ht="15.75" customHeight="1">
      <c r="A370" s="131"/>
      <c r="C370" s="132"/>
    </row>
    <row r="371" spans="1:3" ht="15.75" customHeight="1">
      <c r="A371" s="131"/>
      <c r="C371" s="132"/>
    </row>
    <row r="372" spans="1:3" ht="15.75" customHeight="1">
      <c r="A372" s="131"/>
      <c r="C372" s="132"/>
    </row>
    <row r="373" spans="1:3" ht="15.75" customHeight="1">
      <c r="A373" s="131"/>
      <c r="C373" s="132"/>
    </row>
    <row r="374" spans="1:3" ht="15.75" customHeight="1">
      <c r="A374" s="131"/>
      <c r="C374" s="132"/>
    </row>
    <row r="375" spans="1:3" ht="15.75" customHeight="1">
      <c r="A375" s="131"/>
      <c r="C375" s="132"/>
    </row>
    <row r="376" spans="1:3" ht="15.75" customHeight="1">
      <c r="A376" s="131"/>
      <c r="C376" s="132"/>
    </row>
    <row r="377" spans="1:3" ht="15.75" customHeight="1">
      <c r="A377" s="131"/>
      <c r="C377" s="132"/>
    </row>
    <row r="378" spans="1:3" ht="15.75" customHeight="1">
      <c r="A378" s="131"/>
      <c r="C378" s="132"/>
    </row>
    <row r="379" spans="1:3" ht="15.75" customHeight="1">
      <c r="A379" s="131"/>
      <c r="C379" s="132"/>
    </row>
    <row r="380" spans="1:3" ht="15.75" customHeight="1">
      <c r="A380" s="131"/>
      <c r="C380" s="132"/>
    </row>
    <row r="381" spans="1:3" ht="15.75" customHeight="1">
      <c r="A381" s="131"/>
      <c r="C381" s="132"/>
    </row>
    <row r="382" spans="1:3" ht="15.75" customHeight="1">
      <c r="A382" s="131"/>
      <c r="C382" s="132"/>
    </row>
    <row r="383" spans="1:3" ht="15.75" customHeight="1">
      <c r="A383" s="131"/>
      <c r="C383" s="132"/>
    </row>
    <row r="384" spans="1:3" ht="15.75" customHeight="1">
      <c r="A384" s="131"/>
      <c r="C384" s="132"/>
    </row>
    <row r="385" spans="1:3" ht="15.75" customHeight="1">
      <c r="A385" s="131"/>
      <c r="C385" s="132"/>
    </row>
    <row r="386" spans="1:3" ht="15.75" customHeight="1">
      <c r="A386" s="131"/>
      <c r="C386" s="132"/>
    </row>
    <row r="387" spans="1:3" ht="15.75" customHeight="1">
      <c r="A387" s="131"/>
      <c r="C387" s="132"/>
    </row>
    <row r="388" spans="1:3" ht="15.75" customHeight="1">
      <c r="A388" s="131"/>
      <c r="C388" s="132"/>
    </row>
    <row r="389" spans="1:3" ht="15.75" customHeight="1">
      <c r="A389" s="131"/>
      <c r="C389" s="132"/>
    </row>
    <row r="390" spans="1:3" ht="15.75" customHeight="1">
      <c r="A390" s="131"/>
      <c r="C390" s="132"/>
    </row>
    <row r="391" spans="1:3" ht="15.75" customHeight="1">
      <c r="A391" s="131"/>
      <c r="C391" s="132"/>
    </row>
    <row r="392" spans="1:3" ht="15.75" customHeight="1">
      <c r="A392" s="131"/>
      <c r="C392" s="132"/>
    </row>
    <row r="393" spans="1:3" ht="15.75" customHeight="1">
      <c r="A393" s="131"/>
      <c r="C393" s="132"/>
    </row>
    <row r="394" spans="1:3" ht="15.75" customHeight="1">
      <c r="A394" s="131"/>
      <c r="C394" s="132"/>
    </row>
    <row r="395" spans="1:3" ht="15.75" customHeight="1">
      <c r="A395" s="131"/>
      <c r="C395" s="132"/>
    </row>
    <row r="396" spans="1:3" ht="15.75" customHeight="1">
      <c r="A396" s="131"/>
      <c r="C396" s="132"/>
    </row>
    <row r="397" spans="1:3" ht="15.75" customHeight="1">
      <c r="A397" s="131"/>
      <c r="C397" s="132"/>
    </row>
    <row r="398" spans="1:3" ht="15.75" customHeight="1">
      <c r="A398" s="131"/>
      <c r="C398" s="132"/>
    </row>
    <row r="399" spans="1:3" ht="15.75" customHeight="1">
      <c r="A399" s="131"/>
      <c r="C399" s="132"/>
    </row>
    <row r="400" spans="1:3" ht="15.75" customHeight="1">
      <c r="A400" s="131"/>
      <c r="C400" s="132"/>
    </row>
    <row r="401" spans="1:3" ht="15.75" customHeight="1">
      <c r="A401" s="131"/>
      <c r="C401" s="132"/>
    </row>
    <row r="402" spans="1:3" ht="15.75" customHeight="1">
      <c r="A402" s="131"/>
      <c r="C402" s="132"/>
    </row>
    <row r="403" spans="1:3" ht="15.75" customHeight="1">
      <c r="A403" s="131"/>
      <c r="C403" s="132"/>
    </row>
    <row r="404" spans="1:3" ht="15.75" customHeight="1">
      <c r="A404" s="131"/>
      <c r="C404" s="132"/>
    </row>
    <row r="405" spans="1:3" ht="15.75" customHeight="1">
      <c r="A405" s="131"/>
      <c r="C405" s="132"/>
    </row>
    <row r="406" spans="1:3" ht="15.75" customHeight="1">
      <c r="A406" s="131"/>
      <c r="C406" s="132"/>
    </row>
    <row r="407" spans="1:3" ht="15.75" customHeight="1">
      <c r="A407" s="131"/>
      <c r="C407" s="132"/>
    </row>
    <row r="408" spans="1:3" ht="15.75" customHeight="1">
      <c r="A408" s="131"/>
      <c r="C408" s="132"/>
    </row>
    <row r="409" spans="1:3" ht="15.75" customHeight="1">
      <c r="A409" s="131"/>
      <c r="C409" s="132"/>
    </row>
    <row r="410" spans="1:3" ht="15.75" customHeight="1">
      <c r="A410" s="131"/>
      <c r="C410" s="132"/>
    </row>
    <row r="411" spans="1:3" ht="15.75" customHeight="1">
      <c r="A411" s="131"/>
      <c r="C411" s="132"/>
    </row>
    <row r="412" spans="1:3" ht="15.75" customHeight="1">
      <c r="A412" s="131"/>
      <c r="C412" s="132"/>
    </row>
    <row r="413" spans="1:3" ht="15.75" customHeight="1">
      <c r="A413" s="131"/>
      <c r="C413" s="132"/>
    </row>
    <row r="414" spans="1:3" ht="15.75" customHeight="1">
      <c r="A414" s="131"/>
      <c r="C414" s="132"/>
    </row>
    <row r="415" spans="1:3" ht="15.75" customHeight="1">
      <c r="A415" s="131"/>
      <c r="C415" s="132"/>
    </row>
    <row r="416" spans="1:3" ht="15.75" customHeight="1">
      <c r="A416" s="131"/>
      <c r="C416" s="132"/>
    </row>
    <row r="417" spans="1:3" ht="15.75" customHeight="1">
      <c r="A417" s="131"/>
      <c r="C417" s="132"/>
    </row>
    <row r="418" spans="1:3" ht="15.75" customHeight="1">
      <c r="A418" s="131"/>
      <c r="C418" s="132"/>
    </row>
    <row r="419" spans="1:3" ht="15.75" customHeight="1">
      <c r="A419" s="131"/>
      <c r="C419" s="132"/>
    </row>
    <row r="420" spans="1:3" ht="15.75" customHeight="1">
      <c r="A420" s="131"/>
      <c r="C420" s="132"/>
    </row>
    <row r="421" spans="1:3" ht="15.75" customHeight="1">
      <c r="A421" s="131"/>
      <c r="C421" s="132"/>
    </row>
    <row r="422" spans="1:3" ht="15.75" customHeight="1">
      <c r="A422" s="131"/>
      <c r="C422" s="132"/>
    </row>
    <row r="423" spans="1:3" ht="15.75" customHeight="1">
      <c r="A423" s="131"/>
      <c r="C423" s="132"/>
    </row>
    <row r="424" spans="1:3" ht="15.75" customHeight="1">
      <c r="A424" s="131"/>
      <c r="C424" s="132"/>
    </row>
    <row r="425" spans="1:3" ht="15.75" customHeight="1">
      <c r="A425" s="131"/>
      <c r="C425" s="132"/>
    </row>
    <row r="426" spans="1:3" ht="15.75" customHeight="1">
      <c r="A426" s="131"/>
      <c r="C426" s="132"/>
    </row>
    <row r="427" spans="1:3" ht="15.75" customHeight="1">
      <c r="A427" s="131"/>
      <c r="C427" s="132"/>
    </row>
    <row r="428" spans="1:3" ht="15.75" customHeight="1">
      <c r="A428" s="131"/>
      <c r="C428" s="132"/>
    </row>
    <row r="429" spans="1:3" ht="15.75" customHeight="1">
      <c r="A429" s="131"/>
      <c r="C429" s="132"/>
    </row>
    <row r="430" spans="1:3" ht="15.75" customHeight="1">
      <c r="A430" s="131"/>
      <c r="C430" s="132"/>
    </row>
    <row r="431" spans="1:3" ht="15.75" customHeight="1">
      <c r="A431" s="131"/>
      <c r="C431" s="132"/>
    </row>
    <row r="432" spans="1:3" ht="15.75" customHeight="1">
      <c r="A432" s="131"/>
      <c r="C432" s="132"/>
    </row>
    <row r="433" spans="1:3" ht="15.75" customHeight="1">
      <c r="A433" s="131"/>
      <c r="C433" s="132"/>
    </row>
    <row r="434" spans="1:3" ht="15.75" customHeight="1">
      <c r="A434" s="131"/>
      <c r="C434" s="132"/>
    </row>
    <row r="435" spans="1:3" ht="15.75" customHeight="1">
      <c r="A435" s="131"/>
      <c r="C435" s="132"/>
    </row>
    <row r="436" spans="1:3" ht="15.75" customHeight="1">
      <c r="A436" s="131"/>
      <c r="C436" s="132"/>
    </row>
    <row r="437" spans="1:3" ht="15.75" customHeight="1">
      <c r="A437" s="131"/>
      <c r="C437" s="132"/>
    </row>
    <row r="438" spans="1:3" ht="15.75" customHeight="1">
      <c r="A438" s="131"/>
      <c r="C438" s="132"/>
    </row>
    <row r="439" spans="1:3" ht="15.75" customHeight="1">
      <c r="A439" s="131"/>
      <c r="C439" s="132"/>
    </row>
    <row r="440" spans="1:3" ht="15.75" customHeight="1">
      <c r="A440" s="131"/>
      <c r="C440" s="132"/>
    </row>
    <row r="441" spans="1:3" ht="15.75" customHeight="1">
      <c r="A441" s="131"/>
      <c r="C441" s="132"/>
    </row>
    <row r="442" spans="1:3" ht="15.75" customHeight="1">
      <c r="A442" s="131"/>
      <c r="C442" s="132"/>
    </row>
    <row r="443" spans="1:3" ht="15.75" customHeight="1">
      <c r="A443" s="131"/>
      <c r="C443" s="132"/>
    </row>
    <row r="444" spans="1:3" ht="15.75" customHeight="1">
      <c r="A444" s="131"/>
      <c r="C444" s="132"/>
    </row>
    <row r="445" spans="1:3" ht="15.75" customHeight="1">
      <c r="A445" s="131"/>
      <c r="C445" s="132"/>
    </row>
    <row r="446" spans="1:3" ht="15.75" customHeight="1">
      <c r="A446" s="131"/>
      <c r="C446" s="132"/>
    </row>
    <row r="447" spans="1:3" ht="15.75" customHeight="1">
      <c r="A447" s="131"/>
      <c r="C447" s="132"/>
    </row>
    <row r="448" spans="1:3" ht="15.75" customHeight="1">
      <c r="A448" s="131"/>
      <c r="C448" s="132"/>
    </row>
    <row r="449" spans="1:3" ht="15.75" customHeight="1">
      <c r="A449" s="131"/>
      <c r="C449" s="132"/>
    </row>
    <row r="450" spans="1:3" ht="15.75" customHeight="1">
      <c r="A450" s="131"/>
      <c r="C450" s="132"/>
    </row>
    <row r="451" spans="1:3" ht="15.75" customHeight="1">
      <c r="A451" s="131"/>
      <c r="C451" s="132"/>
    </row>
    <row r="452" spans="1:3" ht="15.75" customHeight="1">
      <c r="A452" s="131"/>
      <c r="C452" s="132"/>
    </row>
    <row r="453" spans="1:3" ht="15.75" customHeight="1">
      <c r="A453" s="131"/>
      <c r="C453" s="132"/>
    </row>
    <row r="454" spans="1:3" ht="15.75" customHeight="1">
      <c r="A454" s="131"/>
      <c r="C454" s="132"/>
    </row>
    <row r="455" spans="1:3" ht="15.75" customHeight="1">
      <c r="A455" s="131"/>
      <c r="C455" s="132"/>
    </row>
    <row r="456" spans="1:3" ht="15.75" customHeight="1">
      <c r="A456" s="131"/>
      <c r="C456" s="132"/>
    </row>
    <row r="457" spans="1:3" ht="15.75" customHeight="1">
      <c r="A457" s="131"/>
      <c r="C457" s="132"/>
    </row>
    <row r="458" spans="1:3" ht="15.75" customHeight="1">
      <c r="A458" s="131"/>
      <c r="C458" s="132"/>
    </row>
    <row r="459" spans="1:3" ht="15.75" customHeight="1">
      <c r="A459" s="131"/>
      <c r="C459" s="132"/>
    </row>
    <row r="460" spans="1:3" ht="15.75" customHeight="1">
      <c r="A460" s="131"/>
      <c r="C460" s="132"/>
    </row>
    <row r="461" spans="1:3" ht="15.75" customHeight="1">
      <c r="A461" s="131"/>
      <c r="C461" s="132"/>
    </row>
    <row r="462" spans="1:3" ht="15.75" customHeight="1">
      <c r="A462" s="131"/>
      <c r="C462" s="132"/>
    </row>
    <row r="463" spans="1:3" ht="15.75" customHeight="1">
      <c r="A463" s="131"/>
      <c r="C463" s="132"/>
    </row>
    <row r="464" spans="1:3" ht="15.75" customHeight="1">
      <c r="A464" s="131"/>
      <c r="C464" s="132"/>
    </row>
    <row r="465" spans="1:3" ht="15.75" customHeight="1">
      <c r="A465" s="131"/>
      <c r="C465" s="132"/>
    </row>
    <row r="466" spans="1:3" ht="15.75" customHeight="1">
      <c r="A466" s="131"/>
      <c r="C466" s="132"/>
    </row>
    <row r="467" spans="1:3" ht="15.75" customHeight="1">
      <c r="A467" s="131"/>
      <c r="C467" s="132"/>
    </row>
    <row r="468" spans="1:3" ht="15.75" customHeight="1">
      <c r="A468" s="131"/>
      <c r="C468" s="132"/>
    </row>
    <row r="469" spans="1:3" ht="15.75" customHeight="1">
      <c r="A469" s="131"/>
      <c r="C469" s="132"/>
    </row>
    <row r="470" spans="1:3" ht="15.75" customHeight="1">
      <c r="A470" s="131"/>
      <c r="C470" s="132"/>
    </row>
    <row r="471" spans="1:3" ht="15.75" customHeight="1">
      <c r="A471" s="131"/>
      <c r="C471" s="132"/>
    </row>
    <row r="472" spans="1:3" ht="15.75" customHeight="1">
      <c r="A472" s="131"/>
      <c r="C472" s="132"/>
    </row>
    <row r="473" spans="1:3" ht="15.75" customHeight="1">
      <c r="A473" s="131"/>
      <c r="C473" s="132"/>
    </row>
    <row r="474" spans="1:3" ht="15.75" customHeight="1">
      <c r="A474" s="131"/>
      <c r="C474" s="132"/>
    </row>
    <row r="475" spans="1:3" ht="15.75" customHeight="1">
      <c r="A475" s="131"/>
      <c r="C475" s="132"/>
    </row>
    <row r="476" spans="1:3" ht="15.75" customHeight="1">
      <c r="A476" s="131"/>
      <c r="C476" s="132"/>
    </row>
    <row r="477" spans="1:3" ht="15.75" customHeight="1">
      <c r="A477" s="131"/>
      <c r="C477" s="132"/>
    </row>
    <row r="478" spans="1:3" ht="15.75" customHeight="1">
      <c r="A478" s="131"/>
      <c r="C478" s="132"/>
    </row>
    <row r="479" spans="1:3" ht="15.75" customHeight="1">
      <c r="A479" s="131"/>
      <c r="C479" s="132"/>
    </row>
    <row r="480" spans="1:3" ht="15.75" customHeight="1">
      <c r="A480" s="131"/>
      <c r="C480" s="132"/>
    </row>
    <row r="481" spans="1:3" ht="15.75" customHeight="1">
      <c r="A481" s="131"/>
      <c r="C481" s="132"/>
    </row>
    <row r="482" spans="1:3" ht="15.75" customHeight="1">
      <c r="A482" s="131"/>
      <c r="C482" s="132"/>
    </row>
    <row r="483" spans="1:3" ht="15.75" customHeight="1">
      <c r="A483" s="131"/>
      <c r="C483" s="132"/>
    </row>
    <row r="484" spans="1:3" ht="15.75" customHeight="1">
      <c r="A484" s="131"/>
      <c r="C484" s="132"/>
    </row>
    <row r="485" spans="1:3" ht="15.75" customHeight="1">
      <c r="A485" s="131"/>
      <c r="C485" s="132"/>
    </row>
    <row r="486" spans="1:3" ht="15.75" customHeight="1">
      <c r="A486" s="131"/>
      <c r="C486" s="132"/>
    </row>
    <row r="487" spans="1:3" ht="15.75" customHeight="1">
      <c r="A487" s="131"/>
      <c r="C487" s="132"/>
    </row>
    <row r="488" spans="1:3" ht="15.75" customHeight="1">
      <c r="A488" s="131"/>
      <c r="C488" s="132"/>
    </row>
    <row r="489" spans="1:3" ht="15.75" customHeight="1">
      <c r="A489" s="131"/>
      <c r="C489" s="132"/>
    </row>
    <row r="490" spans="1:3" ht="15.75" customHeight="1">
      <c r="A490" s="131"/>
      <c r="C490" s="132"/>
    </row>
    <row r="491" spans="1:3" ht="15.75" customHeight="1">
      <c r="A491" s="131"/>
      <c r="C491" s="132"/>
    </row>
    <row r="492" spans="1:3" ht="15.75" customHeight="1">
      <c r="A492" s="131"/>
      <c r="C492" s="132"/>
    </row>
    <row r="493" spans="1:3" ht="15.75" customHeight="1">
      <c r="A493" s="131"/>
      <c r="C493" s="132"/>
    </row>
    <row r="494" spans="1:3" ht="15.75" customHeight="1">
      <c r="A494" s="131"/>
      <c r="C494" s="132"/>
    </row>
    <row r="495" spans="1:3" ht="15.75" customHeight="1">
      <c r="A495" s="131"/>
      <c r="C495" s="132"/>
    </row>
    <row r="496" spans="1:3" ht="15.75" customHeight="1">
      <c r="A496" s="131"/>
      <c r="C496" s="132"/>
    </row>
    <row r="497" spans="1:3" ht="15.75" customHeight="1">
      <c r="A497" s="131"/>
      <c r="C497" s="132"/>
    </row>
    <row r="498" spans="1:3" ht="15.75" customHeight="1">
      <c r="A498" s="131"/>
      <c r="C498" s="132"/>
    </row>
    <row r="499" spans="1:3" ht="15.75" customHeight="1">
      <c r="A499" s="131"/>
      <c r="C499" s="132"/>
    </row>
    <row r="500" spans="1:3" ht="15.75" customHeight="1">
      <c r="A500" s="131"/>
      <c r="C500" s="132"/>
    </row>
    <row r="501" spans="1:3" ht="15.75" customHeight="1">
      <c r="A501" s="131"/>
      <c r="C501" s="132"/>
    </row>
    <row r="502" spans="1:3" ht="15.75" customHeight="1">
      <c r="A502" s="131"/>
      <c r="C502" s="132"/>
    </row>
    <row r="503" spans="1:3" ht="15.75" customHeight="1">
      <c r="A503" s="131"/>
      <c r="C503" s="132"/>
    </row>
    <row r="504" spans="1:3" ht="15.75" customHeight="1">
      <c r="A504" s="131"/>
      <c r="C504" s="132"/>
    </row>
    <row r="505" spans="1:3" ht="15.75" customHeight="1">
      <c r="A505" s="131"/>
      <c r="C505" s="132"/>
    </row>
    <row r="506" spans="1:3" ht="15.75" customHeight="1">
      <c r="A506" s="131"/>
      <c r="C506" s="132"/>
    </row>
    <row r="507" spans="1:3" ht="15.75" customHeight="1">
      <c r="A507" s="131"/>
      <c r="C507" s="132"/>
    </row>
    <row r="508" spans="1:3" ht="15.75" customHeight="1">
      <c r="A508" s="131"/>
      <c r="C508" s="132"/>
    </row>
    <row r="509" spans="1:3" ht="15.75" customHeight="1">
      <c r="A509" s="131"/>
      <c r="C509" s="132"/>
    </row>
    <row r="510" spans="1:3" ht="15.75" customHeight="1">
      <c r="A510" s="131"/>
      <c r="C510" s="132"/>
    </row>
    <row r="511" spans="1:3" ht="15.75" customHeight="1">
      <c r="A511" s="131"/>
      <c r="C511" s="132"/>
    </row>
    <row r="512" spans="1:3" ht="15.75" customHeight="1">
      <c r="A512" s="131"/>
      <c r="C512" s="132"/>
    </row>
    <row r="513" spans="1:3" ht="15.75" customHeight="1">
      <c r="A513" s="131"/>
      <c r="C513" s="132"/>
    </row>
    <row r="514" spans="1:3" ht="15.75" customHeight="1">
      <c r="A514" s="131"/>
      <c r="C514" s="132"/>
    </row>
    <row r="515" spans="1:3" ht="15.75" customHeight="1">
      <c r="A515" s="131"/>
      <c r="C515" s="132"/>
    </row>
    <row r="516" spans="1:3" ht="15.75" customHeight="1">
      <c r="A516" s="131"/>
      <c r="C516" s="132"/>
    </row>
    <row r="517" spans="1:3" ht="15.75" customHeight="1">
      <c r="A517" s="131"/>
      <c r="C517" s="132"/>
    </row>
    <row r="518" spans="1:3" ht="15.75" customHeight="1">
      <c r="A518" s="131"/>
      <c r="C518" s="132"/>
    </row>
    <row r="519" spans="1:3" ht="15.75" customHeight="1">
      <c r="A519" s="131"/>
      <c r="C519" s="132"/>
    </row>
    <row r="520" spans="1:3" ht="15.75" customHeight="1">
      <c r="A520" s="131"/>
      <c r="C520" s="132"/>
    </row>
    <row r="521" spans="1:3" ht="15.75" customHeight="1">
      <c r="A521" s="131"/>
      <c r="C521" s="132"/>
    </row>
    <row r="522" spans="1:3" ht="15.75" customHeight="1">
      <c r="A522" s="131"/>
      <c r="C522" s="132"/>
    </row>
    <row r="523" spans="1:3" ht="15.75" customHeight="1">
      <c r="A523" s="131"/>
      <c r="C523" s="132"/>
    </row>
    <row r="524" spans="1:3" ht="15.75" customHeight="1">
      <c r="A524" s="131"/>
      <c r="C524" s="132"/>
    </row>
    <row r="525" spans="1:3" ht="15.75" customHeight="1">
      <c r="A525" s="131"/>
      <c r="C525" s="132"/>
    </row>
  </sheetData>
  <conditionalFormatting sqref="B2 Y2 X2:X3 E5:E6">
    <cfRule type="cellIs" dxfId="7" priority="1" operator="lessThan">
      <formula>0</formula>
    </cfRule>
  </conditionalFormatting>
  <hyperlinks>
    <hyperlink ref="B30" r:id="rId1" xr:uid="{00000000-0004-0000-0700-000000000000}"/>
  </hyperlinks>
  <pageMargins left="0.7" right="0.7" top="0.78740157499999996" bottom="0.78740157499999996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outlinePr summaryBelow="0" summaryRight="0"/>
  </sheetPr>
  <dimension ref="A1:AB24"/>
  <sheetViews>
    <sheetView workbookViewId="0"/>
  </sheetViews>
  <sheetFormatPr defaultColWidth="12.6640625" defaultRowHeight="15" customHeight="1"/>
  <cols>
    <col min="1" max="1" width="23.88671875" customWidth="1"/>
    <col min="3" max="3" width="43.109375" customWidth="1"/>
  </cols>
  <sheetData>
    <row r="1" spans="1:28" ht="15" customHeight="1">
      <c r="A1" s="258">
        <v>20221011</v>
      </c>
      <c r="B1" s="259" t="s">
        <v>32</v>
      </c>
      <c r="C1" s="260" t="s">
        <v>2</v>
      </c>
      <c r="D1" s="177" t="s">
        <v>768</v>
      </c>
      <c r="E1" s="177" t="s">
        <v>144</v>
      </c>
      <c r="F1" s="261" t="s">
        <v>145</v>
      </c>
      <c r="G1" s="262" t="s">
        <v>146</v>
      </c>
      <c r="H1" s="262" t="s">
        <v>36</v>
      </c>
      <c r="I1" s="263" t="s">
        <v>37</v>
      </c>
      <c r="J1" s="262" t="s">
        <v>38</v>
      </c>
      <c r="K1" s="262" t="s">
        <v>769</v>
      </c>
      <c r="L1" s="262" t="s">
        <v>148</v>
      </c>
      <c r="M1" s="259" t="s">
        <v>770</v>
      </c>
      <c r="N1" s="259" t="s">
        <v>151</v>
      </c>
      <c r="O1" s="259" t="s">
        <v>740</v>
      </c>
      <c r="P1" s="259" t="s">
        <v>42</v>
      </c>
      <c r="Q1" s="259" t="s">
        <v>14</v>
      </c>
      <c r="R1" s="259" t="s">
        <v>48</v>
      </c>
      <c r="S1" s="264" t="s">
        <v>46</v>
      </c>
      <c r="T1" s="265" t="s">
        <v>47</v>
      </c>
      <c r="U1" s="265" t="s">
        <v>49</v>
      </c>
      <c r="V1" s="266" t="s">
        <v>153</v>
      </c>
      <c r="W1" s="267" t="s">
        <v>50</v>
      </c>
      <c r="X1" s="268" t="s">
        <v>771</v>
      </c>
      <c r="Y1" s="178"/>
      <c r="Z1" s="178"/>
      <c r="AA1" s="178"/>
      <c r="AB1" s="178"/>
    </row>
    <row r="2" spans="1:28" ht="15" customHeight="1">
      <c r="A2" s="269"/>
      <c r="B2" s="270" t="s">
        <v>1</v>
      </c>
      <c r="C2" s="271" t="s">
        <v>643</v>
      </c>
      <c r="D2" s="177" t="s">
        <v>156</v>
      </c>
      <c r="E2" s="272" t="s">
        <v>772</v>
      </c>
      <c r="F2" s="273" t="s">
        <v>157</v>
      </c>
      <c r="G2" s="274"/>
      <c r="H2" s="275" t="s">
        <v>157</v>
      </c>
      <c r="I2" s="275" t="s">
        <v>157</v>
      </c>
      <c r="J2" s="276">
        <v>13</v>
      </c>
      <c r="K2" s="276">
        <v>100</v>
      </c>
      <c r="L2" s="276">
        <v>146</v>
      </c>
      <c r="M2" s="276">
        <v>146</v>
      </c>
      <c r="N2" s="276"/>
      <c r="O2" s="276"/>
      <c r="P2" s="276">
        <v>183</v>
      </c>
      <c r="Q2" s="276">
        <v>221</v>
      </c>
      <c r="R2" s="277" t="s">
        <v>158</v>
      </c>
      <c r="S2" s="278" t="s">
        <v>159</v>
      </c>
      <c r="T2" s="278" t="s">
        <v>160</v>
      </c>
      <c r="U2" s="279" t="s">
        <v>60</v>
      </c>
      <c r="V2" s="279" t="s">
        <v>60</v>
      </c>
      <c r="W2" s="190" t="e">
        <f>SUM(E4)-SUM(F4:R4)</f>
        <v>#REF!</v>
      </c>
      <c r="X2" s="190"/>
      <c r="Y2" s="178"/>
      <c r="Z2" s="178"/>
      <c r="AA2" s="178"/>
      <c r="AB2" s="178"/>
    </row>
    <row r="3" spans="1:28" ht="13.2">
      <c r="A3" s="191">
        <v>1</v>
      </c>
      <c r="B3" s="191">
        <v>2</v>
      </c>
      <c r="C3" s="191">
        <v>3</v>
      </c>
      <c r="D3" s="191">
        <v>4</v>
      </c>
      <c r="E3" s="191">
        <v>5</v>
      </c>
      <c r="F3" s="191">
        <v>6</v>
      </c>
      <c r="G3" s="191">
        <v>7</v>
      </c>
      <c r="H3" s="191">
        <v>8</v>
      </c>
      <c r="I3" s="191">
        <v>9</v>
      </c>
      <c r="J3" s="191">
        <v>10</v>
      </c>
      <c r="K3" s="191">
        <v>11</v>
      </c>
      <c r="L3" s="191">
        <v>12</v>
      </c>
      <c r="M3" s="191">
        <v>13</v>
      </c>
      <c r="N3" s="191">
        <v>14</v>
      </c>
      <c r="O3" s="191">
        <v>15</v>
      </c>
      <c r="P3" s="191">
        <v>16</v>
      </c>
      <c r="Q3" s="191">
        <v>17</v>
      </c>
      <c r="R3" s="191">
        <v>18</v>
      </c>
      <c r="S3" s="191">
        <v>19</v>
      </c>
      <c r="T3" s="191">
        <v>20</v>
      </c>
      <c r="U3" s="191">
        <v>21</v>
      </c>
      <c r="V3" s="191">
        <v>22</v>
      </c>
      <c r="W3" s="192"/>
      <c r="X3" s="192"/>
      <c r="Y3" s="192"/>
      <c r="Z3" s="192"/>
      <c r="AA3" s="192"/>
      <c r="AB3" s="192"/>
    </row>
    <row r="4" spans="1:28" ht="13.8">
      <c r="A4" s="178" t="s">
        <v>773</v>
      </c>
      <c r="B4" s="178" t="s">
        <v>671</v>
      </c>
      <c r="C4" s="178" t="e">
        <f t="shared" ref="C4:V4" si="0">#REF!</f>
        <v>#REF!</v>
      </c>
      <c r="D4" s="195" t="e">
        <f t="shared" si="0"/>
        <v>#REF!</v>
      </c>
      <c r="E4" s="130" t="e">
        <f t="shared" si="0"/>
        <v>#REF!</v>
      </c>
      <c r="F4" s="130" t="e">
        <f t="shared" si="0"/>
        <v>#REF!</v>
      </c>
      <c r="G4" s="130" t="e">
        <f t="shared" si="0"/>
        <v>#REF!</v>
      </c>
      <c r="H4" s="130" t="e">
        <f t="shared" si="0"/>
        <v>#REF!</v>
      </c>
      <c r="I4" s="130" t="e">
        <f t="shared" si="0"/>
        <v>#REF!</v>
      </c>
      <c r="J4" s="130" t="e">
        <f t="shared" si="0"/>
        <v>#REF!</v>
      </c>
      <c r="K4" s="130" t="e">
        <f t="shared" si="0"/>
        <v>#REF!</v>
      </c>
      <c r="L4" s="130" t="e">
        <f t="shared" si="0"/>
        <v>#REF!</v>
      </c>
      <c r="M4" s="130" t="e">
        <f t="shared" si="0"/>
        <v>#REF!</v>
      </c>
      <c r="N4" s="130" t="e">
        <f t="shared" si="0"/>
        <v>#REF!</v>
      </c>
      <c r="O4" s="130" t="e">
        <f t="shared" si="0"/>
        <v>#REF!</v>
      </c>
      <c r="P4" s="130" t="e">
        <f t="shared" si="0"/>
        <v>#REF!</v>
      </c>
      <c r="Q4" s="130" t="e">
        <f t="shared" si="0"/>
        <v>#REF!</v>
      </c>
      <c r="R4" s="130" t="e">
        <f t="shared" si="0"/>
        <v>#REF!</v>
      </c>
      <c r="S4" s="130" t="e">
        <f t="shared" si="0"/>
        <v>#REF!</v>
      </c>
      <c r="T4" s="130" t="e">
        <f t="shared" si="0"/>
        <v>#REF!</v>
      </c>
      <c r="U4" s="130" t="e">
        <f t="shared" si="0"/>
        <v>#REF!</v>
      </c>
      <c r="V4" s="130" t="e">
        <f t="shared" si="0"/>
        <v>#REF!</v>
      </c>
      <c r="W4" s="280"/>
      <c r="X4" s="281"/>
      <c r="Y4" s="178"/>
      <c r="Z4" s="178"/>
      <c r="AA4" s="178"/>
      <c r="AB4" s="178"/>
    </row>
    <row r="5" spans="1:28" ht="13.2">
      <c r="A5" s="178"/>
      <c r="B5" s="193">
        <v>0.83489999999999998</v>
      </c>
      <c r="C5" s="178" t="s">
        <v>774</v>
      </c>
      <c r="D5" s="195" t="e">
        <f>D4*1</f>
        <v>#REF!</v>
      </c>
      <c r="E5" s="195" t="e">
        <f t="shared" ref="E5:F5" si="1">ROUNDDOWN($B$5*E4,0)</f>
        <v>#REF!</v>
      </c>
      <c r="F5" s="195" t="e">
        <f t="shared" si="1"/>
        <v>#REF!</v>
      </c>
      <c r="G5" s="195" t="e">
        <f>G4*1</f>
        <v>#REF!</v>
      </c>
      <c r="H5" s="195" t="e">
        <f t="shared" ref="H5:V5" si="2">ROUNDDOWN($B$5*H4,0)</f>
        <v>#REF!</v>
      </c>
      <c r="I5" s="195" t="e">
        <f t="shared" si="2"/>
        <v>#REF!</v>
      </c>
      <c r="J5" s="282" t="e">
        <f t="shared" si="2"/>
        <v>#REF!</v>
      </c>
      <c r="K5" s="282" t="e">
        <f t="shared" si="2"/>
        <v>#REF!</v>
      </c>
      <c r="L5" s="283" t="e">
        <f t="shared" si="2"/>
        <v>#REF!</v>
      </c>
      <c r="M5" s="283" t="e">
        <f t="shared" si="2"/>
        <v>#REF!</v>
      </c>
      <c r="N5" s="283" t="e">
        <f t="shared" si="2"/>
        <v>#REF!</v>
      </c>
      <c r="O5" s="282" t="e">
        <f t="shared" si="2"/>
        <v>#REF!</v>
      </c>
      <c r="P5" s="284" t="e">
        <f t="shared" si="2"/>
        <v>#REF!</v>
      </c>
      <c r="Q5" s="195" t="e">
        <f t="shared" si="2"/>
        <v>#REF!</v>
      </c>
      <c r="R5" s="195" t="e">
        <f t="shared" si="2"/>
        <v>#REF!</v>
      </c>
      <c r="S5" s="195" t="e">
        <f t="shared" si="2"/>
        <v>#REF!</v>
      </c>
      <c r="T5" s="195" t="e">
        <f t="shared" si="2"/>
        <v>#REF!</v>
      </c>
      <c r="U5" s="195" t="e">
        <f t="shared" si="2"/>
        <v>#REF!</v>
      </c>
      <c r="V5" s="195" t="e">
        <f t="shared" si="2"/>
        <v>#REF!</v>
      </c>
      <c r="W5" s="196"/>
      <c r="X5" s="178"/>
      <c r="Y5" s="178"/>
      <c r="Z5" s="178"/>
      <c r="AA5" s="178"/>
      <c r="AB5" s="178"/>
    </row>
    <row r="6" spans="1:28" ht="13.2">
      <c r="A6" s="178"/>
      <c r="B6" s="178"/>
      <c r="C6" s="178"/>
      <c r="D6" s="178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  <c r="AA6" s="178"/>
      <c r="AB6" s="178"/>
    </row>
    <row r="7" spans="1:28" ht="13.2">
      <c r="A7" s="178"/>
      <c r="B7" s="178"/>
      <c r="C7" s="178"/>
      <c r="D7" s="178"/>
      <c r="E7" s="178"/>
      <c r="F7" s="178"/>
      <c r="G7" s="178"/>
      <c r="H7" s="178"/>
      <c r="I7" s="178"/>
      <c r="J7" s="178"/>
      <c r="K7" s="204" t="e">
        <f>SUM(K8:K12)</f>
        <v>#REF!</v>
      </c>
      <c r="L7" s="178"/>
      <c r="M7" s="178"/>
      <c r="N7" s="224"/>
      <c r="O7" s="178"/>
      <c r="P7" s="178"/>
      <c r="Q7" s="178"/>
      <c r="R7" s="178"/>
      <c r="S7" s="178"/>
      <c r="T7" s="178"/>
      <c r="U7" s="178"/>
      <c r="V7" s="178"/>
      <c r="W7" s="178"/>
      <c r="X7" s="178"/>
      <c r="Y7" s="178"/>
      <c r="Z7" s="178"/>
      <c r="AA7" s="178"/>
      <c r="AB7" s="178"/>
    </row>
    <row r="8" spans="1:28" ht="13.2">
      <c r="A8" s="178"/>
      <c r="B8" s="178"/>
      <c r="C8" s="178" t="s">
        <v>743</v>
      </c>
      <c r="D8" s="195" t="e">
        <f>D4</f>
        <v>#REF!</v>
      </c>
      <c r="E8" s="178"/>
      <c r="F8" s="178"/>
      <c r="G8" s="178"/>
      <c r="H8" s="178"/>
      <c r="I8" s="178"/>
      <c r="J8" s="206" t="s">
        <v>3</v>
      </c>
      <c r="K8" s="222" t="e">
        <f>J5</f>
        <v>#REF!</v>
      </c>
      <c r="L8" s="178"/>
      <c r="M8" s="206" t="s">
        <v>744</v>
      </c>
      <c r="N8" s="285" t="e">
        <f>N5</f>
        <v>#REF!</v>
      </c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8"/>
    </row>
    <row r="9" spans="1:28" ht="13.2">
      <c r="A9" s="178"/>
      <c r="B9" s="178"/>
      <c r="C9" s="178"/>
      <c r="D9" s="178"/>
      <c r="E9" s="286" t="e">
        <f>SUM(E10:E19)</f>
        <v>#REF!</v>
      </c>
      <c r="F9" s="178"/>
      <c r="G9" s="178"/>
      <c r="H9" s="178"/>
      <c r="I9" s="178"/>
      <c r="J9" s="206" t="s">
        <v>745</v>
      </c>
      <c r="K9" s="222" t="e">
        <f>K5</f>
        <v>#REF!</v>
      </c>
      <c r="L9" s="178"/>
      <c r="M9" s="206" t="s">
        <v>746</v>
      </c>
      <c r="N9" s="285" t="e">
        <f>L5+M5-N10</f>
        <v>#REF!</v>
      </c>
      <c r="O9" s="178"/>
      <c r="P9" s="178"/>
      <c r="Q9" s="178"/>
      <c r="R9" s="178"/>
      <c r="S9" s="178"/>
      <c r="T9" s="178"/>
      <c r="U9" s="178"/>
      <c r="V9" s="178"/>
      <c r="W9" s="178"/>
      <c r="X9" s="178"/>
      <c r="Y9" s="178"/>
      <c r="Z9" s="178"/>
      <c r="AA9" s="178"/>
      <c r="AB9" s="178"/>
    </row>
    <row r="10" spans="1:28" ht="13.2">
      <c r="A10" s="178"/>
      <c r="B10" s="178"/>
      <c r="C10" s="178" t="s">
        <v>747</v>
      </c>
      <c r="D10" s="212"/>
      <c r="E10" s="287">
        <v>0</v>
      </c>
      <c r="F10" s="178"/>
      <c r="G10" s="178"/>
      <c r="H10" s="178"/>
      <c r="I10" s="178"/>
      <c r="J10" s="206" t="s">
        <v>748</v>
      </c>
      <c r="K10" s="222" t="e">
        <f>O5</f>
        <v>#REF!</v>
      </c>
      <c r="L10" s="178"/>
      <c r="M10" s="206" t="s">
        <v>752</v>
      </c>
      <c r="N10" s="288">
        <f>ROUND(('Einnahmen Ausgaben'!N25+'Einnahmen Ausgaben'!M100+'Einnahmen Ausgaben'!M138)*B5,0)</f>
        <v>802</v>
      </c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</row>
    <row r="11" spans="1:28" ht="13.2">
      <c r="A11" s="178"/>
      <c r="B11" s="178"/>
      <c r="C11" s="178" t="s">
        <v>749</v>
      </c>
      <c r="D11" s="212"/>
      <c r="E11" s="287" t="e">
        <f>N9</f>
        <v>#REF!</v>
      </c>
      <c r="F11" s="178"/>
      <c r="G11" s="178"/>
      <c r="H11" s="178"/>
      <c r="I11" s="178"/>
      <c r="J11" s="206"/>
      <c r="K11" s="206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</row>
    <row r="12" spans="1:28" ht="13.2">
      <c r="A12" s="178"/>
      <c r="B12" s="178"/>
      <c r="C12" s="178" t="s">
        <v>751</v>
      </c>
      <c r="D12" s="212"/>
      <c r="E12" s="287">
        <v>0</v>
      </c>
      <c r="F12" s="178"/>
      <c r="G12" s="178"/>
      <c r="H12" s="178"/>
      <c r="I12" s="178"/>
      <c r="J12" s="206"/>
      <c r="K12" s="223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</row>
    <row r="13" spans="1:28" ht="13.2">
      <c r="A13" s="178"/>
      <c r="B13" s="178"/>
      <c r="C13" s="178" t="s">
        <v>753</v>
      </c>
      <c r="D13" s="212"/>
      <c r="E13" s="287">
        <f>N10</f>
        <v>802</v>
      </c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</row>
    <row r="14" spans="1:28" ht="13.2">
      <c r="A14" s="178"/>
      <c r="B14" s="178"/>
      <c r="C14" s="178" t="s">
        <v>754</v>
      </c>
      <c r="D14" s="212"/>
      <c r="E14" s="287">
        <v>0</v>
      </c>
      <c r="F14" s="178"/>
      <c r="G14" s="178"/>
      <c r="H14" s="178"/>
      <c r="I14" s="178"/>
      <c r="J14" s="178"/>
      <c r="K14" s="218" t="e">
        <f>SUM(K15:K19)</f>
        <v>#REF!</v>
      </c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</row>
    <row r="15" spans="1:28" ht="13.2">
      <c r="A15" s="178"/>
      <c r="B15" s="178"/>
      <c r="C15" s="178" t="s">
        <v>755</v>
      </c>
      <c r="D15" s="212"/>
      <c r="E15" s="287" t="e">
        <f>Q5</f>
        <v>#REF!</v>
      </c>
      <c r="F15" s="178"/>
      <c r="G15" s="178"/>
      <c r="H15" s="178"/>
      <c r="I15" s="178"/>
      <c r="J15" s="206" t="s">
        <v>756</v>
      </c>
      <c r="K15" s="222" t="e">
        <f>P5</f>
        <v>#REF!</v>
      </c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</row>
    <row r="16" spans="1:28" ht="13.2">
      <c r="A16" s="178"/>
      <c r="B16" s="178" t="s">
        <v>775</v>
      </c>
      <c r="C16" s="178" t="s">
        <v>757</v>
      </c>
      <c r="D16" s="212"/>
      <c r="E16" s="287" t="e">
        <f>R5</f>
        <v>#REF!</v>
      </c>
      <c r="F16" s="178"/>
      <c r="G16" s="178"/>
      <c r="H16" s="178"/>
      <c r="I16" s="178"/>
      <c r="J16" s="206"/>
      <c r="K16" s="206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</row>
    <row r="17" spans="1:28" ht="13.2">
      <c r="A17" s="178"/>
      <c r="B17" s="178"/>
      <c r="C17" s="178" t="s">
        <v>758</v>
      </c>
      <c r="D17" s="212"/>
      <c r="E17" s="289" t="e">
        <f>K7</f>
        <v>#REF!</v>
      </c>
      <c r="F17" s="178"/>
      <c r="G17" s="178"/>
      <c r="H17" s="178"/>
      <c r="I17" s="178"/>
      <c r="J17" s="206"/>
      <c r="K17" s="223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8"/>
      <c r="Z17" s="178"/>
      <c r="AA17" s="178"/>
      <c r="AB17" s="178"/>
    </row>
    <row r="18" spans="1:28" ht="13.2">
      <c r="A18" s="178"/>
      <c r="B18" s="178"/>
      <c r="C18" s="178" t="s">
        <v>760</v>
      </c>
      <c r="D18" s="212"/>
      <c r="E18" s="290" t="e">
        <f>K14</f>
        <v>#REF!</v>
      </c>
      <c r="F18" s="178"/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178"/>
      <c r="Z18" s="178"/>
      <c r="AA18" s="178"/>
      <c r="AB18" s="178"/>
    </row>
    <row r="19" spans="1:28" ht="13.2">
      <c r="A19" s="178"/>
      <c r="B19" s="178"/>
      <c r="C19" s="178"/>
      <c r="D19" s="206"/>
      <c r="E19" s="223"/>
      <c r="F19" s="178"/>
      <c r="G19" s="178"/>
      <c r="H19" s="178"/>
      <c r="I19" s="178"/>
      <c r="J19" s="178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</row>
    <row r="20" spans="1:28" ht="13.2">
      <c r="A20" s="178"/>
      <c r="B20" s="178"/>
      <c r="C20" s="178"/>
      <c r="D20" s="226"/>
      <c r="E20" s="226"/>
      <c r="F20" s="178"/>
      <c r="G20" s="178"/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</row>
    <row r="21" spans="1:28" ht="13.2">
      <c r="A21" s="178"/>
      <c r="B21" s="178"/>
      <c r="C21" s="178"/>
      <c r="D21" s="226"/>
      <c r="E21" s="226"/>
      <c r="F21" s="178"/>
      <c r="G21" s="178"/>
      <c r="H21" s="178"/>
      <c r="I21" s="178"/>
      <c r="J21" s="178"/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78"/>
      <c r="W21" s="178"/>
      <c r="X21" s="178"/>
      <c r="Y21" s="178"/>
      <c r="Z21" s="178"/>
      <c r="AA21" s="178"/>
      <c r="AB21" s="178"/>
    </row>
    <row r="22" spans="1:28" ht="13.2">
      <c r="A22" s="178"/>
      <c r="B22" s="178"/>
      <c r="C22" s="178"/>
      <c r="D22" s="226"/>
      <c r="E22" s="226"/>
      <c r="F22" s="178"/>
      <c r="G22" s="178"/>
      <c r="H22" s="178"/>
      <c r="I22" s="178"/>
      <c r="J22" s="178"/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178"/>
      <c r="W22" s="178"/>
      <c r="X22" s="178"/>
      <c r="Y22" s="178"/>
      <c r="Z22" s="178"/>
      <c r="AA22" s="178"/>
      <c r="AB22" s="178"/>
    </row>
    <row r="23" spans="1:28" ht="13.2">
      <c r="A23" s="178"/>
      <c r="B23" s="178"/>
      <c r="C23" s="178"/>
      <c r="D23" s="226"/>
      <c r="E23" s="226"/>
      <c r="F23" s="178"/>
      <c r="G23" s="178"/>
      <c r="H23" s="178"/>
      <c r="I23" s="178"/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/>
    </row>
    <row r="24" spans="1:28" ht="13.2">
      <c r="A24" s="178"/>
      <c r="B24" s="178"/>
      <c r="C24" s="178"/>
      <c r="D24" s="178"/>
      <c r="E24" s="178"/>
      <c r="F24" s="178"/>
      <c r="G24" s="178"/>
      <c r="H24" s="178"/>
      <c r="I24" s="178"/>
      <c r="J24" s="178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outlinePr summaryBelow="0" summaryRight="0"/>
  </sheetPr>
  <dimension ref="A1:AB21"/>
  <sheetViews>
    <sheetView workbookViewId="0"/>
  </sheetViews>
  <sheetFormatPr defaultColWidth="12.6640625" defaultRowHeight="15" customHeight="1"/>
  <cols>
    <col min="1" max="1" width="23.88671875" customWidth="1"/>
    <col min="3" max="3" width="43.109375" customWidth="1"/>
    <col min="8" max="8" width="15" customWidth="1"/>
  </cols>
  <sheetData>
    <row r="1" spans="1:28" ht="82.8">
      <c r="A1" s="258"/>
      <c r="B1" s="259" t="s">
        <v>32</v>
      </c>
      <c r="C1" s="260" t="s">
        <v>2</v>
      </c>
      <c r="D1" s="291" t="str">
        <f>Zusammenfassung!D1</f>
        <v>Income 
(UK)</v>
      </c>
      <c r="E1" s="291" t="str">
        <f>Zusammenfassung!E1</f>
        <v>Income (Germany)</v>
      </c>
      <c r="F1" s="291" t="str">
        <f>Zusammenfassung!F1</f>
        <v>Steuer
DE
Finanzamt 2150
Gemeinde 7610</v>
      </c>
      <c r="G1" s="291" t="str">
        <f>Zusammenfassung!G1</f>
        <v>Steuer
(UK)</v>
      </c>
      <c r="H1" s="291" t="str">
        <f>Zusammenfassung!H1</f>
        <v>Krankenkasse ens.</v>
      </c>
      <c r="I1" s="177" t="str">
        <f>Zusammenfassung!I1</f>
        <v>Medical</v>
      </c>
      <c r="J1" s="291" t="str">
        <f>Zusammenfassung!J1</f>
        <v>Telephone</v>
      </c>
      <c r="K1" s="291" t="str">
        <f>Zusammenfassung!K1</f>
        <v>Data SIM Cards, Internet</v>
      </c>
      <c r="L1" s="291" t="str">
        <f>Zusammenfassung!L1</f>
        <v>Airline tickets &amp; Covid Tests</v>
      </c>
      <c r="M1" s="177" t="str">
        <f>Zusammenfassung!M1</f>
        <v>Taxi, Train, Toll, Parking</v>
      </c>
      <c r="N1" s="177" t="str">
        <f>Zusammenfassung!N1</f>
        <v>Hotel, Apartment</v>
      </c>
      <c r="O1" s="177" t="str">
        <f>Zusammenfassung!O1</f>
        <v>Auto</v>
      </c>
      <c r="P1" s="177" t="str">
        <f>Zusammenfassung!P1</f>
        <v>Office equipment, hardware, Insurance</v>
      </c>
      <c r="Q1" s="177" t="str">
        <f>Zusammenfassung!Q1</f>
        <v>Software Cloud Services</v>
      </c>
      <c r="R1" s="177" t="str">
        <f>Zusammenfassung!R1</f>
        <v>Professional fees</v>
      </c>
      <c r="S1" s="177" t="str">
        <f>Zusammenfassung!S1</f>
        <v>Bank charges</v>
      </c>
      <c r="T1" s="177" t="str">
        <f>Zusammenfassung!T1</f>
        <v>Wohnung</v>
      </c>
      <c r="U1" s="177" t="str">
        <f>Zusammenfassung!U1</f>
        <v>Mortgage / Hypothek</v>
      </c>
      <c r="V1" s="177" t="str">
        <f>Zusammenfassung!V1</f>
        <v>South Africa Pension Medical</v>
      </c>
      <c r="W1" s="177" t="str">
        <f>Zusammenfassung!W1</f>
        <v>Unassigned</v>
      </c>
      <c r="X1" s="177" t="str">
        <f>Zusammenfassung!X1</f>
        <v>Expenses Check</v>
      </c>
      <c r="Y1" s="178"/>
      <c r="Z1" s="178"/>
      <c r="AA1" s="178"/>
      <c r="AB1" s="178"/>
    </row>
    <row r="2" spans="1:28" ht="15" customHeight="1">
      <c r="A2" s="269"/>
      <c r="B2" s="270" t="s">
        <v>1</v>
      </c>
      <c r="C2" s="271" t="s">
        <v>643</v>
      </c>
      <c r="D2" s="177" t="s">
        <v>156</v>
      </c>
      <c r="E2" s="272" t="s">
        <v>772</v>
      </c>
      <c r="F2" s="273" t="s">
        <v>157</v>
      </c>
      <c r="G2" s="274"/>
      <c r="H2" s="275" t="s">
        <v>157</v>
      </c>
      <c r="I2" s="275" t="s">
        <v>157</v>
      </c>
      <c r="J2" s="276">
        <v>13</v>
      </c>
      <c r="K2" s="276">
        <v>100</v>
      </c>
      <c r="L2" s="276">
        <v>146</v>
      </c>
      <c r="M2" s="276">
        <v>146</v>
      </c>
      <c r="N2" s="276"/>
      <c r="O2" s="276"/>
      <c r="P2" s="276">
        <v>183</v>
      </c>
      <c r="Q2" s="276">
        <v>221</v>
      </c>
      <c r="R2" s="277" t="s">
        <v>158</v>
      </c>
      <c r="S2" s="278" t="s">
        <v>159</v>
      </c>
      <c r="T2" s="278" t="s">
        <v>160</v>
      </c>
      <c r="U2" s="279" t="s">
        <v>60</v>
      </c>
      <c r="V2" s="279" t="s">
        <v>60</v>
      </c>
      <c r="W2" s="190" t="e">
        <f>SUM(#REF!)-SUM(#REF!)</f>
        <v>#REF!</v>
      </c>
      <c r="X2" s="190"/>
      <c r="Y2" s="178"/>
      <c r="Z2" s="178"/>
      <c r="AA2" s="178"/>
      <c r="AB2" s="178"/>
    </row>
    <row r="3" spans="1:28" ht="13.2">
      <c r="A3" s="191">
        <v>1</v>
      </c>
      <c r="B3" s="191">
        <v>2</v>
      </c>
      <c r="C3" s="191">
        <v>3</v>
      </c>
      <c r="D3" s="191">
        <v>4</v>
      </c>
      <c r="E3" s="191">
        <v>5</v>
      </c>
      <c r="F3" s="191">
        <v>6</v>
      </c>
      <c r="G3" s="191">
        <v>7</v>
      </c>
      <c r="H3" s="191">
        <v>8</v>
      </c>
      <c r="I3" s="191">
        <v>9</v>
      </c>
      <c r="J3" s="191">
        <v>10</v>
      </c>
      <c r="K3" s="191">
        <v>11</v>
      </c>
      <c r="L3" s="191">
        <v>12</v>
      </c>
      <c r="M3" s="191">
        <v>13</v>
      </c>
      <c r="N3" s="191">
        <v>14</v>
      </c>
      <c r="O3" s="191">
        <v>15</v>
      </c>
      <c r="P3" s="191">
        <v>16</v>
      </c>
      <c r="Q3" s="191">
        <v>17</v>
      </c>
      <c r="R3" s="191">
        <v>18</v>
      </c>
      <c r="S3" s="191">
        <v>19</v>
      </c>
      <c r="T3" s="191">
        <v>20</v>
      </c>
      <c r="U3" s="191">
        <v>21</v>
      </c>
      <c r="V3" s="191">
        <v>22</v>
      </c>
      <c r="W3" s="192"/>
      <c r="X3" s="192"/>
      <c r="Y3" s="192"/>
      <c r="Z3" s="192"/>
      <c r="AA3" s="192"/>
      <c r="AB3" s="192"/>
    </row>
    <row r="4" spans="1:28" ht="13.2">
      <c r="A4" s="178" t="s">
        <v>776</v>
      </c>
      <c r="B4" s="193"/>
      <c r="C4" s="178" t="s">
        <v>777</v>
      </c>
      <c r="D4" s="195">
        <f>Zusammenfassung!D129</f>
        <v>57961.26</v>
      </c>
      <c r="E4" s="195">
        <f>Zusammenfassung!E129</f>
        <v>0</v>
      </c>
      <c r="F4" s="195">
        <f>Zusammenfassung!F129</f>
        <v>0</v>
      </c>
      <c r="G4" s="195">
        <f>Zusammenfassung!G129</f>
        <v>0</v>
      </c>
      <c r="H4" s="195">
        <f>Zusammenfassung!H129</f>
        <v>0</v>
      </c>
      <c r="I4" s="195">
        <f>Zusammenfassung!I129</f>
        <v>0</v>
      </c>
      <c r="J4" s="195">
        <f>Zusammenfassung!J129</f>
        <v>159.52461191683167</v>
      </c>
      <c r="K4" s="195">
        <f>Zusammenfassung!K129</f>
        <v>1443.0042594064648</v>
      </c>
      <c r="L4" s="195">
        <f>Zusammenfassung!L129</f>
        <v>1071.3637025580315</v>
      </c>
      <c r="M4" s="195">
        <f>Zusammenfassung!M129</f>
        <v>0</v>
      </c>
      <c r="N4" s="195">
        <f>Zusammenfassung!N129</f>
        <v>0</v>
      </c>
      <c r="O4" s="195">
        <f>Zusammenfassung!O129</f>
        <v>1857.5318430389259</v>
      </c>
      <c r="P4" s="195">
        <f>Zusammenfassung!P129</f>
        <v>0</v>
      </c>
      <c r="Q4" s="195">
        <f>Zusammenfassung!Q129</f>
        <v>686.52937751605123</v>
      </c>
      <c r="R4" s="195">
        <f>Zusammenfassung!R129</f>
        <v>1237.4824093702969</v>
      </c>
      <c r="S4" s="195">
        <f>Zusammenfassung!S129</f>
        <v>183.75068502610367</v>
      </c>
      <c r="T4" s="195">
        <f>Zusammenfassung!T129</f>
        <v>0</v>
      </c>
      <c r="U4" s="195">
        <f>Zusammenfassung!U129</f>
        <v>0</v>
      </c>
      <c r="V4" s="195">
        <f>Zusammenfassung!V129</f>
        <v>0</v>
      </c>
      <c r="W4" s="196"/>
      <c r="X4" s="178"/>
      <c r="Y4" s="178"/>
      <c r="Z4" s="178"/>
      <c r="AA4" s="178"/>
      <c r="AB4" s="178"/>
    </row>
    <row r="5" spans="1:28" ht="13.2">
      <c r="A5" s="178"/>
      <c r="B5" s="178"/>
      <c r="C5" s="178"/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</row>
    <row r="6" spans="1:28" ht="13.2">
      <c r="A6" s="178"/>
      <c r="B6" s="178"/>
      <c r="C6" s="178"/>
      <c r="D6" s="178"/>
      <c r="E6" s="178"/>
      <c r="F6" s="178"/>
      <c r="G6" s="178"/>
      <c r="H6" s="178"/>
      <c r="I6" s="178"/>
      <c r="J6" s="178"/>
      <c r="K6" s="204">
        <f>SUM(K7:K11)</f>
        <v>1602.5288713232965</v>
      </c>
      <c r="L6" s="178"/>
      <c r="M6" s="178"/>
      <c r="N6" s="203">
        <f>SUM(N7:N8)</f>
        <v>2928.8955455969572</v>
      </c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  <c r="AA6" s="178"/>
      <c r="AB6" s="178"/>
    </row>
    <row r="7" spans="1:28" ht="13.2">
      <c r="A7" s="178"/>
      <c r="B7" s="178"/>
      <c r="C7" s="178" t="s">
        <v>743</v>
      </c>
      <c r="D7" s="195">
        <f>D4-E8</f>
        <v>51322.073111167294</v>
      </c>
      <c r="E7" s="196"/>
      <c r="F7" s="178"/>
      <c r="G7" s="178"/>
      <c r="H7" s="178"/>
      <c r="I7" s="178"/>
      <c r="J7" s="206" t="s">
        <v>3</v>
      </c>
      <c r="K7" s="222">
        <f>J4</f>
        <v>159.52461191683167</v>
      </c>
      <c r="L7" s="178"/>
      <c r="M7" s="206" t="s">
        <v>744</v>
      </c>
      <c r="N7" s="208">
        <f>O4</f>
        <v>1857.5318430389259</v>
      </c>
      <c r="O7" s="178"/>
      <c r="P7" s="178"/>
      <c r="Q7" s="178"/>
      <c r="R7" s="178"/>
      <c r="S7" s="178"/>
      <c r="T7" s="178"/>
      <c r="U7" s="178"/>
      <c r="V7" s="178"/>
      <c r="W7" s="178"/>
      <c r="X7" s="178"/>
      <c r="Y7" s="178"/>
      <c r="Z7" s="178"/>
      <c r="AA7" s="178"/>
      <c r="AB7" s="178"/>
    </row>
    <row r="8" spans="1:28" ht="13.2">
      <c r="A8" s="178"/>
      <c r="B8" s="178"/>
      <c r="C8" s="178"/>
      <c r="D8" s="178"/>
      <c r="E8" s="209">
        <f>SUM(E9:E18)</f>
        <v>6639.1868888327062</v>
      </c>
      <c r="F8" s="178"/>
      <c r="G8" s="178"/>
      <c r="H8" s="178"/>
      <c r="I8" s="178"/>
      <c r="J8" s="206" t="s">
        <v>745</v>
      </c>
      <c r="K8" s="222">
        <f>K4</f>
        <v>1443.0042594064648</v>
      </c>
      <c r="L8" s="178"/>
      <c r="M8" s="206" t="s">
        <v>746</v>
      </c>
      <c r="N8" s="211">
        <f>L4+M4</f>
        <v>1071.3637025580315</v>
      </c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8"/>
    </row>
    <row r="9" spans="1:28" ht="13.2">
      <c r="A9" s="178"/>
      <c r="B9" s="178"/>
      <c r="C9" s="178" t="s">
        <v>747</v>
      </c>
      <c r="D9" s="212"/>
      <c r="E9" s="222">
        <v>0</v>
      </c>
      <c r="F9" s="178"/>
      <c r="G9" s="178"/>
      <c r="H9" s="178"/>
      <c r="I9" s="178"/>
      <c r="J9" s="206" t="s">
        <v>748</v>
      </c>
      <c r="K9" s="222">
        <f>P4</f>
        <v>0</v>
      </c>
      <c r="L9" s="178"/>
      <c r="O9" s="178"/>
      <c r="P9" s="178"/>
      <c r="Q9" s="178"/>
      <c r="R9" s="178"/>
      <c r="S9" s="178"/>
      <c r="T9" s="178"/>
      <c r="U9" s="178"/>
      <c r="V9" s="178"/>
      <c r="W9" s="178"/>
      <c r="X9" s="178"/>
      <c r="Y9" s="178"/>
      <c r="Z9" s="178"/>
      <c r="AA9" s="178"/>
      <c r="AB9" s="178"/>
    </row>
    <row r="10" spans="1:28" ht="13.2">
      <c r="A10" s="178"/>
      <c r="B10" s="178"/>
      <c r="C10" s="178" t="s">
        <v>749</v>
      </c>
      <c r="D10" s="212"/>
      <c r="E10" s="222">
        <f>N6</f>
        <v>2928.8955455969572</v>
      </c>
      <c r="F10" s="178"/>
      <c r="G10" s="178"/>
      <c r="H10" s="178"/>
      <c r="I10" s="178"/>
      <c r="J10" s="206"/>
      <c r="K10" s="206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</row>
    <row r="11" spans="1:28" ht="13.2">
      <c r="A11" s="178"/>
      <c r="B11" s="178"/>
      <c r="C11" s="178" t="s">
        <v>751</v>
      </c>
      <c r="D11" s="212"/>
      <c r="E11" s="222">
        <v>0</v>
      </c>
      <c r="F11" s="178"/>
      <c r="G11" s="178"/>
      <c r="H11" s="178"/>
      <c r="I11" s="178"/>
      <c r="J11" s="206"/>
      <c r="K11" s="223"/>
      <c r="L11" s="178"/>
      <c r="M11" s="206" t="s">
        <v>752</v>
      </c>
      <c r="N11" s="217">
        <f>N4</f>
        <v>0</v>
      </c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</row>
    <row r="12" spans="1:28" ht="13.2">
      <c r="A12" s="178"/>
      <c r="B12" s="178"/>
      <c r="C12" s="178" t="s">
        <v>753</v>
      </c>
      <c r="D12" s="212"/>
      <c r="E12" s="222">
        <f>N11</f>
        <v>0</v>
      </c>
      <c r="F12" s="178"/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</row>
    <row r="13" spans="1:28" ht="13.2">
      <c r="A13" s="178"/>
      <c r="B13" s="178"/>
      <c r="C13" s="178" t="s">
        <v>754</v>
      </c>
      <c r="D13" s="212"/>
      <c r="E13" s="222">
        <v>0</v>
      </c>
      <c r="F13" s="178"/>
      <c r="G13" s="178"/>
      <c r="H13" s="178"/>
      <c r="I13" s="178"/>
      <c r="J13" s="178"/>
      <c r="K13" s="218">
        <f>SUM(K14:K18)</f>
        <v>686.52937751605123</v>
      </c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</row>
    <row r="14" spans="1:28" ht="13.2">
      <c r="A14" s="178"/>
      <c r="B14" s="178"/>
      <c r="C14" s="178" t="s">
        <v>755</v>
      </c>
      <c r="D14" s="212"/>
      <c r="E14" s="222">
        <f>R4</f>
        <v>1237.4824093702969</v>
      </c>
      <c r="F14" s="178"/>
      <c r="G14" s="178"/>
      <c r="H14" s="178"/>
      <c r="I14" s="178"/>
      <c r="J14" s="206" t="s">
        <v>756</v>
      </c>
      <c r="K14" s="222">
        <f>Q4</f>
        <v>686.52937751605123</v>
      </c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</row>
    <row r="15" spans="1:28" ht="13.2">
      <c r="A15" s="178"/>
      <c r="B15" s="178"/>
      <c r="C15" s="178" t="s">
        <v>757</v>
      </c>
      <c r="D15" s="212"/>
      <c r="E15" s="222">
        <f>S4</f>
        <v>183.75068502610367</v>
      </c>
      <c r="F15" s="178"/>
      <c r="G15" s="178"/>
      <c r="H15" s="178"/>
      <c r="I15" s="178"/>
      <c r="J15" s="206"/>
      <c r="K15" s="206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</row>
    <row r="16" spans="1:28" ht="13.2">
      <c r="A16" s="178"/>
      <c r="B16" s="178"/>
      <c r="C16" s="178" t="s">
        <v>758</v>
      </c>
      <c r="D16" s="212"/>
      <c r="E16" s="222">
        <f>J4+K4</f>
        <v>1602.5288713232965</v>
      </c>
      <c r="F16" s="178"/>
      <c r="G16" s="178"/>
      <c r="H16" s="178"/>
      <c r="I16" s="178"/>
      <c r="J16" s="206"/>
      <c r="K16" s="223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</row>
    <row r="17" spans="1:28" ht="13.2">
      <c r="A17" s="178"/>
      <c r="B17" s="178"/>
      <c r="C17" s="178" t="s">
        <v>760</v>
      </c>
      <c r="D17" s="212"/>
      <c r="E17" s="222">
        <f>K13</f>
        <v>686.52937751605123</v>
      </c>
      <c r="F17" s="178"/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8"/>
      <c r="Z17" s="178"/>
      <c r="AA17" s="178"/>
      <c r="AB17" s="178"/>
    </row>
    <row r="18" spans="1:28" ht="13.2">
      <c r="A18" s="178"/>
      <c r="B18" s="178"/>
      <c r="C18" s="178"/>
      <c r="D18" s="206"/>
      <c r="E18" s="223"/>
      <c r="F18" s="178"/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178"/>
      <c r="Z18" s="178"/>
      <c r="AA18" s="178"/>
      <c r="AB18" s="178"/>
    </row>
    <row r="19" spans="1:28" ht="13.2">
      <c r="A19" s="178"/>
      <c r="B19" s="178"/>
      <c r="C19" s="178"/>
      <c r="D19" s="226"/>
      <c r="E19" s="226"/>
      <c r="F19" s="178"/>
      <c r="G19" s="178"/>
      <c r="H19" s="178"/>
      <c r="I19" s="178"/>
      <c r="J19" s="178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</row>
    <row r="20" spans="1:28" ht="13.2">
      <c r="A20" s="178"/>
      <c r="B20" s="178"/>
      <c r="C20" s="178"/>
      <c r="D20" s="226"/>
      <c r="E20" s="226"/>
      <c r="F20" s="178"/>
      <c r="G20" s="178"/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</row>
    <row r="21" spans="1:28" ht="13.2">
      <c r="A21" s="178"/>
      <c r="B21" s="178"/>
      <c r="C21" s="178"/>
      <c r="D21" s="226"/>
      <c r="E21" s="226"/>
      <c r="F21" s="178"/>
      <c r="G21" s="178"/>
      <c r="H21" s="178"/>
      <c r="I21" s="178"/>
      <c r="J21" s="178"/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78"/>
      <c r="W21" s="178"/>
      <c r="X21" s="178"/>
      <c r="Y21" s="178"/>
      <c r="Z21" s="178"/>
      <c r="AA21" s="178"/>
      <c r="AB21" s="17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outlinePr summaryBelow="0" summaryRight="0"/>
  </sheetPr>
  <dimension ref="A1:J1366"/>
  <sheetViews>
    <sheetView workbookViewId="0">
      <pane ySplit="1" topLeftCell="A2" activePane="bottomLeft" state="frozen"/>
      <selection pane="bottomLeft" activeCell="B3" sqref="B3"/>
    </sheetView>
  </sheetViews>
  <sheetFormatPr defaultColWidth="12.6640625" defaultRowHeight="15" customHeight="1"/>
  <cols>
    <col min="1" max="1" width="26.21875" customWidth="1"/>
  </cols>
  <sheetData>
    <row r="1" spans="1:9">
      <c r="A1" s="292" t="s">
        <v>0</v>
      </c>
      <c r="B1" s="293" t="s">
        <v>778</v>
      </c>
      <c r="C1" s="293" t="s">
        <v>779</v>
      </c>
      <c r="D1" s="293"/>
      <c r="E1" s="293" t="s">
        <v>645</v>
      </c>
      <c r="F1" s="293" t="s">
        <v>780</v>
      </c>
      <c r="G1" s="293"/>
      <c r="H1" s="293"/>
      <c r="I1" s="293"/>
    </row>
    <row r="2" spans="1:9">
      <c r="A2" s="294" t="s">
        <v>781</v>
      </c>
      <c r="B2" s="295">
        <f t="shared" ref="B2:B256" si="0">365-C2</f>
        <v>1</v>
      </c>
      <c r="C2" s="295">
        <v>364</v>
      </c>
      <c r="D2" s="296"/>
      <c r="E2" s="87"/>
      <c r="F2" s="87"/>
      <c r="G2" s="87"/>
      <c r="H2" s="87"/>
      <c r="I2" s="87"/>
    </row>
    <row r="3" spans="1:9">
      <c r="A3" s="297" t="s">
        <v>782</v>
      </c>
      <c r="B3" s="298">
        <f t="shared" si="0"/>
        <v>2</v>
      </c>
      <c r="C3" s="298">
        <v>363</v>
      </c>
      <c r="D3" s="87"/>
      <c r="E3" s="87"/>
      <c r="F3" s="87"/>
      <c r="G3" s="87"/>
      <c r="H3" s="87"/>
      <c r="I3" s="87"/>
    </row>
    <row r="4" spans="1:9">
      <c r="A4" s="299" t="s">
        <v>783</v>
      </c>
      <c r="B4" s="295">
        <f t="shared" si="0"/>
        <v>3</v>
      </c>
      <c r="C4" s="295">
        <v>362</v>
      </c>
      <c r="D4" s="87"/>
      <c r="E4" s="87"/>
      <c r="F4" s="87"/>
      <c r="G4" s="87"/>
      <c r="H4" s="87"/>
      <c r="I4" s="87"/>
    </row>
    <row r="5" spans="1:9">
      <c r="A5" s="297" t="s">
        <v>784</v>
      </c>
      <c r="B5" s="298">
        <f t="shared" si="0"/>
        <v>4</v>
      </c>
      <c r="C5" s="298">
        <v>361</v>
      </c>
      <c r="D5" s="87"/>
      <c r="E5" s="87"/>
      <c r="F5" s="87"/>
      <c r="G5" s="87"/>
      <c r="H5" s="87"/>
      <c r="I5" s="87"/>
    </row>
    <row r="6" spans="1:9">
      <c r="A6" s="299" t="s">
        <v>785</v>
      </c>
      <c r="B6" s="295">
        <f t="shared" si="0"/>
        <v>5</v>
      </c>
      <c r="C6" s="295">
        <v>360</v>
      </c>
      <c r="D6" s="87"/>
      <c r="E6" s="87"/>
      <c r="F6" s="87"/>
      <c r="G6" s="87"/>
      <c r="H6" s="87"/>
      <c r="I6" s="87"/>
    </row>
    <row r="7" spans="1:9">
      <c r="A7" s="297" t="s">
        <v>786</v>
      </c>
      <c r="B7" s="298">
        <f t="shared" si="0"/>
        <v>6</v>
      </c>
      <c r="C7" s="298">
        <v>359</v>
      </c>
      <c r="D7" s="87"/>
      <c r="E7" s="87"/>
      <c r="F7" s="87"/>
      <c r="G7" s="87"/>
      <c r="H7" s="87"/>
      <c r="I7" s="87"/>
    </row>
    <row r="8" spans="1:9">
      <c r="A8" s="299" t="s">
        <v>787</v>
      </c>
      <c r="B8" s="295">
        <f t="shared" si="0"/>
        <v>7</v>
      </c>
      <c r="C8" s="295">
        <v>358</v>
      </c>
      <c r="D8" s="87"/>
      <c r="E8" s="87"/>
      <c r="F8" s="87"/>
      <c r="G8" s="87"/>
      <c r="H8" s="87"/>
      <c r="I8" s="87"/>
    </row>
    <row r="9" spans="1:9">
      <c r="A9" s="297" t="s">
        <v>788</v>
      </c>
      <c r="B9" s="298">
        <f t="shared" si="0"/>
        <v>8</v>
      </c>
      <c r="C9" s="298">
        <v>357</v>
      </c>
      <c r="D9" s="87"/>
      <c r="E9" s="87"/>
      <c r="F9" s="87"/>
      <c r="G9" s="87"/>
      <c r="H9" s="87"/>
      <c r="I9" s="87"/>
    </row>
    <row r="10" spans="1:9">
      <c r="A10" s="299" t="s">
        <v>789</v>
      </c>
      <c r="B10" s="295">
        <f t="shared" si="0"/>
        <v>9</v>
      </c>
      <c r="C10" s="295">
        <v>356</v>
      </c>
      <c r="D10" s="87"/>
      <c r="E10" s="87"/>
      <c r="F10" s="87"/>
      <c r="G10" s="87"/>
      <c r="H10" s="87"/>
      <c r="I10" s="87"/>
    </row>
    <row r="11" spans="1:9">
      <c r="A11" s="297" t="s">
        <v>790</v>
      </c>
      <c r="B11" s="298">
        <f t="shared" si="0"/>
        <v>10</v>
      </c>
      <c r="C11" s="298">
        <v>355</v>
      </c>
      <c r="D11" s="87"/>
      <c r="E11" s="87"/>
      <c r="F11" s="87"/>
      <c r="G11" s="87"/>
      <c r="H11" s="87"/>
      <c r="I11" s="87"/>
    </row>
    <row r="12" spans="1:9">
      <c r="A12" s="299" t="s">
        <v>791</v>
      </c>
      <c r="B12" s="295">
        <f t="shared" si="0"/>
        <v>11</v>
      </c>
      <c r="C12" s="295">
        <v>354</v>
      </c>
      <c r="D12" s="87"/>
      <c r="E12" s="87"/>
      <c r="F12" s="87"/>
      <c r="G12" s="87"/>
      <c r="H12" s="87"/>
      <c r="I12" s="87"/>
    </row>
    <row r="13" spans="1:9">
      <c r="A13" s="297" t="s">
        <v>792</v>
      </c>
      <c r="B13" s="298">
        <f t="shared" si="0"/>
        <v>12</v>
      </c>
      <c r="C13" s="298">
        <v>353</v>
      </c>
      <c r="D13" s="87"/>
      <c r="E13" s="87"/>
      <c r="F13" s="87"/>
      <c r="G13" s="87"/>
      <c r="H13" s="87"/>
      <c r="I13" s="87"/>
    </row>
    <row r="14" spans="1:9">
      <c r="A14" s="299" t="s">
        <v>793</v>
      </c>
      <c r="B14" s="295">
        <f t="shared" si="0"/>
        <v>13</v>
      </c>
      <c r="C14" s="295">
        <v>352</v>
      </c>
      <c r="D14" s="87"/>
      <c r="E14" s="87"/>
      <c r="F14" s="87"/>
      <c r="G14" s="87"/>
      <c r="H14" s="87"/>
      <c r="I14" s="87"/>
    </row>
    <row r="15" spans="1:9">
      <c r="A15" s="297" t="s">
        <v>794</v>
      </c>
      <c r="B15" s="298">
        <f t="shared" si="0"/>
        <v>14</v>
      </c>
      <c r="C15" s="298">
        <v>351</v>
      </c>
      <c r="D15" s="87"/>
      <c r="E15" s="87"/>
      <c r="F15" s="87"/>
      <c r="G15" s="87"/>
      <c r="H15" s="87"/>
      <c r="I15" s="87"/>
    </row>
    <row r="16" spans="1:9">
      <c r="A16" s="299" t="s">
        <v>795</v>
      </c>
      <c r="B16" s="295">
        <f t="shared" si="0"/>
        <v>15</v>
      </c>
      <c r="C16" s="295">
        <v>350</v>
      </c>
      <c r="D16" s="87"/>
      <c r="E16" s="87"/>
      <c r="F16" s="87"/>
      <c r="G16" s="87"/>
      <c r="H16" s="87"/>
      <c r="I16" s="87"/>
    </row>
    <row r="17" spans="1:9">
      <c r="A17" s="297" t="s">
        <v>796</v>
      </c>
      <c r="B17" s="298">
        <f t="shared" si="0"/>
        <v>16</v>
      </c>
      <c r="C17" s="298">
        <v>349</v>
      </c>
      <c r="D17" s="87"/>
      <c r="E17" s="87"/>
      <c r="F17" s="87"/>
      <c r="G17" s="87"/>
      <c r="H17" s="87"/>
      <c r="I17" s="87"/>
    </row>
    <row r="18" spans="1:9">
      <c r="A18" s="299" t="s">
        <v>797</v>
      </c>
      <c r="B18" s="295">
        <f t="shared" si="0"/>
        <v>17</v>
      </c>
      <c r="C18" s="295">
        <v>348</v>
      </c>
      <c r="D18" s="87"/>
      <c r="E18" s="87"/>
      <c r="F18" s="87"/>
      <c r="G18" s="87"/>
      <c r="H18" s="87"/>
      <c r="I18" s="87"/>
    </row>
    <row r="19" spans="1:9">
      <c r="A19" s="297" t="s">
        <v>798</v>
      </c>
      <c r="B19" s="298">
        <f t="shared" si="0"/>
        <v>18</v>
      </c>
      <c r="C19" s="298">
        <v>347</v>
      </c>
      <c r="D19" s="87"/>
      <c r="E19" s="87"/>
      <c r="F19" s="87"/>
      <c r="G19" s="87"/>
      <c r="H19" s="87"/>
      <c r="I19" s="87"/>
    </row>
    <row r="20" spans="1:9">
      <c r="A20" s="299" t="s">
        <v>799</v>
      </c>
      <c r="B20" s="295">
        <f t="shared" si="0"/>
        <v>19</v>
      </c>
      <c r="C20" s="295">
        <v>346</v>
      </c>
      <c r="D20" s="87"/>
      <c r="E20" s="87"/>
      <c r="F20" s="87"/>
      <c r="G20" s="87"/>
      <c r="H20" s="87"/>
      <c r="I20" s="87"/>
    </row>
    <row r="21" spans="1:9">
      <c r="A21" s="297" t="s">
        <v>800</v>
      </c>
      <c r="B21" s="298">
        <f t="shared" si="0"/>
        <v>20</v>
      </c>
      <c r="C21" s="298">
        <v>345</v>
      </c>
      <c r="D21" s="87"/>
      <c r="E21" s="87"/>
      <c r="F21" s="87"/>
      <c r="G21" s="87"/>
      <c r="H21" s="87"/>
      <c r="I21" s="87"/>
    </row>
    <row r="22" spans="1:9">
      <c r="A22" s="299" t="s">
        <v>801</v>
      </c>
      <c r="B22" s="295">
        <f t="shared" si="0"/>
        <v>21</v>
      </c>
      <c r="C22" s="295">
        <v>344</v>
      </c>
      <c r="D22" s="87"/>
      <c r="E22" s="87"/>
      <c r="F22" s="87"/>
      <c r="G22" s="87"/>
      <c r="H22" s="87"/>
      <c r="I22" s="87"/>
    </row>
    <row r="23" spans="1:9">
      <c r="A23" s="297" t="s">
        <v>802</v>
      </c>
      <c r="B23" s="298">
        <f t="shared" si="0"/>
        <v>22</v>
      </c>
      <c r="C23" s="298">
        <v>343</v>
      </c>
      <c r="D23" s="87"/>
      <c r="E23" s="87"/>
      <c r="F23" s="87"/>
      <c r="G23" s="87"/>
      <c r="H23" s="87"/>
      <c r="I23" s="87"/>
    </row>
    <row r="24" spans="1:9">
      <c r="A24" s="299" t="s">
        <v>803</v>
      </c>
      <c r="B24" s="295">
        <f t="shared" si="0"/>
        <v>23</v>
      </c>
      <c r="C24" s="295">
        <v>342</v>
      </c>
      <c r="D24" s="87"/>
      <c r="E24" s="87"/>
      <c r="F24" s="87"/>
      <c r="G24" s="87"/>
      <c r="H24" s="87"/>
      <c r="I24" s="87"/>
    </row>
    <row r="25" spans="1:9">
      <c r="A25" s="297" t="s">
        <v>804</v>
      </c>
      <c r="B25" s="298">
        <f t="shared" si="0"/>
        <v>24</v>
      </c>
      <c r="C25" s="298">
        <v>341</v>
      </c>
      <c r="D25" s="87"/>
      <c r="E25" s="87"/>
      <c r="F25" s="87"/>
      <c r="G25" s="87"/>
      <c r="H25" s="87"/>
      <c r="I25" s="87"/>
    </row>
    <row r="26" spans="1:9">
      <c r="A26" s="299" t="s">
        <v>805</v>
      </c>
      <c r="B26" s="295">
        <f t="shared" si="0"/>
        <v>25</v>
      </c>
      <c r="C26" s="295">
        <v>340</v>
      </c>
      <c r="D26" s="87"/>
      <c r="E26" s="87"/>
      <c r="F26" s="87"/>
      <c r="G26" s="87"/>
      <c r="H26" s="87"/>
      <c r="I26" s="87"/>
    </row>
    <row r="27" spans="1:9">
      <c r="A27" s="297" t="s">
        <v>806</v>
      </c>
      <c r="B27" s="298">
        <f t="shared" si="0"/>
        <v>26</v>
      </c>
      <c r="C27" s="298">
        <v>339</v>
      </c>
      <c r="D27" s="87"/>
      <c r="E27" s="87"/>
      <c r="F27" s="87"/>
      <c r="G27" s="87"/>
      <c r="H27" s="87"/>
      <c r="I27" s="87"/>
    </row>
    <row r="28" spans="1:9">
      <c r="A28" s="299" t="s">
        <v>807</v>
      </c>
      <c r="B28" s="295">
        <f t="shared" si="0"/>
        <v>27</v>
      </c>
      <c r="C28" s="295">
        <v>338</v>
      </c>
      <c r="D28" s="87"/>
      <c r="E28" s="87"/>
      <c r="F28" s="87"/>
      <c r="G28" s="87"/>
      <c r="H28" s="87"/>
      <c r="I28" s="87"/>
    </row>
    <row r="29" spans="1:9">
      <c r="A29" s="297" t="s">
        <v>808</v>
      </c>
      <c r="B29" s="298">
        <f t="shared" si="0"/>
        <v>28</v>
      </c>
      <c r="C29" s="298">
        <v>337</v>
      </c>
      <c r="D29" s="87"/>
      <c r="E29" s="87"/>
      <c r="F29" s="87"/>
      <c r="G29" s="87"/>
      <c r="H29" s="87"/>
      <c r="I29" s="87"/>
    </row>
    <row r="30" spans="1:9">
      <c r="A30" s="299" t="s">
        <v>809</v>
      </c>
      <c r="B30" s="295">
        <f t="shared" si="0"/>
        <v>29</v>
      </c>
      <c r="C30" s="295">
        <v>336</v>
      </c>
      <c r="D30" s="87"/>
      <c r="E30" s="87"/>
      <c r="F30" s="87"/>
      <c r="G30" s="87"/>
      <c r="H30" s="87"/>
      <c r="I30" s="87"/>
    </row>
    <row r="31" spans="1:9">
      <c r="A31" s="297" t="s">
        <v>810</v>
      </c>
      <c r="B31" s="298">
        <f t="shared" si="0"/>
        <v>30</v>
      </c>
      <c r="C31" s="298">
        <v>335</v>
      </c>
      <c r="D31" s="87"/>
      <c r="E31" s="87"/>
      <c r="F31" s="87"/>
      <c r="G31" s="87"/>
      <c r="H31" s="87"/>
      <c r="I31" s="87"/>
    </row>
    <row r="32" spans="1:9">
      <c r="A32" s="299" t="s">
        <v>811</v>
      </c>
      <c r="B32" s="295">
        <f t="shared" si="0"/>
        <v>31</v>
      </c>
      <c r="C32" s="295">
        <v>334</v>
      </c>
      <c r="D32" s="87"/>
      <c r="E32" s="87"/>
      <c r="F32" s="87"/>
      <c r="G32" s="87"/>
      <c r="H32" s="87"/>
      <c r="I32" s="87"/>
    </row>
    <row r="33" spans="1:9">
      <c r="A33" s="297" t="s">
        <v>812</v>
      </c>
      <c r="B33" s="298">
        <f t="shared" si="0"/>
        <v>32</v>
      </c>
      <c r="C33" s="298">
        <v>333</v>
      </c>
      <c r="D33" s="87"/>
      <c r="E33" s="87"/>
      <c r="F33" s="87"/>
      <c r="G33" s="87"/>
      <c r="H33" s="87"/>
      <c r="I33" s="87"/>
    </row>
    <row r="34" spans="1:9">
      <c r="A34" s="299" t="s">
        <v>813</v>
      </c>
      <c r="B34" s="295">
        <f t="shared" si="0"/>
        <v>33</v>
      </c>
      <c r="C34" s="295">
        <v>332</v>
      </c>
      <c r="D34" s="87"/>
      <c r="E34" s="87"/>
      <c r="F34" s="87"/>
      <c r="G34" s="87"/>
      <c r="H34" s="87"/>
      <c r="I34" s="87"/>
    </row>
    <row r="35" spans="1:9">
      <c r="A35" s="297" t="s">
        <v>814</v>
      </c>
      <c r="B35" s="298">
        <f t="shared" si="0"/>
        <v>34</v>
      </c>
      <c r="C35" s="298">
        <v>331</v>
      </c>
      <c r="D35" s="87"/>
      <c r="E35" s="87"/>
      <c r="F35" s="87"/>
      <c r="G35" s="87"/>
      <c r="H35" s="87"/>
      <c r="I35" s="87"/>
    </row>
    <row r="36" spans="1:9">
      <c r="A36" s="299" t="s">
        <v>815</v>
      </c>
      <c r="B36" s="295">
        <f t="shared" si="0"/>
        <v>35</v>
      </c>
      <c r="C36" s="295">
        <v>330</v>
      </c>
      <c r="D36" s="87"/>
      <c r="E36" s="87"/>
      <c r="F36" s="87"/>
      <c r="G36" s="87"/>
      <c r="H36" s="87"/>
      <c r="I36" s="87"/>
    </row>
    <row r="37" spans="1:9">
      <c r="A37" s="297" t="s">
        <v>816</v>
      </c>
      <c r="B37" s="298">
        <f t="shared" si="0"/>
        <v>36</v>
      </c>
      <c r="C37" s="298">
        <v>329</v>
      </c>
      <c r="D37" s="87"/>
      <c r="E37" s="87"/>
      <c r="F37" s="87"/>
      <c r="G37" s="87"/>
      <c r="H37" s="87"/>
      <c r="I37" s="87"/>
    </row>
    <row r="38" spans="1:9">
      <c r="A38" s="299" t="s">
        <v>817</v>
      </c>
      <c r="B38" s="295">
        <f t="shared" si="0"/>
        <v>37</v>
      </c>
      <c r="C38" s="295">
        <v>328</v>
      </c>
      <c r="D38" s="87"/>
      <c r="E38" s="87"/>
      <c r="F38" s="87"/>
      <c r="G38" s="87"/>
      <c r="H38" s="87"/>
      <c r="I38" s="87"/>
    </row>
    <row r="39" spans="1:9">
      <c r="A39" s="297" t="s">
        <v>818</v>
      </c>
      <c r="B39" s="298">
        <f t="shared" si="0"/>
        <v>38</v>
      </c>
      <c r="C39" s="298">
        <v>327</v>
      </c>
      <c r="D39" s="87"/>
      <c r="E39" s="87"/>
      <c r="F39" s="87"/>
      <c r="G39" s="87"/>
      <c r="H39" s="87"/>
      <c r="I39" s="87"/>
    </row>
    <row r="40" spans="1:9">
      <c r="A40" s="299" t="s">
        <v>819</v>
      </c>
      <c r="B40" s="295">
        <f t="shared" si="0"/>
        <v>39</v>
      </c>
      <c r="C40" s="295">
        <v>326</v>
      </c>
      <c r="D40" s="87"/>
      <c r="E40" s="87"/>
      <c r="F40" s="87"/>
      <c r="G40" s="87"/>
      <c r="H40" s="87"/>
      <c r="I40" s="87"/>
    </row>
    <row r="41" spans="1:9">
      <c r="A41" s="297" t="s">
        <v>820</v>
      </c>
      <c r="B41" s="298">
        <f t="shared" si="0"/>
        <v>40</v>
      </c>
      <c r="C41" s="298">
        <v>325</v>
      </c>
      <c r="D41" s="87"/>
      <c r="E41" s="87"/>
      <c r="F41" s="87"/>
      <c r="G41" s="87"/>
      <c r="H41" s="87"/>
      <c r="I41" s="87"/>
    </row>
    <row r="42" spans="1:9">
      <c r="A42" s="299" t="s">
        <v>821</v>
      </c>
      <c r="B42" s="295">
        <f t="shared" si="0"/>
        <v>41</v>
      </c>
      <c r="C42" s="295">
        <v>324</v>
      </c>
      <c r="D42" s="87"/>
      <c r="E42" s="87"/>
      <c r="F42" s="87"/>
      <c r="G42" s="87"/>
      <c r="H42" s="87"/>
      <c r="I42" s="87"/>
    </row>
    <row r="43" spans="1:9">
      <c r="A43" s="297" t="s">
        <v>822</v>
      </c>
      <c r="B43" s="298">
        <f t="shared" si="0"/>
        <v>42</v>
      </c>
      <c r="C43" s="298">
        <v>323</v>
      </c>
      <c r="D43" s="87"/>
      <c r="E43" s="87"/>
      <c r="F43" s="87"/>
      <c r="G43" s="87"/>
      <c r="H43" s="87"/>
      <c r="I43" s="87"/>
    </row>
    <row r="44" spans="1:9">
      <c r="A44" s="299" t="s">
        <v>823</v>
      </c>
      <c r="B44" s="295">
        <f t="shared" si="0"/>
        <v>43</v>
      </c>
      <c r="C44" s="295">
        <v>322</v>
      </c>
      <c r="D44" s="87"/>
      <c r="E44" s="87"/>
      <c r="F44" s="87"/>
      <c r="G44" s="87"/>
      <c r="H44" s="87"/>
      <c r="I44" s="87"/>
    </row>
    <row r="45" spans="1:9">
      <c r="A45" s="297" t="s">
        <v>824</v>
      </c>
      <c r="B45" s="298">
        <f t="shared" si="0"/>
        <v>44</v>
      </c>
      <c r="C45" s="298">
        <v>321</v>
      </c>
      <c r="D45" s="87"/>
      <c r="E45" s="87"/>
      <c r="F45" s="87"/>
      <c r="G45" s="87"/>
      <c r="H45" s="87"/>
      <c r="I45" s="87"/>
    </row>
    <row r="46" spans="1:9">
      <c r="A46" s="299" t="s">
        <v>825</v>
      </c>
      <c r="B46" s="295">
        <f t="shared" si="0"/>
        <v>45</v>
      </c>
      <c r="C46" s="295">
        <v>320</v>
      </c>
      <c r="D46" s="87"/>
      <c r="E46" s="87"/>
      <c r="F46" s="87"/>
      <c r="G46" s="87"/>
      <c r="H46" s="87"/>
      <c r="I46" s="87"/>
    </row>
    <row r="47" spans="1:9">
      <c r="A47" s="297" t="s">
        <v>826</v>
      </c>
      <c r="B47" s="298">
        <f t="shared" si="0"/>
        <v>46</v>
      </c>
      <c r="C47" s="298">
        <v>319</v>
      </c>
      <c r="D47" s="87"/>
      <c r="E47" s="87"/>
      <c r="F47" s="87"/>
      <c r="G47" s="87"/>
      <c r="H47" s="87"/>
      <c r="I47" s="87"/>
    </row>
    <row r="48" spans="1:9">
      <c r="A48" s="299" t="s">
        <v>827</v>
      </c>
      <c r="B48" s="295">
        <f t="shared" si="0"/>
        <v>47</v>
      </c>
      <c r="C48" s="295">
        <v>318</v>
      </c>
      <c r="D48" s="87"/>
      <c r="E48" s="87"/>
      <c r="F48" s="87"/>
      <c r="G48" s="87"/>
      <c r="H48" s="87"/>
      <c r="I48" s="87"/>
    </row>
    <row r="49" spans="1:9">
      <c r="A49" s="297" t="s">
        <v>828</v>
      </c>
      <c r="B49" s="298">
        <f t="shared" si="0"/>
        <v>48</v>
      </c>
      <c r="C49" s="298">
        <v>317</v>
      </c>
      <c r="D49" s="87"/>
      <c r="E49" s="87"/>
      <c r="F49" s="87"/>
      <c r="G49" s="87"/>
      <c r="H49" s="87"/>
      <c r="I49" s="87"/>
    </row>
    <row r="50" spans="1:9">
      <c r="A50" s="299" t="s">
        <v>829</v>
      </c>
      <c r="B50" s="295">
        <f t="shared" si="0"/>
        <v>49</v>
      </c>
      <c r="C50" s="295">
        <v>316</v>
      </c>
      <c r="D50" s="87"/>
      <c r="E50" s="87"/>
      <c r="F50" s="87"/>
      <c r="G50" s="87"/>
      <c r="H50" s="87"/>
      <c r="I50" s="87"/>
    </row>
    <row r="51" spans="1:9">
      <c r="A51" s="297" t="s">
        <v>830</v>
      </c>
      <c r="B51" s="298">
        <f t="shared" si="0"/>
        <v>50</v>
      </c>
      <c r="C51" s="298">
        <v>315</v>
      </c>
      <c r="D51" s="87"/>
      <c r="E51" s="87"/>
      <c r="F51" s="87"/>
      <c r="G51" s="87"/>
      <c r="H51" s="87"/>
      <c r="I51" s="87"/>
    </row>
    <row r="52" spans="1:9">
      <c r="A52" s="299" t="s">
        <v>831</v>
      </c>
      <c r="B52" s="295">
        <f t="shared" si="0"/>
        <v>51</v>
      </c>
      <c r="C52" s="295">
        <v>314</v>
      </c>
      <c r="D52" s="87"/>
      <c r="E52" s="87"/>
      <c r="F52" s="87"/>
      <c r="G52" s="87"/>
      <c r="H52" s="87"/>
      <c r="I52" s="87"/>
    </row>
    <row r="53" spans="1:9">
      <c r="A53" s="297" t="s">
        <v>832</v>
      </c>
      <c r="B53" s="298">
        <f t="shared" si="0"/>
        <v>52</v>
      </c>
      <c r="C53" s="298">
        <v>313</v>
      </c>
      <c r="D53" s="87"/>
      <c r="E53" s="87"/>
      <c r="F53" s="87"/>
      <c r="G53" s="87"/>
      <c r="H53" s="87"/>
      <c r="I53" s="87"/>
    </row>
    <row r="54" spans="1:9">
      <c r="A54" s="299" t="s">
        <v>833</v>
      </c>
      <c r="B54" s="295">
        <f t="shared" si="0"/>
        <v>53</v>
      </c>
      <c r="C54" s="295">
        <v>312</v>
      </c>
      <c r="D54" s="87"/>
      <c r="E54" s="87"/>
      <c r="F54" s="87"/>
      <c r="G54" s="87"/>
      <c r="H54" s="87"/>
      <c r="I54" s="87"/>
    </row>
    <row r="55" spans="1:9">
      <c r="A55" s="297" t="s">
        <v>834</v>
      </c>
      <c r="B55" s="298">
        <f t="shared" si="0"/>
        <v>54</v>
      </c>
      <c r="C55" s="298">
        <v>311</v>
      </c>
      <c r="D55" s="87"/>
      <c r="E55" s="87"/>
      <c r="F55" s="87"/>
      <c r="G55" s="87"/>
      <c r="H55" s="87"/>
      <c r="I55" s="87"/>
    </row>
    <row r="56" spans="1:9">
      <c r="A56" s="299" t="s">
        <v>835</v>
      </c>
      <c r="B56" s="295">
        <f t="shared" si="0"/>
        <v>55</v>
      </c>
      <c r="C56" s="295">
        <v>310</v>
      </c>
      <c r="D56" s="87"/>
      <c r="E56" s="87"/>
      <c r="F56" s="87"/>
      <c r="G56" s="87"/>
      <c r="H56" s="87"/>
      <c r="I56" s="87"/>
    </row>
    <row r="57" spans="1:9">
      <c r="A57" s="297" t="s">
        <v>836</v>
      </c>
      <c r="B57" s="298">
        <f t="shared" si="0"/>
        <v>56</v>
      </c>
      <c r="C57" s="298">
        <v>309</v>
      </c>
      <c r="D57" s="87"/>
      <c r="E57" s="87"/>
      <c r="F57" s="87"/>
      <c r="G57" s="87"/>
      <c r="H57" s="87"/>
      <c r="I57" s="87"/>
    </row>
    <row r="58" spans="1:9">
      <c r="A58" s="299" t="s">
        <v>837</v>
      </c>
      <c r="B58" s="295">
        <f t="shared" si="0"/>
        <v>57</v>
      </c>
      <c r="C58" s="295">
        <v>308</v>
      </c>
      <c r="D58" s="87"/>
      <c r="E58" s="87"/>
      <c r="F58" s="87"/>
      <c r="G58" s="87"/>
      <c r="H58" s="87"/>
      <c r="I58" s="87"/>
    </row>
    <row r="59" spans="1:9">
      <c r="A59" s="297" t="s">
        <v>838</v>
      </c>
      <c r="B59" s="298">
        <f t="shared" si="0"/>
        <v>58</v>
      </c>
      <c r="C59" s="298">
        <v>307</v>
      </c>
      <c r="D59" s="87"/>
      <c r="E59" s="87"/>
      <c r="F59" s="87"/>
      <c r="G59" s="87"/>
      <c r="H59" s="87"/>
      <c r="I59" s="87"/>
    </row>
    <row r="60" spans="1:9">
      <c r="A60" s="299" t="s">
        <v>839</v>
      </c>
      <c r="B60" s="295">
        <f t="shared" si="0"/>
        <v>59</v>
      </c>
      <c r="C60" s="295">
        <v>306</v>
      </c>
      <c r="D60" s="87"/>
      <c r="E60" s="87"/>
      <c r="F60" s="87"/>
      <c r="G60" s="87"/>
      <c r="H60" s="87"/>
      <c r="I60" s="87"/>
    </row>
    <row r="61" spans="1:9">
      <c r="A61" s="297" t="s">
        <v>840</v>
      </c>
      <c r="B61" s="298">
        <f t="shared" si="0"/>
        <v>60</v>
      </c>
      <c r="C61" s="298">
        <v>305</v>
      </c>
      <c r="D61" s="87"/>
      <c r="E61" s="87"/>
      <c r="F61" s="87"/>
      <c r="G61" s="87"/>
      <c r="H61" s="87"/>
      <c r="I61" s="87"/>
    </row>
    <row r="62" spans="1:9">
      <c r="A62" s="299" t="s">
        <v>841</v>
      </c>
      <c r="B62" s="295">
        <f t="shared" si="0"/>
        <v>61</v>
      </c>
      <c r="C62" s="295">
        <v>304</v>
      </c>
      <c r="D62" s="87"/>
      <c r="E62" s="87"/>
      <c r="F62" s="87"/>
      <c r="G62" s="87"/>
      <c r="H62" s="87"/>
      <c r="I62" s="87"/>
    </row>
    <row r="63" spans="1:9">
      <c r="A63" s="297" t="s">
        <v>842</v>
      </c>
      <c r="B63" s="298">
        <f t="shared" si="0"/>
        <v>62</v>
      </c>
      <c r="C63" s="298">
        <v>303</v>
      </c>
      <c r="D63" s="87"/>
      <c r="E63" s="87"/>
      <c r="F63" s="87"/>
      <c r="G63" s="87"/>
      <c r="H63" s="87"/>
      <c r="I63" s="87"/>
    </row>
    <row r="64" spans="1:9">
      <c r="A64" s="299" t="s">
        <v>843</v>
      </c>
      <c r="B64" s="295">
        <f t="shared" si="0"/>
        <v>63</v>
      </c>
      <c r="C64" s="295">
        <v>302</v>
      </c>
      <c r="D64" s="87"/>
      <c r="E64" s="87"/>
      <c r="F64" s="87"/>
      <c r="G64" s="87"/>
      <c r="H64" s="87"/>
      <c r="I64" s="87"/>
    </row>
    <row r="65" spans="1:9">
      <c r="A65" s="297" t="s">
        <v>844</v>
      </c>
      <c r="B65" s="298">
        <f t="shared" si="0"/>
        <v>64</v>
      </c>
      <c r="C65" s="298">
        <v>301</v>
      </c>
      <c r="D65" s="87"/>
      <c r="E65" s="87"/>
      <c r="F65" s="87"/>
      <c r="G65" s="87"/>
      <c r="H65" s="87"/>
      <c r="I65" s="87"/>
    </row>
    <row r="66" spans="1:9">
      <c r="A66" s="299" t="s">
        <v>845</v>
      </c>
      <c r="B66" s="295">
        <f t="shared" si="0"/>
        <v>65</v>
      </c>
      <c r="C66" s="295">
        <v>300</v>
      </c>
      <c r="D66" s="87"/>
      <c r="E66" s="87"/>
      <c r="F66" s="87"/>
      <c r="G66" s="87"/>
      <c r="H66" s="87"/>
      <c r="I66" s="87"/>
    </row>
    <row r="67" spans="1:9">
      <c r="A67" s="297" t="s">
        <v>846</v>
      </c>
      <c r="B67" s="298">
        <f t="shared" si="0"/>
        <v>66</v>
      </c>
      <c r="C67" s="298">
        <v>299</v>
      </c>
      <c r="D67" s="87"/>
      <c r="E67" s="87"/>
      <c r="F67" s="87"/>
      <c r="G67" s="87"/>
      <c r="H67" s="87"/>
      <c r="I67" s="87"/>
    </row>
    <row r="68" spans="1:9">
      <c r="A68" s="299" t="s">
        <v>847</v>
      </c>
      <c r="B68" s="295">
        <f t="shared" si="0"/>
        <v>67</v>
      </c>
      <c r="C68" s="295">
        <v>298</v>
      </c>
      <c r="D68" s="87"/>
      <c r="E68" s="87"/>
      <c r="F68" s="87"/>
      <c r="G68" s="87"/>
      <c r="H68" s="87"/>
      <c r="I68" s="87"/>
    </row>
    <row r="69" spans="1:9">
      <c r="A69" s="297" t="s">
        <v>848</v>
      </c>
      <c r="B69" s="298">
        <f t="shared" si="0"/>
        <v>68</v>
      </c>
      <c r="C69" s="298">
        <v>297</v>
      </c>
      <c r="D69" s="87"/>
      <c r="E69" s="87"/>
      <c r="F69" s="87"/>
      <c r="G69" s="87"/>
      <c r="H69" s="87"/>
      <c r="I69" s="87"/>
    </row>
    <row r="70" spans="1:9">
      <c r="A70" s="299" t="s">
        <v>849</v>
      </c>
      <c r="B70" s="295">
        <f t="shared" si="0"/>
        <v>69</v>
      </c>
      <c r="C70" s="295">
        <v>296</v>
      </c>
      <c r="D70" s="87"/>
      <c r="E70" s="87"/>
      <c r="F70" s="87"/>
      <c r="G70" s="87"/>
      <c r="H70" s="87"/>
      <c r="I70" s="87"/>
    </row>
    <row r="71" spans="1:9">
      <c r="A71" s="297" t="s">
        <v>850</v>
      </c>
      <c r="B71" s="298">
        <f t="shared" si="0"/>
        <v>70</v>
      </c>
      <c r="C71" s="298">
        <v>295</v>
      </c>
      <c r="D71" s="87"/>
      <c r="E71" s="87"/>
      <c r="F71" s="87"/>
      <c r="G71" s="87"/>
      <c r="H71" s="87"/>
      <c r="I71" s="87"/>
    </row>
    <row r="72" spans="1:9">
      <c r="A72" s="299" t="s">
        <v>851</v>
      </c>
      <c r="B72" s="295">
        <f t="shared" si="0"/>
        <v>71</v>
      </c>
      <c r="C72" s="295">
        <v>294</v>
      </c>
      <c r="D72" s="87"/>
      <c r="E72" s="87"/>
      <c r="F72" s="87"/>
      <c r="G72" s="87"/>
      <c r="H72" s="87"/>
      <c r="I72" s="87"/>
    </row>
    <row r="73" spans="1:9">
      <c r="A73" s="297" t="s">
        <v>852</v>
      </c>
      <c r="B73" s="298">
        <f t="shared" si="0"/>
        <v>72</v>
      </c>
      <c r="C73" s="298">
        <v>293</v>
      </c>
      <c r="D73" s="87"/>
      <c r="E73" s="87"/>
      <c r="F73" s="87"/>
      <c r="G73" s="87"/>
      <c r="H73" s="87"/>
      <c r="I73" s="87"/>
    </row>
    <row r="74" spans="1:9">
      <c r="A74" s="299" t="s">
        <v>853</v>
      </c>
      <c r="B74" s="295">
        <f t="shared" si="0"/>
        <v>73</v>
      </c>
      <c r="C74" s="295">
        <v>292</v>
      </c>
      <c r="D74" s="87"/>
      <c r="E74" s="87"/>
      <c r="F74" s="87"/>
      <c r="G74" s="87"/>
      <c r="H74" s="87"/>
      <c r="I74" s="87"/>
    </row>
    <row r="75" spans="1:9">
      <c r="A75" s="297" t="s">
        <v>854</v>
      </c>
      <c r="B75" s="298">
        <f t="shared" si="0"/>
        <v>74</v>
      </c>
      <c r="C75" s="298">
        <v>291</v>
      </c>
      <c r="D75" s="87"/>
      <c r="E75" s="87"/>
      <c r="F75" s="87"/>
      <c r="G75" s="87"/>
      <c r="H75" s="87"/>
      <c r="I75" s="87"/>
    </row>
    <row r="76" spans="1:9">
      <c r="A76" s="299" t="s">
        <v>855</v>
      </c>
      <c r="B76" s="295">
        <f t="shared" si="0"/>
        <v>75</v>
      </c>
      <c r="C76" s="295">
        <v>290</v>
      </c>
      <c r="D76" s="87"/>
      <c r="E76" s="87"/>
      <c r="F76" s="87"/>
      <c r="G76" s="87"/>
      <c r="H76" s="87"/>
      <c r="I76" s="87"/>
    </row>
    <row r="77" spans="1:9">
      <c r="A77" s="297" t="s">
        <v>856</v>
      </c>
      <c r="B77" s="298">
        <f t="shared" si="0"/>
        <v>76</v>
      </c>
      <c r="C77" s="298">
        <v>289</v>
      </c>
      <c r="D77" s="87"/>
      <c r="E77" s="87"/>
      <c r="F77" s="87"/>
      <c r="G77" s="87"/>
      <c r="H77" s="87"/>
      <c r="I77" s="87"/>
    </row>
    <row r="78" spans="1:9">
      <c r="A78" s="299" t="s">
        <v>857</v>
      </c>
      <c r="B78" s="295">
        <f t="shared" si="0"/>
        <v>77</v>
      </c>
      <c r="C78" s="295">
        <v>288</v>
      </c>
      <c r="D78" s="87"/>
      <c r="E78" s="87"/>
      <c r="F78" s="87"/>
      <c r="G78" s="87"/>
      <c r="H78" s="87"/>
      <c r="I78" s="87"/>
    </row>
    <row r="79" spans="1:9">
      <c r="A79" s="297" t="s">
        <v>858</v>
      </c>
      <c r="B79" s="298">
        <f t="shared" si="0"/>
        <v>78</v>
      </c>
      <c r="C79" s="298">
        <v>287</v>
      </c>
      <c r="D79" s="87"/>
      <c r="E79" s="87"/>
      <c r="F79" s="87"/>
      <c r="G79" s="87"/>
      <c r="H79" s="87"/>
      <c r="I79" s="87"/>
    </row>
    <row r="80" spans="1:9">
      <c r="A80" s="299" t="s">
        <v>859</v>
      </c>
      <c r="B80" s="295">
        <f t="shared" si="0"/>
        <v>79</v>
      </c>
      <c r="C80" s="295">
        <v>286</v>
      </c>
      <c r="D80" s="87"/>
      <c r="E80" s="87"/>
      <c r="F80" s="87"/>
      <c r="G80" s="87"/>
      <c r="H80" s="87"/>
      <c r="I80" s="87"/>
    </row>
    <row r="81" spans="1:9">
      <c r="A81" s="297" t="s">
        <v>860</v>
      </c>
      <c r="B81" s="298">
        <f t="shared" si="0"/>
        <v>80</v>
      </c>
      <c r="C81" s="298">
        <v>285</v>
      </c>
      <c r="D81" s="87"/>
      <c r="E81" s="87"/>
      <c r="F81" s="87"/>
      <c r="G81" s="87"/>
      <c r="H81" s="87"/>
      <c r="I81" s="87"/>
    </row>
    <row r="82" spans="1:9">
      <c r="A82" s="299" t="s">
        <v>861</v>
      </c>
      <c r="B82" s="295">
        <f t="shared" si="0"/>
        <v>81</v>
      </c>
      <c r="C82" s="295">
        <v>284</v>
      </c>
      <c r="D82" s="87"/>
      <c r="E82" s="87"/>
      <c r="F82" s="87"/>
      <c r="G82" s="87"/>
      <c r="H82" s="87"/>
      <c r="I82" s="87"/>
    </row>
    <row r="83" spans="1:9">
      <c r="A83" s="297" t="s">
        <v>862</v>
      </c>
      <c r="B83" s="298">
        <f t="shared" si="0"/>
        <v>82</v>
      </c>
      <c r="C83" s="298">
        <v>283</v>
      </c>
      <c r="D83" s="87"/>
      <c r="E83" s="87"/>
      <c r="F83" s="87"/>
      <c r="G83" s="87"/>
      <c r="H83" s="87"/>
      <c r="I83" s="87"/>
    </row>
    <row r="84" spans="1:9">
      <c r="A84" s="299" t="s">
        <v>863</v>
      </c>
      <c r="B84" s="295">
        <f t="shared" si="0"/>
        <v>83</v>
      </c>
      <c r="C84" s="295">
        <v>282</v>
      </c>
      <c r="D84" s="87"/>
      <c r="E84" s="87"/>
      <c r="F84" s="87"/>
      <c r="G84" s="87"/>
      <c r="H84" s="87"/>
      <c r="I84" s="87"/>
    </row>
    <row r="85" spans="1:9">
      <c r="A85" s="297" t="s">
        <v>864</v>
      </c>
      <c r="B85" s="298">
        <f t="shared" si="0"/>
        <v>84</v>
      </c>
      <c r="C85" s="298">
        <v>281</v>
      </c>
      <c r="D85" s="87"/>
      <c r="E85" s="87"/>
      <c r="F85" s="87"/>
      <c r="G85" s="87"/>
      <c r="H85" s="87"/>
      <c r="I85" s="87"/>
    </row>
    <row r="86" spans="1:9">
      <c r="A86" s="299" t="s">
        <v>865</v>
      </c>
      <c r="B86" s="295">
        <f t="shared" si="0"/>
        <v>85</v>
      </c>
      <c r="C86" s="295">
        <v>280</v>
      </c>
      <c r="D86" s="87"/>
      <c r="E86" s="87"/>
      <c r="F86" s="87"/>
      <c r="G86" s="87"/>
      <c r="H86" s="87"/>
      <c r="I86" s="87"/>
    </row>
    <row r="87" spans="1:9">
      <c r="A87" s="297" t="s">
        <v>866</v>
      </c>
      <c r="B87" s="298">
        <f t="shared" si="0"/>
        <v>86</v>
      </c>
      <c r="C87" s="298">
        <v>279</v>
      </c>
      <c r="D87" s="87"/>
      <c r="E87" s="87"/>
      <c r="F87" s="87"/>
      <c r="G87" s="87"/>
      <c r="H87" s="87"/>
      <c r="I87" s="87"/>
    </row>
    <row r="88" spans="1:9">
      <c r="A88" s="299" t="s">
        <v>867</v>
      </c>
      <c r="B88" s="295">
        <f t="shared" si="0"/>
        <v>87</v>
      </c>
      <c r="C88" s="295">
        <v>278</v>
      </c>
      <c r="D88" s="87"/>
      <c r="E88" s="87"/>
      <c r="F88" s="87"/>
      <c r="G88" s="87"/>
      <c r="H88" s="87"/>
      <c r="I88" s="87"/>
    </row>
    <row r="89" spans="1:9">
      <c r="A89" s="297" t="s">
        <v>868</v>
      </c>
      <c r="B89" s="298">
        <f t="shared" si="0"/>
        <v>88</v>
      </c>
      <c r="C89" s="298">
        <v>277</v>
      </c>
      <c r="D89" s="87"/>
      <c r="E89" s="87"/>
      <c r="F89" s="87"/>
      <c r="G89" s="87"/>
      <c r="H89" s="87"/>
      <c r="I89" s="87"/>
    </row>
    <row r="90" spans="1:9">
      <c r="A90" s="299" t="s">
        <v>869</v>
      </c>
      <c r="B90" s="295">
        <f t="shared" si="0"/>
        <v>89</v>
      </c>
      <c r="C90" s="295">
        <v>276</v>
      </c>
      <c r="D90" s="87"/>
      <c r="E90" s="87"/>
      <c r="F90" s="87"/>
      <c r="G90" s="87"/>
      <c r="H90" s="87"/>
      <c r="I90" s="87"/>
    </row>
    <row r="91" spans="1:9">
      <c r="A91" s="297" t="s">
        <v>870</v>
      </c>
      <c r="B91" s="298">
        <f t="shared" si="0"/>
        <v>90</v>
      </c>
      <c r="C91" s="298">
        <v>275</v>
      </c>
      <c r="D91" s="87"/>
      <c r="E91" s="87"/>
      <c r="F91" s="87"/>
      <c r="G91" s="87"/>
      <c r="H91" s="87"/>
      <c r="I91" s="87"/>
    </row>
    <row r="92" spans="1:9">
      <c r="A92" s="299" t="s">
        <v>871</v>
      </c>
      <c r="B92" s="295">
        <f t="shared" si="0"/>
        <v>91</v>
      </c>
      <c r="C92" s="295">
        <v>274</v>
      </c>
      <c r="D92" s="87"/>
      <c r="E92" s="87"/>
      <c r="F92" s="87"/>
      <c r="G92" s="87"/>
      <c r="H92" s="87"/>
      <c r="I92" s="87"/>
    </row>
    <row r="93" spans="1:9">
      <c r="A93" s="297" t="s">
        <v>872</v>
      </c>
      <c r="B93" s="298">
        <f t="shared" si="0"/>
        <v>92</v>
      </c>
      <c r="C93" s="298">
        <v>273</v>
      </c>
      <c r="D93" s="87"/>
      <c r="E93" s="87"/>
      <c r="F93" s="87"/>
      <c r="G93" s="87"/>
      <c r="H93" s="87"/>
      <c r="I93" s="87"/>
    </row>
    <row r="94" spans="1:9">
      <c r="A94" s="299" t="s">
        <v>873</v>
      </c>
      <c r="B94" s="295">
        <f t="shared" si="0"/>
        <v>93</v>
      </c>
      <c r="C94" s="295">
        <v>272</v>
      </c>
      <c r="D94" s="87"/>
      <c r="E94" s="87"/>
      <c r="F94" s="87"/>
      <c r="G94" s="87"/>
      <c r="H94" s="87"/>
      <c r="I94" s="87"/>
    </row>
    <row r="95" spans="1:9">
      <c r="A95" s="297" t="s">
        <v>874</v>
      </c>
      <c r="B95" s="298">
        <f t="shared" si="0"/>
        <v>94</v>
      </c>
      <c r="C95" s="298">
        <v>271</v>
      </c>
      <c r="D95" s="87"/>
      <c r="E95" s="87"/>
      <c r="F95" s="87"/>
      <c r="G95" s="87"/>
      <c r="H95" s="87"/>
      <c r="I95" s="87"/>
    </row>
    <row r="96" spans="1:9">
      <c r="A96" s="299" t="s">
        <v>875</v>
      </c>
      <c r="B96" s="295">
        <f t="shared" si="0"/>
        <v>95</v>
      </c>
      <c r="C96" s="295">
        <v>270</v>
      </c>
      <c r="D96" s="87"/>
      <c r="E96" s="87"/>
      <c r="F96" s="87"/>
      <c r="G96" s="87"/>
      <c r="H96" s="87"/>
      <c r="I96" s="87"/>
    </row>
    <row r="97" spans="1:9">
      <c r="A97" s="297" t="s">
        <v>876</v>
      </c>
      <c r="B97" s="298">
        <f t="shared" si="0"/>
        <v>96</v>
      </c>
      <c r="C97" s="298">
        <v>269</v>
      </c>
      <c r="D97" s="87"/>
      <c r="E97" s="87"/>
      <c r="F97" s="87"/>
      <c r="G97" s="87"/>
      <c r="H97" s="87"/>
      <c r="I97" s="87"/>
    </row>
    <row r="98" spans="1:9">
      <c r="A98" s="299" t="s">
        <v>877</v>
      </c>
      <c r="B98" s="295">
        <f t="shared" si="0"/>
        <v>97</v>
      </c>
      <c r="C98" s="295">
        <v>268</v>
      </c>
      <c r="D98" s="87"/>
      <c r="E98" s="87"/>
      <c r="F98" s="87"/>
      <c r="G98" s="87"/>
      <c r="H98" s="87"/>
      <c r="I98" s="87"/>
    </row>
    <row r="99" spans="1:9">
      <c r="A99" s="297" t="s">
        <v>878</v>
      </c>
      <c r="B99" s="298">
        <f t="shared" si="0"/>
        <v>98</v>
      </c>
      <c r="C99" s="298">
        <v>267</v>
      </c>
      <c r="D99" s="87"/>
      <c r="E99" s="87"/>
      <c r="F99" s="87"/>
      <c r="G99" s="87"/>
      <c r="H99" s="87"/>
      <c r="I99" s="87"/>
    </row>
    <row r="100" spans="1:9">
      <c r="A100" s="299" t="s">
        <v>879</v>
      </c>
      <c r="B100" s="295">
        <f t="shared" si="0"/>
        <v>99</v>
      </c>
      <c r="C100" s="295">
        <v>266</v>
      </c>
      <c r="D100" s="87"/>
      <c r="E100" s="87"/>
      <c r="F100" s="87"/>
      <c r="G100" s="87"/>
      <c r="H100" s="87"/>
      <c r="I100" s="87"/>
    </row>
    <row r="101" spans="1:9">
      <c r="A101" s="297" t="s">
        <v>880</v>
      </c>
      <c r="B101" s="298">
        <f t="shared" si="0"/>
        <v>100</v>
      </c>
      <c r="C101" s="298">
        <v>265</v>
      </c>
      <c r="D101" s="87"/>
      <c r="E101" s="87"/>
      <c r="F101" s="87"/>
      <c r="G101" s="87"/>
      <c r="H101" s="87"/>
      <c r="I101" s="87"/>
    </row>
    <row r="102" spans="1:9">
      <c r="A102" s="299" t="s">
        <v>881</v>
      </c>
      <c r="B102" s="295">
        <f t="shared" si="0"/>
        <v>101</v>
      </c>
      <c r="C102" s="295">
        <v>264</v>
      </c>
      <c r="D102" s="87"/>
      <c r="E102" s="87"/>
      <c r="F102" s="87"/>
      <c r="G102" s="87"/>
      <c r="H102" s="87"/>
      <c r="I102" s="87"/>
    </row>
    <row r="103" spans="1:9">
      <c r="A103" s="297" t="s">
        <v>882</v>
      </c>
      <c r="B103" s="298">
        <f t="shared" si="0"/>
        <v>102</v>
      </c>
      <c r="C103" s="298">
        <v>263</v>
      </c>
      <c r="D103" s="87"/>
      <c r="E103" s="87"/>
      <c r="F103" s="87"/>
      <c r="G103" s="87"/>
      <c r="H103" s="87"/>
      <c r="I103" s="87"/>
    </row>
    <row r="104" spans="1:9">
      <c r="A104" s="299" t="s">
        <v>883</v>
      </c>
      <c r="B104" s="295">
        <f t="shared" si="0"/>
        <v>103</v>
      </c>
      <c r="C104" s="295">
        <v>262</v>
      </c>
      <c r="D104" s="87"/>
      <c r="E104" s="87"/>
      <c r="F104" s="87"/>
      <c r="G104" s="87"/>
      <c r="H104" s="87"/>
      <c r="I104" s="87"/>
    </row>
    <row r="105" spans="1:9">
      <c r="A105" s="297" t="s">
        <v>884</v>
      </c>
      <c r="B105" s="298">
        <f t="shared" si="0"/>
        <v>104</v>
      </c>
      <c r="C105" s="298">
        <v>261</v>
      </c>
      <c r="D105" s="87"/>
      <c r="E105" s="87"/>
      <c r="F105" s="87"/>
      <c r="G105" s="87"/>
      <c r="H105" s="87"/>
      <c r="I105" s="87"/>
    </row>
    <row r="106" spans="1:9">
      <c r="A106" s="299" t="s">
        <v>885</v>
      </c>
      <c r="B106" s="295">
        <f t="shared" si="0"/>
        <v>105</v>
      </c>
      <c r="C106" s="295">
        <v>260</v>
      </c>
      <c r="D106" s="87"/>
      <c r="E106" s="87"/>
      <c r="F106" s="87"/>
      <c r="G106" s="87"/>
      <c r="H106" s="87"/>
      <c r="I106" s="87"/>
    </row>
    <row r="107" spans="1:9">
      <c r="A107" s="297" t="s">
        <v>886</v>
      </c>
      <c r="B107" s="298">
        <f t="shared" si="0"/>
        <v>106</v>
      </c>
      <c r="C107" s="298">
        <v>259</v>
      </c>
      <c r="D107" s="87"/>
      <c r="E107" s="87"/>
      <c r="F107" s="87"/>
      <c r="G107" s="87"/>
      <c r="H107" s="87"/>
      <c r="I107" s="87"/>
    </row>
    <row r="108" spans="1:9">
      <c r="A108" s="299" t="s">
        <v>887</v>
      </c>
      <c r="B108" s="295">
        <f t="shared" si="0"/>
        <v>107</v>
      </c>
      <c r="C108" s="295">
        <v>258</v>
      </c>
      <c r="D108" s="87"/>
      <c r="E108" s="87"/>
      <c r="F108" s="87"/>
      <c r="G108" s="87"/>
      <c r="H108" s="87"/>
      <c r="I108" s="87"/>
    </row>
    <row r="109" spans="1:9">
      <c r="A109" s="297" t="s">
        <v>888</v>
      </c>
      <c r="B109" s="298">
        <f t="shared" si="0"/>
        <v>108</v>
      </c>
      <c r="C109" s="298">
        <v>257</v>
      </c>
      <c r="D109" s="87"/>
      <c r="E109" s="87"/>
      <c r="F109" s="87"/>
      <c r="G109" s="87"/>
      <c r="H109" s="87"/>
      <c r="I109" s="87"/>
    </row>
    <row r="110" spans="1:9">
      <c r="A110" s="299" t="s">
        <v>889</v>
      </c>
      <c r="B110" s="295">
        <f t="shared" si="0"/>
        <v>109</v>
      </c>
      <c r="C110" s="295">
        <v>256</v>
      </c>
      <c r="D110" s="87"/>
      <c r="E110" s="87"/>
      <c r="F110" s="87"/>
      <c r="G110" s="87"/>
      <c r="H110" s="87"/>
      <c r="I110" s="87"/>
    </row>
    <row r="111" spans="1:9">
      <c r="A111" s="297" t="s">
        <v>890</v>
      </c>
      <c r="B111" s="298">
        <f t="shared" si="0"/>
        <v>110</v>
      </c>
      <c r="C111" s="298">
        <v>255</v>
      </c>
      <c r="D111" s="87"/>
      <c r="E111" s="87"/>
      <c r="F111" s="87"/>
      <c r="G111" s="87"/>
      <c r="H111" s="87"/>
      <c r="I111" s="87"/>
    </row>
    <row r="112" spans="1:9">
      <c r="A112" s="299" t="s">
        <v>891</v>
      </c>
      <c r="B112" s="295">
        <f t="shared" si="0"/>
        <v>111</v>
      </c>
      <c r="C112" s="295">
        <v>254</v>
      </c>
      <c r="D112" s="87"/>
      <c r="E112" s="87"/>
      <c r="F112" s="87"/>
      <c r="G112" s="87"/>
      <c r="H112" s="87"/>
      <c r="I112" s="87"/>
    </row>
    <row r="113" spans="1:9">
      <c r="A113" s="297" t="s">
        <v>892</v>
      </c>
      <c r="B113" s="298">
        <f t="shared" si="0"/>
        <v>112</v>
      </c>
      <c r="C113" s="298">
        <v>253</v>
      </c>
      <c r="D113" s="87"/>
      <c r="E113" s="87"/>
      <c r="F113" s="87"/>
      <c r="G113" s="87"/>
      <c r="H113" s="87"/>
      <c r="I113" s="87"/>
    </row>
    <row r="114" spans="1:9">
      <c r="A114" s="299" t="s">
        <v>893</v>
      </c>
      <c r="B114" s="295">
        <f t="shared" si="0"/>
        <v>113</v>
      </c>
      <c r="C114" s="295">
        <v>252</v>
      </c>
      <c r="D114" s="87"/>
      <c r="E114" s="87"/>
      <c r="F114" s="87"/>
      <c r="G114" s="87"/>
      <c r="H114" s="87"/>
      <c r="I114" s="87"/>
    </row>
    <row r="115" spans="1:9">
      <c r="A115" s="297" t="s">
        <v>894</v>
      </c>
      <c r="B115" s="298">
        <f t="shared" si="0"/>
        <v>114</v>
      </c>
      <c r="C115" s="298">
        <v>251</v>
      </c>
      <c r="D115" s="87"/>
      <c r="E115" s="87"/>
      <c r="F115" s="87"/>
      <c r="G115" s="87"/>
      <c r="H115" s="87"/>
      <c r="I115" s="87"/>
    </row>
    <row r="116" spans="1:9">
      <c r="A116" s="299" t="s">
        <v>895</v>
      </c>
      <c r="B116" s="295">
        <f t="shared" si="0"/>
        <v>115</v>
      </c>
      <c r="C116" s="295">
        <v>250</v>
      </c>
      <c r="D116" s="87"/>
      <c r="E116" s="87"/>
      <c r="F116" s="87"/>
      <c r="G116" s="87"/>
      <c r="H116" s="87"/>
      <c r="I116" s="87"/>
    </row>
    <row r="117" spans="1:9">
      <c r="A117" s="297" t="s">
        <v>896</v>
      </c>
      <c r="B117" s="298">
        <f t="shared" si="0"/>
        <v>116</v>
      </c>
      <c r="C117" s="298">
        <v>249</v>
      </c>
      <c r="D117" s="87"/>
      <c r="E117" s="87"/>
      <c r="F117" s="87"/>
      <c r="G117" s="87"/>
      <c r="H117" s="87"/>
      <c r="I117" s="87"/>
    </row>
    <row r="118" spans="1:9">
      <c r="A118" s="299" t="s">
        <v>897</v>
      </c>
      <c r="B118" s="295">
        <f t="shared" si="0"/>
        <v>117</v>
      </c>
      <c r="C118" s="295">
        <v>248</v>
      </c>
      <c r="D118" s="87"/>
      <c r="E118" s="87"/>
      <c r="F118" s="87"/>
      <c r="G118" s="87"/>
      <c r="H118" s="87"/>
      <c r="I118" s="87"/>
    </row>
    <row r="119" spans="1:9">
      <c r="A119" s="297" t="s">
        <v>898</v>
      </c>
      <c r="B119" s="298">
        <f t="shared" si="0"/>
        <v>118</v>
      </c>
      <c r="C119" s="298">
        <v>247</v>
      </c>
      <c r="D119" s="87"/>
      <c r="E119" s="87"/>
      <c r="F119" s="87"/>
      <c r="G119" s="87"/>
      <c r="H119" s="87"/>
      <c r="I119" s="87"/>
    </row>
    <row r="120" spans="1:9">
      <c r="A120" s="299" t="s">
        <v>899</v>
      </c>
      <c r="B120" s="295">
        <f t="shared" si="0"/>
        <v>119</v>
      </c>
      <c r="C120" s="295">
        <v>246</v>
      </c>
      <c r="D120" s="87"/>
      <c r="E120" s="87"/>
      <c r="F120" s="87"/>
      <c r="G120" s="87"/>
      <c r="H120" s="87"/>
      <c r="I120" s="87"/>
    </row>
    <row r="121" spans="1:9">
      <c r="A121" s="297" t="s">
        <v>900</v>
      </c>
      <c r="B121" s="298">
        <f t="shared" si="0"/>
        <v>120</v>
      </c>
      <c r="C121" s="298">
        <v>245</v>
      </c>
      <c r="D121" s="87"/>
      <c r="E121" s="87"/>
      <c r="F121" s="87"/>
      <c r="G121" s="87"/>
      <c r="H121" s="87"/>
      <c r="I121" s="87"/>
    </row>
    <row r="122" spans="1:9">
      <c r="A122" s="299" t="s">
        <v>901</v>
      </c>
      <c r="B122" s="295">
        <f t="shared" si="0"/>
        <v>121</v>
      </c>
      <c r="C122" s="295">
        <v>244</v>
      </c>
      <c r="D122" s="87"/>
      <c r="E122" s="87"/>
      <c r="F122" s="87"/>
      <c r="G122" s="87"/>
      <c r="H122" s="87"/>
      <c r="I122" s="87"/>
    </row>
    <row r="123" spans="1:9">
      <c r="A123" s="297" t="s">
        <v>902</v>
      </c>
      <c r="B123" s="298">
        <f t="shared" si="0"/>
        <v>122</v>
      </c>
      <c r="C123" s="298">
        <v>243</v>
      </c>
      <c r="D123" s="87"/>
      <c r="E123" s="87"/>
      <c r="F123" s="87"/>
      <c r="G123" s="87"/>
      <c r="H123" s="87"/>
      <c r="I123" s="87"/>
    </row>
    <row r="124" spans="1:9">
      <c r="A124" s="299" t="s">
        <v>903</v>
      </c>
      <c r="B124" s="295">
        <f t="shared" si="0"/>
        <v>123</v>
      </c>
      <c r="C124" s="295">
        <v>242</v>
      </c>
      <c r="D124" s="87"/>
      <c r="E124" s="87"/>
      <c r="F124" s="87"/>
      <c r="G124" s="87"/>
      <c r="H124" s="87"/>
      <c r="I124" s="87"/>
    </row>
    <row r="125" spans="1:9">
      <c r="A125" s="297" t="s">
        <v>904</v>
      </c>
      <c r="B125" s="298">
        <f t="shared" si="0"/>
        <v>124</v>
      </c>
      <c r="C125" s="298">
        <v>241</v>
      </c>
      <c r="D125" s="87"/>
      <c r="E125" s="87"/>
      <c r="F125" s="87"/>
      <c r="G125" s="87"/>
      <c r="H125" s="87"/>
      <c r="I125" s="87"/>
    </row>
    <row r="126" spans="1:9">
      <c r="A126" s="299" t="s">
        <v>905</v>
      </c>
      <c r="B126" s="295">
        <f t="shared" si="0"/>
        <v>125</v>
      </c>
      <c r="C126" s="295">
        <v>240</v>
      </c>
      <c r="D126" s="87"/>
      <c r="E126" s="87"/>
      <c r="F126" s="87"/>
      <c r="G126" s="87"/>
      <c r="H126" s="87"/>
      <c r="I126" s="87"/>
    </row>
    <row r="127" spans="1:9">
      <c r="A127" s="297" t="s">
        <v>906</v>
      </c>
      <c r="B127" s="298">
        <f t="shared" si="0"/>
        <v>126</v>
      </c>
      <c r="C127" s="298">
        <v>239</v>
      </c>
      <c r="D127" s="87"/>
      <c r="E127" s="87"/>
      <c r="F127" s="87"/>
      <c r="G127" s="87"/>
      <c r="H127" s="87"/>
      <c r="I127" s="87"/>
    </row>
    <row r="128" spans="1:9">
      <c r="A128" s="299" t="s">
        <v>907</v>
      </c>
      <c r="B128" s="295">
        <f t="shared" si="0"/>
        <v>127</v>
      </c>
      <c r="C128" s="295">
        <v>238</v>
      </c>
      <c r="D128" s="87"/>
      <c r="E128" s="87"/>
      <c r="F128" s="87"/>
      <c r="G128" s="87"/>
      <c r="H128" s="87"/>
      <c r="I128" s="87"/>
    </row>
    <row r="129" spans="1:9">
      <c r="A129" s="297" t="s">
        <v>908</v>
      </c>
      <c r="B129" s="298">
        <f t="shared" si="0"/>
        <v>128</v>
      </c>
      <c r="C129" s="298">
        <v>237</v>
      </c>
      <c r="D129" s="87"/>
      <c r="E129" s="87"/>
      <c r="F129" s="87"/>
      <c r="G129" s="87"/>
      <c r="H129" s="87"/>
      <c r="I129" s="87"/>
    </row>
    <row r="130" spans="1:9">
      <c r="A130" s="299" t="s">
        <v>909</v>
      </c>
      <c r="B130" s="295">
        <f t="shared" si="0"/>
        <v>129</v>
      </c>
      <c r="C130" s="295">
        <v>236</v>
      </c>
      <c r="D130" s="87"/>
      <c r="E130" s="87"/>
      <c r="F130" s="87"/>
      <c r="G130" s="87"/>
      <c r="H130" s="87"/>
      <c r="I130" s="87"/>
    </row>
    <row r="131" spans="1:9">
      <c r="A131" s="297" t="s">
        <v>910</v>
      </c>
      <c r="B131" s="298">
        <f t="shared" si="0"/>
        <v>130</v>
      </c>
      <c r="C131" s="298">
        <v>235</v>
      </c>
      <c r="D131" s="87"/>
      <c r="E131" s="87"/>
      <c r="F131" s="87"/>
      <c r="G131" s="87"/>
      <c r="H131" s="87"/>
      <c r="I131" s="87"/>
    </row>
    <row r="132" spans="1:9">
      <c r="A132" s="299" t="s">
        <v>911</v>
      </c>
      <c r="B132" s="295">
        <f t="shared" si="0"/>
        <v>131</v>
      </c>
      <c r="C132" s="295">
        <v>234</v>
      </c>
      <c r="D132" s="87"/>
      <c r="E132" s="87"/>
      <c r="F132" s="87"/>
      <c r="G132" s="87"/>
      <c r="H132" s="87"/>
      <c r="I132" s="87"/>
    </row>
    <row r="133" spans="1:9">
      <c r="A133" s="297" t="s">
        <v>912</v>
      </c>
      <c r="B133" s="298">
        <f t="shared" si="0"/>
        <v>132</v>
      </c>
      <c r="C133" s="298">
        <v>233</v>
      </c>
      <c r="D133" s="87"/>
      <c r="E133" s="87"/>
      <c r="F133" s="87"/>
      <c r="G133" s="87"/>
      <c r="H133" s="87"/>
      <c r="I133" s="87"/>
    </row>
    <row r="134" spans="1:9">
      <c r="A134" s="299" t="s">
        <v>913</v>
      </c>
      <c r="B134" s="295">
        <f t="shared" si="0"/>
        <v>133</v>
      </c>
      <c r="C134" s="295">
        <v>232</v>
      </c>
      <c r="D134" s="87"/>
      <c r="E134" s="87"/>
      <c r="F134" s="87"/>
      <c r="G134" s="87"/>
      <c r="H134" s="87"/>
      <c r="I134" s="87"/>
    </row>
    <row r="135" spans="1:9">
      <c r="A135" s="297" t="s">
        <v>914</v>
      </c>
      <c r="B135" s="298">
        <f t="shared" si="0"/>
        <v>134</v>
      </c>
      <c r="C135" s="298">
        <v>231</v>
      </c>
      <c r="D135" s="87"/>
      <c r="E135" s="87"/>
      <c r="F135" s="87"/>
      <c r="G135" s="87"/>
      <c r="H135" s="87"/>
      <c r="I135" s="87"/>
    </row>
    <row r="136" spans="1:9">
      <c r="A136" s="299" t="s">
        <v>915</v>
      </c>
      <c r="B136" s="295">
        <f t="shared" si="0"/>
        <v>135</v>
      </c>
      <c r="C136" s="295">
        <v>230</v>
      </c>
      <c r="D136" s="87"/>
      <c r="E136" s="87"/>
      <c r="F136" s="87"/>
      <c r="G136" s="87"/>
      <c r="H136" s="87"/>
      <c r="I136" s="87"/>
    </row>
    <row r="137" spans="1:9">
      <c r="A137" s="297" t="s">
        <v>916</v>
      </c>
      <c r="B137" s="298">
        <f t="shared" si="0"/>
        <v>136</v>
      </c>
      <c r="C137" s="298">
        <v>229</v>
      </c>
      <c r="D137" s="87"/>
      <c r="E137" s="87"/>
      <c r="F137" s="87"/>
      <c r="G137" s="87"/>
      <c r="H137" s="87"/>
      <c r="I137" s="87"/>
    </row>
    <row r="138" spans="1:9">
      <c r="A138" s="299" t="s">
        <v>917</v>
      </c>
      <c r="B138" s="295">
        <f t="shared" si="0"/>
        <v>137</v>
      </c>
      <c r="C138" s="295">
        <v>228</v>
      </c>
      <c r="D138" s="87"/>
      <c r="E138" s="87"/>
      <c r="F138" s="87"/>
      <c r="G138" s="87"/>
      <c r="H138" s="87"/>
      <c r="I138" s="87"/>
    </row>
    <row r="139" spans="1:9">
      <c r="A139" s="297" t="s">
        <v>918</v>
      </c>
      <c r="B139" s="298">
        <f t="shared" si="0"/>
        <v>138</v>
      </c>
      <c r="C139" s="298">
        <v>227</v>
      </c>
      <c r="D139" s="87"/>
      <c r="E139" s="87"/>
      <c r="F139" s="87"/>
      <c r="G139" s="87"/>
      <c r="H139" s="87"/>
      <c r="I139" s="87"/>
    </row>
    <row r="140" spans="1:9">
      <c r="A140" s="299" t="s">
        <v>919</v>
      </c>
      <c r="B140" s="295">
        <f t="shared" si="0"/>
        <v>139</v>
      </c>
      <c r="C140" s="295">
        <v>226</v>
      </c>
      <c r="D140" s="87"/>
      <c r="E140" s="87"/>
      <c r="F140" s="87"/>
      <c r="G140" s="87"/>
      <c r="H140" s="87"/>
      <c r="I140" s="87"/>
    </row>
    <row r="141" spans="1:9">
      <c r="A141" s="297" t="s">
        <v>920</v>
      </c>
      <c r="B141" s="298">
        <f t="shared" si="0"/>
        <v>140</v>
      </c>
      <c r="C141" s="298">
        <v>225</v>
      </c>
      <c r="D141" s="87"/>
      <c r="E141" s="87"/>
      <c r="F141" s="87"/>
      <c r="G141" s="87"/>
      <c r="H141" s="87"/>
      <c r="I141" s="87"/>
    </row>
    <row r="142" spans="1:9">
      <c r="A142" s="299" t="s">
        <v>921</v>
      </c>
      <c r="B142" s="295">
        <f t="shared" si="0"/>
        <v>141</v>
      </c>
      <c r="C142" s="295">
        <v>224</v>
      </c>
      <c r="D142" s="87"/>
      <c r="E142" s="87"/>
      <c r="F142" s="87"/>
      <c r="G142" s="87"/>
      <c r="H142" s="87"/>
      <c r="I142" s="87"/>
    </row>
    <row r="143" spans="1:9">
      <c r="A143" s="297" t="s">
        <v>922</v>
      </c>
      <c r="B143" s="298">
        <f t="shared" si="0"/>
        <v>142</v>
      </c>
      <c r="C143" s="298">
        <v>223</v>
      </c>
      <c r="D143" s="87"/>
      <c r="E143" s="87"/>
      <c r="F143" s="87"/>
      <c r="G143" s="87"/>
      <c r="H143" s="87"/>
      <c r="I143" s="87"/>
    </row>
    <row r="144" spans="1:9">
      <c r="A144" s="299" t="s">
        <v>923</v>
      </c>
      <c r="B144" s="295">
        <f t="shared" si="0"/>
        <v>143</v>
      </c>
      <c r="C144" s="295">
        <v>222</v>
      </c>
      <c r="D144" s="87"/>
      <c r="E144" s="87"/>
      <c r="F144" s="87"/>
      <c r="G144" s="87"/>
      <c r="H144" s="87"/>
      <c r="I144" s="87"/>
    </row>
    <row r="145" spans="1:9">
      <c r="A145" s="297" t="s">
        <v>924</v>
      </c>
      <c r="B145" s="298">
        <f t="shared" si="0"/>
        <v>144</v>
      </c>
      <c r="C145" s="298">
        <v>221</v>
      </c>
      <c r="D145" s="87"/>
      <c r="E145" s="87"/>
      <c r="F145" s="87"/>
      <c r="G145" s="87"/>
      <c r="H145" s="87"/>
      <c r="I145" s="87"/>
    </row>
    <row r="146" spans="1:9">
      <c r="A146" s="299" t="s">
        <v>925</v>
      </c>
      <c r="B146" s="295">
        <f t="shared" si="0"/>
        <v>145</v>
      </c>
      <c r="C146" s="295">
        <v>220</v>
      </c>
      <c r="D146" s="87"/>
      <c r="E146" s="87"/>
      <c r="F146" s="87"/>
      <c r="G146" s="87"/>
      <c r="H146" s="87"/>
      <c r="I146" s="87"/>
    </row>
    <row r="147" spans="1:9">
      <c r="A147" s="297" t="s">
        <v>926</v>
      </c>
      <c r="B147" s="298">
        <f t="shared" si="0"/>
        <v>146</v>
      </c>
      <c r="C147" s="298">
        <v>219</v>
      </c>
      <c r="D147" s="87"/>
      <c r="E147" s="87"/>
      <c r="F147" s="87"/>
      <c r="G147" s="87"/>
      <c r="H147" s="87"/>
      <c r="I147" s="87"/>
    </row>
    <row r="148" spans="1:9">
      <c r="A148" s="299" t="s">
        <v>927</v>
      </c>
      <c r="B148" s="295">
        <f t="shared" si="0"/>
        <v>147</v>
      </c>
      <c r="C148" s="295">
        <v>218</v>
      </c>
      <c r="D148" s="87"/>
      <c r="E148" s="87"/>
      <c r="F148" s="87"/>
      <c r="G148" s="87"/>
      <c r="H148" s="87"/>
      <c r="I148" s="87"/>
    </row>
    <row r="149" spans="1:9">
      <c r="A149" s="297" t="s">
        <v>928</v>
      </c>
      <c r="B149" s="298">
        <f t="shared" si="0"/>
        <v>148</v>
      </c>
      <c r="C149" s="298">
        <v>217</v>
      </c>
      <c r="D149" s="87"/>
      <c r="E149" s="87"/>
      <c r="F149" s="87"/>
      <c r="G149" s="87"/>
      <c r="H149" s="87"/>
      <c r="I149" s="87"/>
    </row>
    <row r="150" spans="1:9">
      <c r="A150" s="299" t="s">
        <v>929</v>
      </c>
      <c r="B150" s="295">
        <f t="shared" si="0"/>
        <v>149</v>
      </c>
      <c r="C150" s="295">
        <v>216</v>
      </c>
      <c r="D150" s="87"/>
      <c r="E150" s="87"/>
      <c r="F150" s="87"/>
      <c r="G150" s="87"/>
      <c r="H150" s="87"/>
      <c r="I150" s="87"/>
    </row>
    <row r="151" spans="1:9">
      <c r="A151" s="297" t="s">
        <v>930</v>
      </c>
      <c r="B151" s="298">
        <f t="shared" si="0"/>
        <v>150</v>
      </c>
      <c r="C151" s="298">
        <v>215</v>
      </c>
      <c r="D151" s="87"/>
      <c r="E151" s="87"/>
      <c r="F151" s="87"/>
      <c r="G151" s="87"/>
      <c r="H151" s="87"/>
      <c r="I151" s="87"/>
    </row>
    <row r="152" spans="1:9">
      <c r="A152" s="299" t="s">
        <v>931</v>
      </c>
      <c r="B152" s="295">
        <f t="shared" si="0"/>
        <v>151</v>
      </c>
      <c r="C152" s="295">
        <v>214</v>
      </c>
      <c r="D152" s="87"/>
      <c r="E152" s="87"/>
      <c r="F152" s="87"/>
      <c r="G152" s="87"/>
      <c r="H152" s="87"/>
      <c r="I152" s="87"/>
    </row>
    <row r="153" spans="1:9">
      <c r="A153" s="297" t="s">
        <v>932</v>
      </c>
      <c r="B153" s="298">
        <f t="shared" si="0"/>
        <v>152</v>
      </c>
      <c r="C153" s="298">
        <v>213</v>
      </c>
      <c r="D153" s="87"/>
      <c r="E153" s="87"/>
      <c r="F153" s="87"/>
      <c r="G153" s="87"/>
      <c r="H153" s="87"/>
      <c r="I153" s="87"/>
    </row>
    <row r="154" spans="1:9">
      <c r="A154" s="299" t="s">
        <v>933</v>
      </c>
      <c r="B154" s="295">
        <f t="shared" si="0"/>
        <v>153</v>
      </c>
      <c r="C154" s="295">
        <v>212</v>
      </c>
      <c r="D154" s="87"/>
      <c r="E154" s="87"/>
      <c r="F154" s="87"/>
      <c r="G154" s="87"/>
      <c r="H154" s="87"/>
      <c r="I154" s="87"/>
    </row>
    <row r="155" spans="1:9">
      <c r="A155" s="297" t="s">
        <v>934</v>
      </c>
      <c r="B155" s="298">
        <f t="shared" si="0"/>
        <v>154</v>
      </c>
      <c r="C155" s="298">
        <v>211</v>
      </c>
      <c r="D155" s="87"/>
      <c r="E155" s="87"/>
      <c r="F155" s="87"/>
      <c r="G155" s="87"/>
      <c r="H155" s="87"/>
      <c r="I155" s="87"/>
    </row>
    <row r="156" spans="1:9">
      <c r="A156" s="299" t="s">
        <v>935</v>
      </c>
      <c r="B156" s="295">
        <f t="shared" si="0"/>
        <v>155</v>
      </c>
      <c r="C156" s="295">
        <v>210</v>
      </c>
      <c r="D156" s="87"/>
      <c r="E156" s="87"/>
      <c r="F156" s="87"/>
      <c r="G156" s="87"/>
      <c r="H156" s="87"/>
      <c r="I156" s="87"/>
    </row>
    <row r="157" spans="1:9">
      <c r="A157" s="297" t="s">
        <v>936</v>
      </c>
      <c r="B157" s="298">
        <f t="shared" si="0"/>
        <v>156</v>
      </c>
      <c r="C157" s="298">
        <v>209</v>
      </c>
      <c r="D157" s="87"/>
      <c r="E157" s="87"/>
      <c r="F157" s="87"/>
      <c r="G157" s="87"/>
      <c r="H157" s="87"/>
      <c r="I157" s="87"/>
    </row>
    <row r="158" spans="1:9">
      <c r="A158" s="299" t="s">
        <v>937</v>
      </c>
      <c r="B158" s="295">
        <f t="shared" si="0"/>
        <v>157</v>
      </c>
      <c r="C158" s="295">
        <v>208</v>
      </c>
      <c r="D158" s="87"/>
      <c r="E158" s="87"/>
      <c r="F158" s="87"/>
      <c r="G158" s="87"/>
      <c r="H158" s="87"/>
      <c r="I158" s="87"/>
    </row>
    <row r="159" spans="1:9">
      <c r="A159" s="297" t="s">
        <v>938</v>
      </c>
      <c r="B159" s="298">
        <f t="shared" si="0"/>
        <v>158</v>
      </c>
      <c r="C159" s="298">
        <v>207</v>
      </c>
      <c r="D159" s="87"/>
      <c r="E159" s="87"/>
      <c r="F159" s="87"/>
      <c r="G159" s="87"/>
      <c r="H159" s="87"/>
      <c r="I159" s="87"/>
    </row>
    <row r="160" spans="1:9">
      <c r="A160" s="299" t="s">
        <v>939</v>
      </c>
      <c r="B160" s="295">
        <f t="shared" si="0"/>
        <v>159</v>
      </c>
      <c r="C160" s="295">
        <v>206</v>
      </c>
      <c r="D160" s="87"/>
      <c r="E160" s="87"/>
      <c r="F160" s="87"/>
      <c r="G160" s="87"/>
      <c r="H160" s="87"/>
      <c r="I160" s="87"/>
    </row>
    <row r="161" spans="1:9">
      <c r="A161" s="297" t="s">
        <v>940</v>
      </c>
      <c r="B161" s="298">
        <f t="shared" si="0"/>
        <v>160</v>
      </c>
      <c r="C161" s="298">
        <v>205</v>
      </c>
      <c r="D161" s="87"/>
      <c r="E161" s="87"/>
      <c r="F161" s="87"/>
      <c r="G161" s="87"/>
      <c r="H161" s="87"/>
      <c r="I161" s="87"/>
    </row>
    <row r="162" spans="1:9">
      <c r="A162" s="299" t="s">
        <v>941</v>
      </c>
      <c r="B162" s="295">
        <f t="shared" si="0"/>
        <v>161</v>
      </c>
      <c r="C162" s="295">
        <v>204</v>
      </c>
      <c r="D162" s="87"/>
      <c r="E162" s="87"/>
      <c r="F162" s="87"/>
      <c r="G162" s="87"/>
      <c r="H162" s="87"/>
      <c r="I162" s="87"/>
    </row>
    <row r="163" spans="1:9">
      <c r="A163" s="297" t="s">
        <v>942</v>
      </c>
      <c r="B163" s="298">
        <f t="shared" si="0"/>
        <v>162</v>
      </c>
      <c r="C163" s="298">
        <v>203</v>
      </c>
      <c r="D163" s="87"/>
      <c r="E163" s="87"/>
      <c r="F163" s="87"/>
      <c r="G163" s="87"/>
      <c r="H163" s="87"/>
      <c r="I163" s="87"/>
    </row>
    <row r="164" spans="1:9">
      <c r="A164" s="299" t="s">
        <v>943</v>
      </c>
      <c r="B164" s="295">
        <f t="shared" si="0"/>
        <v>163</v>
      </c>
      <c r="C164" s="295">
        <v>202</v>
      </c>
      <c r="D164" s="87"/>
      <c r="E164" s="87"/>
      <c r="F164" s="87"/>
      <c r="G164" s="87"/>
      <c r="H164" s="87"/>
      <c r="I164" s="87"/>
    </row>
    <row r="165" spans="1:9">
      <c r="A165" s="297" t="s">
        <v>944</v>
      </c>
      <c r="B165" s="298">
        <f t="shared" si="0"/>
        <v>164</v>
      </c>
      <c r="C165" s="298">
        <v>201</v>
      </c>
      <c r="D165" s="87"/>
      <c r="E165" s="87"/>
      <c r="F165" s="87"/>
      <c r="G165" s="87"/>
      <c r="H165" s="87"/>
      <c r="I165" s="87"/>
    </row>
    <row r="166" spans="1:9">
      <c r="A166" s="299" t="s">
        <v>945</v>
      </c>
      <c r="B166" s="295">
        <f t="shared" si="0"/>
        <v>165</v>
      </c>
      <c r="C166" s="295">
        <v>200</v>
      </c>
      <c r="D166" s="87"/>
      <c r="E166" s="87"/>
      <c r="F166" s="87"/>
      <c r="G166" s="87"/>
      <c r="H166" s="87"/>
      <c r="I166" s="87"/>
    </row>
    <row r="167" spans="1:9">
      <c r="A167" s="297" t="s">
        <v>946</v>
      </c>
      <c r="B167" s="298">
        <f t="shared" si="0"/>
        <v>166</v>
      </c>
      <c r="C167" s="298">
        <v>199</v>
      </c>
      <c r="D167" s="87"/>
      <c r="E167" s="87"/>
      <c r="F167" s="87"/>
      <c r="G167" s="87"/>
      <c r="H167" s="87"/>
      <c r="I167" s="87"/>
    </row>
    <row r="168" spans="1:9">
      <c r="A168" s="299" t="s">
        <v>947</v>
      </c>
      <c r="B168" s="295">
        <f t="shared" si="0"/>
        <v>167</v>
      </c>
      <c r="C168" s="295">
        <v>198</v>
      </c>
      <c r="D168" s="87"/>
      <c r="E168" s="87"/>
      <c r="F168" s="87"/>
      <c r="G168" s="87"/>
      <c r="H168" s="87"/>
      <c r="I168" s="87"/>
    </row>
    <row r="169" spans="1:9">
      <c r="A169" s="297" t="s">
        <v>948</v>
      </c>
      <c r="B169" s="298">
        <f t="shared" si="0"/>
        <v>168</v>
      </c>
      <c r="C169" s="298">
        <v>197</v>
      </c>
      <c r="D169" s="87"/>
      <c r="E169" s="87"/>
      <c r="F169" s="87"/>
      <c r="G169" s="87"/>
      <c r="H169" s="87"/>
      <c r="I169" s="87"/>
    </row>
    <row r="170" spans="1:9">
      <c r="A170" s="299" t="s">
        <v>949</v>
      </c>
      <c r="B170" s="295">
        <f t="shared" si="0"/>
        <v>169</v>
      </c>
      <c r="C170" s="295">
        <v>196</v>
      </c>
      <c r="D170" s="87"/>
      <c r="E170" s="87"/>
      <c r="F170" s="87"/>
      <c r="G170" s="87"/>
      <c r="H170" s="87"/>
      <c r="I170" s="87"/>
    </row>
    <row r="171" spans="1:9">
      <c r="A171" s="297" t="s">
        <v>950</v>
      </c>
      <c r="B171" s="298">
        <f t="shared" si="0"/>
        <v>170</v>
      </c>
      <c r="C171" s="298">
        <v>195</v>
      </c>
      <c r="D171" s="87"/>
      <c r="E171" s="87"/>
      <c r="F171" s="87"/>
      <c r="G171" s="87"/>
      <c r="H171" s="87"/>
      <c r="I171" s="87"/>
    </row>
    <row r="172" spans="1:9">
      <c r="A172" s="299" t="s">
        <v>951</v>
      </c>
      <c r="B172" s="295">
        <f t="shared" si="0"/>
        <v>171</v>
      </c>
      <c r="C172" s="295">
        <v>194</v>
      </c>
      <c r="D172" s="87"/>
      <c r="E172" s="87"/>
      <c r="F172" s="87"/>
      <c r="G172" s="87"/>
      <c r="H172" s="87"/>
      <c r="I172" s="87"/>
    </row>
    <row r="173" spans="1:9">
      <c r="A173" s="297" t="s">
        <v>952</v>
      </c>
      <c r="B173" s="298">
        <f t="shared" si="0"/>
        <v>172</v>
      </c>
      <c r="C173" s="298">
        <v>193</v>
      </c>
      <c r="D173" s="87"/>
      <c r="E173" s="87"/>
      <c r="F173" s="87"/>
      <c r="G173" s="87"/>
      <c r="H173" s="87"/>
      <c r="I173" s="87"/>
    </row>
    <row r="174" spans="1:9">
      <c r="A174" s="299" t="s">
        <v>953</v>
      </c>
      <c r="B174" s="295">
        <f t="shared" si="0"/>
        <v>173</v>
      </c>
      <c r="C174" s="295">
        <v>192</v>
      </c>
      <c r="D174" s="87"/>
      <c r="E174" s="87"/>
      <c r="F174" s="87"/>
      <c r="G174" s="87"/>
      <c r="H174" s="87"/>
      <c r="I174" s="87"/>
    </row>
    <row r="175" spans="1:9">
      <c r="A175" s="297" t="s">
        <v>954</v>
      </c>
      <c r="B175" s="298">
        <f t="shared" si="0"/>
        <v>174</v>
      </c>
      <c r="C175" s="298">
        <v>191</v>
      </c>
      <c r="D175" s="87"/>
      <c r="E175" s="87"/>
      <c r="F175" s="87"/>
      <c r="G175" s="87"/>
      <c r="H175" s="87"/>
      <c r="I175" s="87"/>
    </row>
    <row r="176" spans="1:9">
      <c r="A176" s="299" t="s">
        <v>955</v>
      </c>
      <c r="B176" s="295">
        <f t="shared" si="0"/>
        <v>175</v>
      </c>
      <c r="C176" s="295">
        <v>190</v>
      </c>
      <c r="D176" s="87"/>
      <c r="E176" s="87"/>
      <c r="F176" s="87"/>
      <c r="G176" s="87"/>
      <c r="H176" s="87"/>
      <c r="I176" s="87"/>
    </row>
    <row r="177" spans="1:9">
      <c r="A177" s="297" t="s">
        <v>956</v>
      </c>
      <c r="B177" s="298">
        <f t="shared" si="0"/>
        <v>176</v>
      </c>
      <c r="C177" s="298">
        <v>189</v>
      </c>
      <c r="D177" s="87"/>
      <c r="E177" s="87"/>
      <c r="F177" s="87"/>
      <c r="G177" s="87"/>
      <c r="H177" s="87"/>
      <c r="I177" s="87"/>
    </row>
    <row r="178" spans="1:9">
      <c r="A178" s="299" t="s">
        <v>957</v>
      </c>
      <c r="B178" s="295">
        <f t="shared" si="0"/>
        <v>177</v>
      </c>
      <c r="C178" s="295">
        <v>188</v>
      </c>
      <c r="D178" s="87"/>
      <c r="E178" s="87"/>
      <c r="F178" s="87"/>
      <c r="G178" s="87"/>
      <c r="H178" s="87"/>
      <c r="I178" s="87"/>
    </row>
    <row r="179" spans="1:9">
      <c r="A179" s="297" t="s">
        <v>958</v>
      </c>
      <c r="B179" s="298">
        <f t="shared" si="0"/>
        <v>178</v>
      </c>
      <c r="C179" s="298">
        <v>187</v>
      </c>
      <c r="D179" s="87"/>
      <c r="E179" s="87"/>
      <c r="F179" s="87"/>
      <c r="G179" s="87"/>
      <c r="H179" s="87"/>
      <c r="I179" s="87"/>
    </row>
    <row r="180" spans="1:9">
      <c r="A180" s="300" t="s">
        <v>959</v>
      </c>
      <c r="B180" s="301">
        <f t="shared" si="0"/>
        <v>179</v>
      </c>
      <c r="C180" s="301">
        <v>186</v>
      </c>
      <c r="D180" s="87"/>
      <c r="E180" s="87"/>
      <c r="F180" s="87"/>
      <c r="G180" s="87"/>
      <c r="H180" s="87"/>
      <c r="I180" s="87"/>
    </row>
    <row r="181" spans="1:9">
      <c r="A181" s="300" t="s">
        <v>960</v>
      </c>
      <c r="B181" s="301">
        <f t="shared" si="0"/>
        <v>180</v>
      </c>
      <c r="C181" s="301">
        <v>185</v>
      </c>
      <c r="D181" s="87"/>
      <c r="E181" s="87"/>
      <c r="F181" s="87"/>
      <c r="G181" s="87"/>
      <c r="H181" s="87"/>
      <c r="I181" s="87"/>
    </row>
    <row r="182" spans="1:9">
      <c r="A182" s="300" t="s">
        <v>961</v>
      </c>
      <c r="B182" s="301">
        <f t="shared" si="0"/>
        <v>181</v>
      </c>
      <c r="C182" s="301">
        <v>184</v>
      </c>
      <c r="D182" s="87"/>
      <c r="E182" s="87"/>
      <c r="F182" s="87"/>
      <c r="G182" s="87"/>
      <c r="H182" s="87"/>
      <c r="I182" s="87"/>
    </row>
    <row r="183" spans="1:9">
      <c r="A183" s="300" t="s">
        <v>962</v>
      </c>
      <c r="B183" s="301">
        <f t="shared" si="0"/>
        <v>182</v>
      </c>
      <c r="C183" s="301">
        <v>183</v>
      </c>
      <c r="D183" s="87"/>
      <c r="E183" s="87"/>
      <c r="F183" s="87"/>
      <c r="G183" s="87"/>
      <c r="H183" s="87"/>
      <c r="I183" s="87"/>
    </row>
    <row r="184" spans="1:9">
      <c r="A184" s="300" t="s">
        <v>963</v>
      </c>
      <c r="B184" s="301">
        <f t="shared" si="0"/>
        <v>183</v>
      </c>
      <c r="C184" s="301">
        <v>182</v>
      </c>
      <c r="D184" s="87"/>
      <c r="E184" s="87"/>
      <c r="F184" s="87"/>
      <c r="G184" s="87"/>
      <c r="H184" s="87"/>
      <c r="I184" s="87"/>
    </row>
    <row r="185" spans="1:9">
      <c r="A185" s="300" t="s">
        <v>964</v>
      </c>
      <c r="B185" s="301">
        <f t="shared" si="0"/>
        <v>184</v>
      </c>
      <c r="C185" s="301">
        <v>181</v>
      </c>
      <c r="D185" s="87"/>
      <c r="E185" s="87"/>
      <c r="F185" s="87"/>
      <c r="G185" s="87"/>
      <c r="H185" s="87"/>
      <c r="I185" s="87"/>
    </row>
    <row r="186" spans="1:9">
      <c r="A186" s="300" t="s">
        <v>965</v>
      </c>
      <c r="B186" s="301">
        <f t="shared" si="0"/>
        <v>185</v>
      </c>
      <c r="C186" s="301">
        <v>180</v>
      </c>
      <c r="D186" s="87"/>
      <c r="E186" s="87"/>
      <c r="F186" s="87"/>
      <c r="G186" s="87"/>
      <c r="H186" s="87"/>
      <c r="I186" s="87"/>
    </row>
    <row r="187" spans="1:9">
      <c r="A187" s="300" t="s">
        <v>966</v>
      </c>
      <c r="B187" s="301">
        <f t="shared" si="0"/>
        <v>186</v>
      </c>
      <c r="C187" s="301">
        <v>179</v>
      </c>
      <c r="D187" s="87"/>
      <c r="E187" s="87"/>
      <c r="F187" s="87"/>
      <c r="G187" s="87"/>
      <c r="H187" s="87"/>
      <c r="I187" s="87"/>
    </row>
    <row r="188" spans="1:9">
      <c r="A188" s="300" t="s">
        <v>967</v>
      </c>
      <c r="B188" s="301">
        <f t="shared" si="0"/>
        <v>187</v>
      </c>
      <c r="C188" s="301">
        <v>178</v>
      </c>
      <c r="D188" s="87"/>
      <c r="E188" s="87"/>
      <c r="F188" s="87"/>
      <c r="G188" s="87"/>
      <c r="H188" s="87"/>
      <c r="I188" s="87"/>
    </row>
    <row r="189" spans="1:9">
      <c r="A189" s="300" t="s">
        <v>968</v>
      </c>
      <c r="B189" s="301">
        <f t="shared" si="0"/>
        <v>188</v>
      </c>
      <c r="C189" s="301">
        <v>177</v>
      </c>
      <c r="D189" s="87"/>
      <c r="E189" s="87"/>
      <c r="F189" s="87"/>
      <c r="G189" s="87"/>
      <c r="H189" s="87"/>
      <c r="I189" s="87"/>
    </row>
    <row r="190" spans="1:9">
      <c r="A190" s="300" t="s">
        <v>969</v>
      </c>
      <c r="B190" s="301">
        <f t="shared" si="0"/>
        <v>189</v>
      </c>
      <c r="C190" s="301">
        <v>176</v>
      </c>
      <c r="D190" s="87"/>
      <c r="E190" s="87"/>
      <c r="F190" s="87"/>
      <c r="G190" s="87"/>
      <c r="H190" s="87"/>
      <c r="I190" s="87"/>
    </row>
    <row r="191" spans="1:9">
      <c r="A191" s="300" t="s">
        <v>970</v>
      </c>
      <c r="B191" s="301">
        <f t="shared" si="0"/>
        <v>190</v>
      </c>
      <c r="C191" s="301">
        <v>175</v>
      </c>
      <c r="D191" s="87"/>
      <c r="E191" s="87"/>
      <c r="F191" s="87"/>
      <c r="G191" s="87"/>
      <c r="H191" s="87"/>
      <c r="I191" s="87"/>
    </row>
    <row r="192" spans="1:9">
      <c r="A192" s="300" t="s">
        <v>971</v>
      </c>
      <c r="B192" s="301">
        <f t="shared" si="0"/>
        <v>191</v>
      </c>
      <c r="C192" s="301">
        <v>174</v>
      </c>
      <c r="D192" s="87"/>
      <c r="E192" s="87"/>
      <c r="F192" s="87"/>
      <c r="G192" s="87"/>
      <c r="H192" s="87"/>
      <c r="I192" s="87"/>
    </row>
    <row r="193" spans="1:9">
      <c r="A193" s="300" t="s">
        <v>972</v>
      </c>
      <c r="B193" s="301">
        <f t="shared" si="0"/>
        <v>192</v>
      </c>
      <c r="C193" s="301">
        <v>173</v>
      </c>
      <c r="D193" s="87"/>
      <c r="E193" s="87"/>
      <c r="F193" s="87"/>
      <c r="G193" s="87"/>
      <c r="H193" s="87"/>
      <c r="I193" s="87"/>
    </row>
    <row r="194" spans="1:9">
      <c r="A194" s="300" t="s">
        <v>973</v>
      </c>
      <c r="B194" s="301">
        <f t="shared" si="0"/>
        <v>193</v>
      </c>
      <c r="C194" s="301">
        <v>172</v>
      </c>
      <c r="D194" s="87"/>
      <c r="E194" s="87"/>
      <c r="F194" s="87"/>
      <c r="G194" s="87"/>
      <c r="H194" s="87"/>
      <c r="I194" s="87"/>
    </row>
    <row r="195" spans="1:9">
      <c r="A195" s="300" t="s">
        <v>974</v>
      </c>
      <c r="B195" s="301">
        <f t="shared" si="0"/>
        <v>194</v>
      </c>
      <c r="C195" s="301">
        <v>171</v>
      </c>
      <c r="D195" s="87"/>
      <c r="E195" s="87"/>
      <c r="F195" s="87"/>
      <c r="G195" s="87"/>
      <c r="H195" s="87"/>
      <c r="I195" s="87"/>
    </row>
    <row r="196" spans="1:9">
      <c r="A196" s="300" t="s">
        <v>975</v>
      </c>
      <c r="B196" s="301">
        <f t="shared" si="0"/>
        <v>195</v>
      </c>
      <c r="C196" s="301">
        <v>170</v>
      </c>
      <c r="D196" s="87"/>
      <c r="E196" s="87"/>
      <c r="F196" s="87"/>
      <c r="G196" s="87"/>
      <c r="H196" s="87"/>
      <c r="I196" s="87"/>
    </row>
    <row r="197" spans="1:9">
      <c r="A197" s="300" t="s">
        <v>976</v>
      </c>
      <c r="B197" s="301">
        <f t="shared" si="0"/>
        <v>196</v>
      </c>
      <c r="C197" s="301">
        <v>169</v>
      </c>
      <c r="D197" s="87"/>
      <c r="E197" s="87"/>
      <c r="F197" s="87"/>
      <c r="G197" s="87"/>
      <c r="H197" s="87"/>
      <c r="I197" s="87"/>
    </row>
    <row r="198" spans="1:9">
      <c r="A198" s="300" t="s">
        <v>977</v>
      </c>
      <c r="B198" s="301">
        <f t="shared" si="0"/>
        <v>197</v>
      </c>
      <c r="C198" s="301">
        <v>168</v>
      </c>
      <c r="D198" s="87"/>
      <c r="E198" s="87"/>
      <c r="F198" s="87"/>
      <c r="G198" s="87"/>
      <c r="H198" s="87"/>
      <c r="I198" s="87"/>
    </row>
    <row r="199" spans="1:9">
      <c r="A199" s="300" t="s">
        <v>978</v>
      </c>
      <c r="B199" s="301">
        <f t="shared" si="0"/>
        <v>198</v>
      </c>
      <c r="C199" s="301">
        <v>167</v>
      </c>
      <c r="D199" s="87"/>
      <c r="E199" s="87"/>
      <c r="F199" s="87"/>
      <c r="G199" s="87"/>
      <c r="H199" s="87"/>
      <c r="I199" s="87"/>
    </row>
    <row r="200" spans="1:9">
      <c r="A200" s="300" t="s">
        <v>979</v>
      </c>
      <c r="B200" s="301">
        <f t="shared" si="0"/>
        <v>199</v>
      </c>
      <c r="C200" s="301">
        <v>166</v>
      </c>
      <c r="D200" s="87"/>
      <c r="E200" s="87"/>
      <c r="F200" s="87"/>
      <c r="G200" s="87"/>
      <c r="H200" s="87"/>
      <c r="I200" s="87"/>
    </row>
    <row r="201" spans="1:9">
      <c r="A201" s="300" t="s">
        <v>980</v>
      </c>
      <c r="B201" s="301">
        <f t="shared" si="0"/>
        <v>200</v>
      </c>
      <c r="C201" s="301">
        <v>165</v>
      </c>
      <c r="D201" s="87"/>
      <c r="E201" s="87"/>
      <c r="F201" s="87"/>
      <c r="G201" s="87"/>
      <c r="H201" s="87"/>
      <c r="I201" s="87"/>
    </row>
    <row r="202" spans="1:9">
      <c r="A202" s="300" t="s">
        <v>981</v>
      </c>
      <c r="B202" s="301">
        <f t="shared" si="0"/>
        <v>201</v>
      </c>
      <c r="C202" s="301">
        <v>164</v>
      </c>
      <c r="D202" s="87"/>
      <c r="E202" s="87"/>
      <c r="F202" s="87"/>
      <c r="G202" s="87"/>
      <c r="H202" s="87"/>
      <c r="I202" s="87"/>
    </row>
    <row r="203" spans="1:9">
      <c r="A203" s="300" t="s">
        <v>982</v>
      </c>
      <c r="B203" s="301">
        <f t="shared" si="0"/>
        <v>202</v>
      </c>
      <c r="C203" s="301">
        <v>163</v>
      </c>
      <c r="D203" s="87"/>
      <c r="E203" s="87"/>
      <c r="F203" s="87"/>
      <c r="G203" s="87"/>
      <c r="H203" s="87"/>
      <c r="I203" s="87"/>
    </row>
    <row r="204" spans="1:9">
      <c r="A204" s="300" t="s">
        <v>983</v>
      </c>
      <c r="B204" s="301">
        <f t="shared" si="0"/>
        <v>203</v>
      </c>
      <c r="C204" s="301">
        <v>162</v>
      </c>
      <c r="D204" s="87"/>
      <c r="E204" s="87"/>
      <c r="F204" s="87"/>
      <c r="G204" s="87"/>
      <c r="H204" s="87"/>
      <c r="I204" s="87"/>
    </row>
    <row r="205" spans="1:9">
      <c r="A205" s="300" t="s">
        <v>984</v>
      </c>
      <c r="B205" s="301">
        <f t="shared" si="0"/>
        <v>204</v>
      </c>
      <c r="C205" s="301">
        <v>161</v>
      </c>
      <c r="D205" s="87"/>
      <c r="E205" s="87"/>
      <c r="F205" s="87"/>
      <c r="G205" s="87"/>
      <c r="H205" s="87"/>
      <c r="I205" s="87"/>
    </row>
    <row r="206" spans="1:9">
      <c r="A206" s="300" t="s">
        <v>985</v>
      </c>
      <c r="B206" s="301">
        <f t="shared" si="0"/>
        <v>205</v>
      </c>
      <c r="C206" s="301">
        <v>160</v>
      </c>
      <c r="D206" s="87"/>
      <c r="E206" s="87"/>
      <c r="F206" s="87"/>
      <c r="G206" s="87"/>
      <c r="H206" s="87"/>
      <c r="I206" s="87"/>
    </row>
    <row r="207" spans="1:9">
      <c r="A207" s="300" t="s">
        <v>986</v>
      </c>
      <c r="B207" s="301">
        <f t="shared" si="0"/>
        <v>206</v>
      </c>
      <c r="C207" s="301">
        <v>159</v>
      </c>
      <c r="D207" s="87"/>
      <c r="E207" s="87"/>
      <c r="F207" s="87"/>
      <c r="G207" s="87"/>
      <c r="H207" s="87"/>
      <c r="I207" s="87"/>
    </row>
    <row r="208" spans="1:9">
      <c r="A208" s="300" t="s">
        <v>987</v>
      </c>
      <c r="B208" s="301">
        <f t="shared" si="0"/>
        <v>207</v>
      </c>
      <c r="C208" s="301">
        <v>158</v>
      </c>
      <c r="D208" s="87"/>
      <c r="E208" s="87"/>
      <c r="F208" s="87"/>
      <c r="G208" s="87"/>
      <c r="H208" s="87"/>
      <c r="I208" s="87"/>
    </row>
    <row r="209" spans="1:9">
      <c r="A209" s="300" t="s">
        <v>988</v>
      </c>
      <c r="B209" s="301">
        <f t="shared" si="0"/>
        <v>208</v>
      </c>
      <c r="C209" s="301">
        <v>157</v>
      </c>
      <c r="D209" s="87"/>
      <c r="E209" s="87"/>
      <c r="F209" s="87"/>
      <c r="G209" s="87"/>
      <c r="H209" s="87"/>
      <c r="I209" s="87"/>
    </row>
    <row r="210" spans="1:9">
      <c r="A210" s="300" t="s">
        <v>989</v>
      </c>
      <c r="B210" s="301">
        <f t="shared" si="0"/>
        <v>209</v>
      </c>
      <c r="C210" s="301">
        <v>156</v>
      </c>
      <c r="D210" s="87"/>
      <c r="E210" s="87"/>
      <c r="F210" s="87"/>
      <c r="G210" s="87"/>
      <c r="H210" s="87"/>
      <c r="I210" s="87"/>
    </row>
    <row r="211" spans="1:9">
      <c r="A211" s="300" t="s">
        <v>990</v>
      </c>
      <c r="B211" s="301">
        <f t="shared" si="0"/>
        <v>210</v>
      </c>
      <c r="C211" s="301">
        <v>155</v>
      </c>
      <c r="D211" s="87"/>
      <c r="E211" s="87"/>
      <c r="F211" s="87"/>
      <c r="G211" s="87"/>
      <c r="H211" s="87"/>
      <c r="I211" s="87"/>
    </row>
    <row r="212" spans="1:9">
      <c r="A212" s="300" t="s">
        <v>991</v>
      </c>
      <c r="B212" s="301">
        <f t="shared" si="0"/>
        <v>211</v>
      </c>
      <c r="C212" s="301">
        <v>154</v>
      </c>
      <c r="D212" s="87"/>
      <c r="E212" s="87"/>
      <c r="F212" s="87"/>
      <c r="G212" s="87"/>
      <c r="H212" s="87"/>
      <c r="I212" s="87"/>
    </row>
    <row r="213" spans="1:9">
      <c r="A213" s="300" t="s">
        <v>992</v>
      </c>
      <c r="B213" s="301">
        <f t="shared" si="0"/>
        <v>212</v>
      </c>
      <c r="C213" s="301">
        <v>153</v>
      </c>
      <c r="D213" s="87"/>
      <c r="E213" s="87"/>
      <c r="F213" s="87"/>
      <c r="G213" s="87"/>
      <c r="H213" s="87"/>
      <c r="I213" s="87"/>
    </row>
    <row r="214" spans="1:9">
      <c r="A214" s="300" t="s">
        <v>993</v>
      </c>
      <c r="B214" s="301">
        <f t="shared" si="0"/>
        <v>213</v>
      </c>
      <c r="C214" s="301">
        <v>152</v>
      </c>
      <c r="D214" s="87"/>
      <c r="E214" s="87"/>
      <c r="F214" s="87"/>
      <c r="G214" s="87"/>
      <c r="H214" s="87"/>
      <c r="I214" s="87"/>
    </row>
    <row r="215" spans="1:9">
      <c r="A215" s="300" t="s">
        <v>994</v>
      </c>
      <c r="B215" s="301">
        <f t="shared" si="0"/>
        <v>214</v>
      </c>
      <c r="C215" s="301">
        <v>151</v>
      </c>
      <c r="D215" s="87"/>
      <c r="E215" s="87"/>
      <c r="F215" s="87"/>
      <c r="G215" s="87"/>
      <c r="H215" s="87"/>
      <c r="I215" s="87"/>
    </row>
    <row r="216" spans="1:9">
      <c r="A216" s="300" t="s">
        <v>995</v>
      </c>
      <c r="B216" s="301">
        <f t="shared" si="0"/>
        <v>215</v>
      </c>
      <c r="C216" s="301">
        <v>150</v>
      </c>
      <c r="D216" s="87"/>
      <c r="E216" s="87"/>
      <c r="F216" s="87"/>
      <c r="G216" s="87"/>
      <c r="H216" s="87"/>
      <c r="I216" s="87"/>
    </row>
    <row r="217" spans="1:9">
      <c r="A217" s="300" t="s">
        <v>996</v>
      </c>
      <c r="B217" s="301">
        <f t="shared" si="0"/>
        <v>216</v>
      </c>
      <c r="C217" s="301">
        <v>149</v>
      </c>
      <c r="D217" s="87"/>
      <c r="E217" s="87"/>
      <c r="F217" s="87"/>
      <c r="G217" s="87"/>
      <c r="H217" s="87"/>
      <c r="I217" s="87"/>
    </row>
    <row r="218" spans="1:9">
      <c r="A218" s="300" t="s">
        <v>997</v>
      </c>
      <c r="B218" s="301">
        <f t="shared" si="0"/>
        <v>217</v>
      </c>
      <c r="C218" s="301">
        <v>148</v>
      </c>
      <c r="D218" s="87"/>
      <c r="E218" s="87"/>
      <c r="F218" s="87"/>
      <c r="G218" s="87"/>
      <c r="H218" s="87"/>
      <c r="I218" s="87"/>
    </row>
    <row r="219" spans="1:9">
      <c r="A219" s="300" t="s">
        <v>998</v>
      </c>
      <c r="B219" s="301">
        <f t="shared" si="0"/>
        <v>218</v>
      </c>
      <c r="C219" s="301">
        <v>147</v>
      </c>
      <c r="D219" s="87"/>
      <c r="E219" s="87"/>
      <c r="F219" s="87"/>
      <c r="G219" s="87"/>
      <c r="H219" s="87"/>
      <c r="I219" s="87"/>
    </row>
    <row r="220" spans="1:9">
      <c r="A220" s="300" t="s">
        <v>999</v>
      </c>
      <c r="B220" s="301">
        <f t="shared" si="0"/>
        <v>219</v>
      </c>
      <c r="C220" s="301">
        <v>146</v>
      </c>
      <c r="D220" s="87"/>
      <c r="E220" s="87"/>
      <c r="F220" s="87"/>
      <c r="G220" s="87"/>
      <c r="H220" s="87"/>
      <c r="I220" s="87"/>
    </row>
    <row r="221" spans="1:9">
      <c r="A221" s="300" t="s">
        <v>1000</v>
      </c>
      <c r="B221" s="301">
        <f t="shared" si="0"/>
        <v>220</v>
      </c>
      <c r="C221" s="301">
        <v>145</v>
      </c>
      <c r="D221" s="87"/>
      <c r="E221" s="87"/>
      <c r="F221" s="87"/>
      <c r="G221" s="87"/>
      <c r="H221" s="87"/>
      <c r="I221" s="87"/>
    </row>
    <row r="222" spans="1:9">
      <c r="A222" s="300" t="s">
        <v>1001</v>
      </c>
      <c r="B222" s="301">
        <f t="shared" si="0"/>
        <v>221</v>
      </c>
      <c r="C222" s="301">
        <v>144</v>
      </c>
      <c r="D222" s="87"/>
      <c r="E222" s="87"/>
      <c r="F222" s="87"/>
      <c r="G222" s="87"/>
      <c r="H222" s="87"/>
      <c r="I222" s="87"/>
    </row>
    <row r="223" spans="1:9">
      <c r="A223" s="300" t="s">
        <v>1002</v>
      </c>
      <c r="B223" s="301">
        <f t="shared" si="0"/>
        <v>222</v>
      </c>
      <c r="C223" s="301">
        <v>143</v>
      </c>
      <c r="D223" s="87"/>
      <c r="E223" s="87"/>
      <c r="F223" s="87"/>
      <c r="G223" s="87"/>
      <c r="H223" s="87"/>
      <c r="I223" s="87"/>
    </row>
    <row r="224" spans="1:9">
      <c r="A224" s="300" t="s">
        <v>1003</v>
      </c>
      <c r="B224" s="301">
        <f t="shared" si="0"/>
        <v>223</v>
      </c>
      <c r="C224" s="301">
        <v>142</v>
      </c>
      <c r="D224" s="87"/>
      <c r="E224" s="87"/>
      <c r="F224" s="87"/>
      <c r="G224" s="87"/>
      <c r="H224" s="87"/>
      <c r="I224" s="87"/>
    </row>
    <row r="225" spans="1:9">
      <c r="A225" s="300" t="s">
        <v>1004</v>
      </c>
      <c r="B225" s="301">
        <f t="shared" si="0"/>
        <v>224</v>
      </c>
      <c r="C225" s="301">
        <v>141</v>
      </c>
      <c r="D225" s="87"/>
      <c r="E225" s="87"/>
      <c r="F225" s="87"/>
      <c r="G225" s="87"/>
      <c r="H225" s="87"/>
      <c r="I225" s="87"/>
    </row>
    <row r="226" spans="1:9">
      <c r="A226" s="300" t="s">
        <v>1005</v>
      </c>
      <c r="B226" s="301">
        <f t="shared" si="0"/>
        <v>225</v>
      </c>
      <c r="C226" s="301">
        <v>140</v>
      </c>
      <c r="D226" s="87"/>
      <c r="E226" s="87"/>
      <c r="F226" s="87"/>
      <c r="G226" s="87"/>
      <c r="H226" s="87"/>
      <c r="I226" s="87"/>
    </row>
    <row r="227" spans="1:9">
      <c r="A227" s="300" t="s">
        <v>1006</v>
      </c>
      <c r="B227" s="301">
        <f t="shared" si="0"/>
        <v>226</v>
      </c>
      <c r="C227" s="301">
        <v>139</v>
      </c>
      <c r="D227" s="87"/>
      <c r="E227" s="87"/>
      <c r="F227" s="87"/>
      <c r="G227" s="87"/>
      <c r="H227" s="87"/>
      <c r="I227" s="87"/>
    </row>
    <row r="228" spans="1:9">
      <c r="A228" s="300" t="s">
        <v>1007</v>
      </c>
      <c r="B228" s="301">
        <f t="shared" si="0"/>
        <v>227</v>
      </c>
      <c r="C228" s="301">
        <v>138</v>
      </c>
      <c r="D228" s="87"/>
      <c r="E228" s="87"/>
      <c r="F228" s="87"/>
      <c r="G228" s="87"/>
      <c r="H228" s="87"/>
      <c r="I228" s="87"/>
    </row>
    <row r="229" spans="1:9">
      <c r="A229" s="300" t="s">
        <v>1008</v>
      </c>
      <c r="B229" s="301">
        <f t="shared" si="0"/>
        <v>228</v>
      </c>
      <c r="C229" s="301">
        <v>137</v>
      </c>
      <c r="D229" s="87"/>
      <c r="E229" s="87"/>
      <c r="F229" s="87"/>
      <c r="G229" s="87"/>
      <c r="H229" s="87"/>
      <c r="I229" s="87"/>
    </row>
    <row r="230" spans="1:9">
      <c r="A230" s="300" t="s">
        <v>1009</v>
      </c>
      <c r="B230" s="301">
        <f t="shared" si="0"/>
        <v>229</v>
      </c>
      <c r="C230" s="301">
        <v>136</v>
      </c>
      <c r="D230" s="87"/>
      <c r="E230" s="87"/>
      <c r="F230" s="87"/>
      <c r="G230" s="87"/>
      <c r="H230" s="87"/>
      <c r="I230" s="87"/>
    </row>
    <row r="231" spans="1:9">
      <c r="A231" s="300" t="s">
        <v>1010</v>
      </c>
      <c r="B231" s="301">
        <f t="shared" si="0"/>
        <v>230</v>
      </c>
      <c r="C231" s="301">
        <v>135</v>
      </c>
      <c r="D231" s="87"/>
      <c r="E231" s="87"/>
      <c r="F231" s="87"/>
      <c r="G231" s="87"/>
      <c r="H231" s="87"/>
      <c r="I231" s="87"/>
    </row>
    <row r="232" spans="1:9">
      <c r="A232" s="300" t="s">
        <v>1011</v>
      </c>
      <c r="B232" s="301">
        <f t="shared" si="0"/>
        <v>231</v>
      </c>
      <c r="C232" s="301">
        <v>134</v>
      </c>
      <c r="D232" s="87"/>
      <c r="E232" s="87"/>
      <c r="F232" s="87"/>
      <c r="G232" s="87"/>
      <c r="H232" s="87"/>
      <c r="I232" s="87"/>
    </row>
    <row r="233" spans="1:9">
      <c r="A233" s="300" t="s">
        <v>1012</v>
      </c>
      <c r="B233" s="301">
        <f t="shared" si="0"/>
        <v>232</v>
      </c>
      <c r="C233" s="301">
        <v>133</v>
      </c>
      <c r="D233" s="87"/>
      <c r="E233" s="87"/>
      <c r="F233" s="87"/>
      <c r="G233" s="87"/>
      <c r="H233" s="87"/>
      <c r="I233" s="87"/>
    </row>
    <row r="234" spans="1:9">
      <c r="A234" s="300" t="s">
        <v>1013</v>
      </c>
      <c r="B234" s="301">
        <f t="shared" si="0"/>
        <v>233</v>
      </c>
      <c r="C234" s="301">
        <v>132</v>
      </c>
      <c r="D234" s="87"/>
      <c r="E234" s="87"/>
      <c r="F234" s="87"/>
      <c r="G234" s="87"/>
      <c r="H234" s="87"/>
      <c r="I234" s="87"/>
    </row>
    <row r="235" spans="1:9">
      <c r="A235" s="300" t="s">
        <v>1014</v>
      </c>
      <c r="B235" s="301">
        <f t="shared" si="0"/>
        <v>234</v>
      </c>
      <c r="C235" s="301">
        <v>131</v>
      </c>
      <c r="D235" s="87"/>
      <c r="E235" s="87"/>
      <c r="F235" s="87"/>
      <c r="G235" s="87"/>
      <c r="H235" s="87"/>
      <c r="I235" s="87"/>
    </row>
    <row r="236" spans="1:9">
      <c r="A236" s="300" t="s">
        <v>1015</v>
      </c>
      <c r="B236" s="301">
        <f t="shared" si="0"/>
        <v>235</v>
      </c>
      <c r="C236" s="301">
        <v>130</v>
      </c>
      <c r="D236" s="87"/>
      <c r="E236" s="87"/>
      <c r="F236" s="87"/>
      <c r="G236" s="87"/>
      <c r="H236" s="87"/>
      <c r="I236" s="87"/>
    </row>
    <row r="237" spans="1:9">
      <c r="A237" s="300" t="s">
        <v>1016</v>
      </c>
      <c r="B237" s="301">
        <f t="shared" si="0"/>
        <v>236</v>
      </c>
      <c r="C237" s="301">
        <v>129</v>
      </c>
      <c r="D237" s="87"/>
      <c r="E237" s="87"/>
      <c r="F237" s="87"/>
      <c r="G237" s="87"/>
      <c r="H237" s="87"/>
      <c r="I237" s="87"/>
    </row>
    <row r="238" spans="1:9">
      <c r="A238" s="300" t="s">
        <v>1017</v>
      </c>
      <c r="B238" s="301">
        <f t="shared" si="0"/>
        <v>237</v>
      </c>
      <c r="C238" s="301">
        <v>128</v>
      </c>
      <c r="D238" s="87"/>
      <c r="E238" s="87"/>
      <c r="F238" s="87"/>
      <c r="G238" s="87"/>
      <c r="H238" s="87"/>
      <c r="I238" s="87"/>
    </row>
    <row r="239" spans="1:9">
      <c r="A239" s="300" t="s">
        <v>1018</v>
      </c>
      <c r="B239" s="301">
        <f t="shared" si="0"/>
        <v>238</v>
      </c>
      <c r="C239" s="301">
        <v>127</v>
      </c>
      <c r="D239" s="87"/>
      <c r="E239" s="87"/>
      <c r="F239" s="87"/>
      <c r="G239" s="87"/>
      <c r="H239" s="87"/>
      <c r="I239" s="87"/>
    </row>
    <row r="240" spans="1:9">
      <c r="A240" s="302" t="s">
        <v>1019</v>
      </c>
      <c r="B240" s="303">
        <f t="shared" si="0"/>
        <v>239</v>
      </c>
      <c r="C240" s="303">
        <v>126</v>
      </c>
      <c r="D240" s="304">
        <f>B240-B180+1</f>
        <v>61</v>
      </c>
      <c r="E240" s="87"/>
      <c r="F240" s="87"/>
      <c r="G240" s="87"/>
      <c r="H240" s="87"/>
      <c r="I240" s="87"/>
    </row>
    <row r="241" spans="1:9">
      <c r="A241" s="297" t="s">
        <v>1020</v>
      </c>
      <c r="B241" s="298">
        <f t="shared" si="0"/>
        <v>240</v>
      </c>
      <c r="C241" s="298">
        <v>125</v>
      </c>
      <c r="D241" s="87"/>
      <c r="E241" s="87"/>
      <c r="F241" s="87"/>
      <c r="G241" s="87"/>
      <c r="H241" s="87"/>
      <c r="I241" s="87"/>
    </row>
    <row r="242" spans="1:9">
      <c r="A242" s="299" t="s">
        <v>1021</v>
      </c>
      <c r="B242" s="295">
        <f t="shared" si="0"/>
        <v>241</v>
      </c>
      <c r="C242" s="295">
        <v>124</v>
      </c>
      <c r="D242" s="87"/>
      <c r="E242" s="87"/>
      <c r="F242" s="87"/>
      <c r="G242" s="87"/>
      <c r="H242" s="87"/>
      <c r="I242" s="87"/>
    </row>
    <row r="243" spans="1:9">
      <c r="A243" s="297" t="s">
        <v>1022</v>
      </c>
      <c r="B243" s="298">
        <f t="shared" si="0"/>
        <v>242</v>
      </c>
      <c r="C243" s="298">
        <v>123</v>
      </c>
      <c r="D243" s="87"/>
      <c r="E243" s="87"/>
      <c r="F243" s="87"/>
      <c r="G243" s="87"/>
      <c r="H243" s="87"/>
      <c r="I243" s="87"/>
    </row>
    <row r="244" spans="1:9">
      <c r="A244" s="299" t="s">
        <v>1023</v>
      </c>
      <c r="B244" s="295">
        <f t="shared" si="0"/>
        <v>243</v>
      </c>
      <c r="C244" s="295">
        <v>122</v>
      </c>
      <c r="D244" s="87"/>
      <c r="E244" s="87"/>
      <c r="F244" s="87"/>
      <c r="G244" s="87"/>
      <c r="H244" s="87"/>
      <c r="I244" s="87"/>
    </row>
    <row r="245" spans="1:9">
      <c r="A245" s="297" t="s">
        <v>1024</v>
      </c>
      <c r="B245" s="298">
        <f t="shared" si="0"/>
        <v>244</v>
      </c>
      <c r="C245" s="298">
        <v>121</v>
      </c>
      <c r="D245" s="87"/>
      <c r="E245" s="87"/>
      <c r="F245" s="87"/>
      <c r="G245" s="87"/>
      <c r="H245" s="87"/>
      <c r="I245" s="87"/>
    </row>
    <row r="246" spans="1:9">
      <c r="A246" s="299" t="s">
        <v>1025</v>
      </c>
      <c r="B246" s="295">
        <f t="shared" si="0"/>
        <v>245</v>
      </c>
      <c r="C246" s="295">
        <v>120</v>
      </c>
      <c r="D246" s="87"/>
      <c r="E246" s="87"/>
      <c r="F246" s="87"/>
      <c r="G246" s="87"/>
      <c r="H246" s="87"/>
      <c r="I246" s="87"/>
    </row>
    <row r="247" spans="1:9">
      <c r="A247" s="297" t="s">
        <v>1026</v>
      </c>
      <c r="B247" s="298">
        <f t="shared" si="0"/>
        <v>246</v>
      </c>
      <c r="C247" s="298">
        <v>119</v>
      </c>
      <c r="D247" s="87"/>
      <c r="E247" s="87"/>
      <c r="F247" s="87"/>
      <c r="G247" s="87"/>
      <c r="H247" s="87"/>
      <c r="I247" s="87"/>
    </row>
    <row r="248" spans="1:9">
      <c r="A248" s="299" t="s">
        <v>1027</v>
      </c>
      <c r="B248" s="295">
        <f t="shared" si="0"/>
        <v>247</v>
      </c>
      <c r="C248" s="295">
        <v>118</v>
      </c>
      <c r="D248" s="87"/>
      <c r="E248" s="87"/>
      <c r="F248" s="87"/>
      <c r="G248" s="87"/>
      <c r="H248" s="87"/>
      <c r="I248" s="87"/>
    </row>
    <row r="249" spans="1:9">
      <c r="A249" s="297" t="s">
        <v>1028</v>
      </c>
      <c r="B249" s="298">
        <f t="shared" si="0"/>
        <v>248</v>
      </c>
      <c r="C249" s="298">
        <v>117</v>
      </c>
      <c r="D249" s="87"/>
      <c r="E249" s="87"/>
      <c r="F249" s="87"/>
      <c r="G249" s="87"/>
      <c r="H249" s="87"/>
      <c r="I249" s="87"/>
    </row>
    <row r="250" spans="1:9">
      <c r="A250" s="299" t="s">
        <v>1029</v>
      </c>
      <c r="B250" s="295">
        <f t="shared" si="0"/>
        <v>249</v>
      </c>
      <c r="C250" s="295">
        <v>116</v>
      </c>
      <c r="D250" s="87"/>
      <c r="E250" s="87"/>
      <c r="F250" s="87"/>
      <c r="G250" s="87"/>
      <c r="H250" s="87"/>
      <c r="I250" s="87"/>
    </row>
    <row r="251" spans="1:9">
      <c r="A251" s="297" t="s">
        <v>1030</v>
      </c>
      <c r="B251" s="298">
        <f t="shared" si="0"/>
        <v>250</v>
      </c>
      <c r="C251" s="298">
        <v>115</v>
      </c>
      <c r="D251" s="87"/>
      <c r="E251" s="87"/>
      <c r="F251" s="87"/>
      <c r="G251" s="87"/>
      <c r="H251" s="87"/>
      <c r="I251" s="87"/>
    </row>
    <row r="252" spans="1:9">
      <c r="A252" s="299" t="s">
        <v>1031</v>
      </c>
      <c r="B252" s="295">
        <f t="shared" si="0"/>
        <v>251</v>
      </c>
      <c r="C252" s="295">
        <v>114</v>
      </c>
      <c r="D252" s="87"/>
      <c r="E252" s="87"/>
      <c r="F252" s="87"/>
      <c r="G252" s="87"/>
      <c r="H252" s="87"/>
      <c r="I252" s="87"/>
    </row>
    <row r="253" spans="1:9">
      <c r="A253" s="297" t="s">
        <v>1032</v>
      </c>
      <c r="B253" s="298">
        <f t="shared" si="0"/>
        <v>252</v>
      </c>
      <c r="C253" s="298">
        <v>113</v>
      </c>
      <c r="D253" s="87"/>
      <c r="E253" s="87"/>
      <c r="F253" s="87"/>
      <c r="G253" s="87"/>
      <c r="H253" s="87"/>
      <c r="I253" s="87"/>
    </row>
    <row r="254" spans="1:9">
      <c r="A254" s="299" t="s">
        <v>1033</v>
      </c>
      <c r="B254" s="295">
        <f t="shared" si="0"/>
        <v>253</v>
      </c>
      <c r="C254" s="295">
        <v>112</v>
      </c>
      <c r="D254" s="87"/>
      <c r="E254" s="87"/>
      <c r="F254" s="87"/>
      <c r="G254" s="87"/>
      <c r="H254" s="87"/>
      <c r="I254" s="87"/>
    </row>
    <row r="255" spans="1:9">
      <c r="A255" s="297" t="s">
        <v>1034</v>
      </c>
      <c r="B255" s="298">
        <f t="shared" si="0"/>
        <v>254</v>
      </c>
      <c r="C255" s="298">
        <v>111</v>
      </c>
      <c r="D255" s="87"/>
      <c r="E255" s="87"/>
      <c r="F255" s="87"/>
      <c r="G255" s="87"/>
      <c r="H255" s="87"/>
      <c r="I255" s="87"/>
    </row>
    <row r="256" spans="1:9">
      <c r="A256" s="299" t="s">
        <v>1035</v>
      </c>
      <c r="B256" s="295">
        <f t="shared" si="0"/>
        <v>255</v>
      </c>
      <c r="C256" s="295">
        <v>110</v>
      </c>
      <c r="D256" s="87"/>
      <c r="E256" s="87"/>
      <c r="F256" s="87"/>
      <c r="G256" s="87"/>
      <c r="H256" s="87"/>
      <c r="I256" s="87"/>
    </row>
    <row r="257" spans="1:9">
      <c r="A257" s="300" t="s">
        <v>1036</v>
      </c>
      <c r="B257" s="301">
        <f t="shared" ref="B257:B511" si="1">365-C257</f>
        <v>256</v>
      </c>
      <c r="C257" s="301">
        <v>109</v>
      </c>
      <c r="D257" s="87"/>
      <c r="E257" s="87"/>
      <c r="F257" s="87"/>
      <c r="G257" s="87"/>
      <c r="H257" s="87"/>
      <c r="I257" s="87"/>
    </row>
    <row r="258" spans="1:9">
      <c r="A258" s="300" t="s">
        <v>1037</v>
      </c>
      <c r="B258" s="301">
        <f t="shared" si="1"/>
        <v>257</v>
      </c>
      <c r="C258" s="301">
        <v>108</v>
      </c>
      <c r="D258" s="87"/>
      <c r="E258" s="87"/>
      <c r="F258" s="87"/>
      <c r="G258" s="87"/>
      <c r="H258" s="87"/>
      <c r="I258" s="87"/>
    </row>
    <row r="259" spans="1:9">
      <c r="A259" s="300" t="s">
        <v>1038</v>
      </c>
      <c r="B259" s="301">
        <f t="shared" si="1"/>
        <v>258</v>
      </c>
      <c r="C259" s="301">
        <v>107</v>
      </c>
      <c r="D259" s="87"/>
      <c r="E259" s="87"/>
      <c r="F259" s="87"/>
      <c r="G259" s="87"/>
      <c r="H259" s="87"/>
      <c r="I259" s="87"/>
    </row>
    <row r="260" spans="1:9">
      <c r="A260" s="300" t="s">
        <v>1039</v>
      </c>
      <c r="B260" s="301">
        <f t="shared" si="1"/>
        <v>259</v>
      </c>
      <c r="C260" s="301">
        <v>106</v>
      </c>
      <c r="D260" s="87"/>
      <c r="E260" s="87"/>
      <c r="F260" s="87"/>
      <c r="G260" s="87"/>
      <c r="H260" s="87"/>
      <c r="I260" s="87"/>
    </row>
    <row r="261" spans="1:9">
      <c r="A261" s="300" t="s">
        <v>1040</v>
      </c>
      <c r="B261" s="301">
        <f t="shared" si="1"/>
        <v>260</v>
      </c>
      <c r="C261" s="301">
        <v>105</v>
      </c>
      <c r="D261" s="87"/>
      <c r="E261" s="87"/>
      <c r="F261" s="87"/>
      <c r="G261" s="87"/>
      <c r="H261" s="87"/>
      <c r="I261" s="87"/>
    </row>
    <row r="262" spans="1:9">
      <c r="A262" s="300" t="s">
        <v>1041</v>
      </c>
      <c r="B262" s="301">
        <f t="shared" si="1"/>
        <v>261</v>
      </c>
      <c r="C262" s="301">
        <v>104</v>
      </c>
      <c r="D262" s="87"/>
      <c r="E262" s="87"/>
      <c r="F262" s="87"/>
      <c r="G262" s="87"/>
      <c r="H262" s="87"/>
      <c r="I262" s="87"/>
    </row>
    <row r="263" spans="1:9">
      <c r="A263" s="300" t="s">
        <v>1042</v>
      </c>
      <c r="B263" s="301">
        <f t="shared" si="1"/>
        <v>262</v>
      </c>
      <c r="C263" s="301">
        <v>103</v>
      </c>
      <c r="D263" s="87"/>
      <c r="E263" s="87"/>
      <c r="F263" s="87"/>
      <c r="G263" s="87"/>
      <c r="H263" s="87"/>
      <c r="I263" s="87"/>
    </row>
    <row r="264" spans="1:9">
      <c r="A264" s="300" t="s">
        <v>1043</v>
      </c>
      <c r="B264" s="301">
        <f t="shared" si="1"/>
        <v>263</v>
      </c>
      <c r="C264" s="301">
        <v>102</v>
      </c>
      <c r="D264" s="87"/>
      <c r="E264" s="87"/>
      <c r="F264" s="87"/>
      <c r="G264" s="87"/>
      <c r="H264" s="87"/>
      <c r="I264" s="87"/>
    </row>
    <row r="265" spans="1:9">
      <c r="A265" s="300" t="s">
        <v>1044</v>
      </c>
      <c r="B265" s="301">
        <f t="shared" si="1"/>
        <v>264</v>
      </c>
      <c r="C265" s="301">
        <v>101</v>
      </c>
      <c r="D265" s="87"/>
      <c r="E265" s="87"/>
      <c r="F265" s="87"/>
      <c r="G265" s="87"/>
      <c r="H265" s="87"/>
      <c r="I265" s="87"/>
    </row>
    <row r="266" spans="1:9">
      <c r="A266" s="300" t="s">
        <v>1045</v>
      </c>
      <c r="B266" s="301">
        <f t="shared" si="1"/>
        <v>265</v>
      </c>
      <c r="C266" s="301">
        <v>100</v>
      </c>
      <c r="D266" s="87"/>
      <c r="E266" s="87"/>
      <c r="F266" s="87"/>
      <c r="G266" s="87"/>
      <c r="H266" s="87"/>
      <c r="I266" s="87"/>
    </row>
    <row r="267" spans="1:9">
      <c r="A267" s="300" t="s">
        <v>1046</v>
      </c>
      <c r="B267" s="301">
        <f t="shared" si="1"/>
        <v>266</v>
      </c>
      <c r="C267" s="301">
        <v>99</v>
      </c>
      <c r="D267" s="87"/>
      <c r="E267" s="87"/>
      <c r="F267" s="87"/>
      <c r="G267" s="87"/>
      <c r="H267" s="87"/>
      <c r="I267" s="87"/>
    </row>
    <row r="268" spans="1:9">
      <c r="A268" s="300" t="s">
        <v>1047</v>
      </c>
      <c r="B268" s="301">
        <f t="shared" si="1"/>
        <v>267</v>
      </c>
      <c r="C268" s="301">
        <v>98</v>
      </c>
      <c r="D268" s="87"/>
      <c r="E268" s="87"/>
      <c r="F268" s="87"/>
      <c r="G268" s="87"/>
      <c r="H268" s="87"/>
      <c r="I268" s="87"/>
    </row>
    <row r="269" spans="1:9">
      <c r="A269" s="300" t="s">
        <v>1048</v>
      </c>
      <c r="B269" s="301">
        <f t="shared" si="1"/>
        <v>268</v>
      </c>
      <c r="C269" s="301">
        <v>97</v>
      </c>
      <c r="D269" s="87"/>
      <c r="E269" s="87"/>
      <c r="F269" s="87"/>
      <c r="G269" s="87"/>
      <c r="H269" s="87"/>
      <c r="I269" s="87"/>
    </row>
    <row r="270" spans="1:9">
      <c r="A270" s="300" t="s">
        <v>1049</v>
      </c>
      <c r="B270" s="301">
        <f t="shared" si="1"/>
        <v>269</v>
      </c>
      <c r="C270" s="301">
        <v>96</v>
      </c>
      <c r="D270" s="87"/>
      <c r="E270" s="87"/>
      <c r="F270" s="87"/>
      <c r="G270" s="87"/>
      <c r="H270" s="87"/>
      <c r="I270" s="87"/>
    </row>
    <row r="271" spans="1:9">
      <c r="A271" s="300" t="s">
        <v>1050</v>
      </c>
      <c r="B271" s="301">
        <f t="shared" si="1"/>
        <v>270</v>
      </c>
      <c r="C271" s="301">
        <v>95</v>
      </c>
      <c r="D271" s="87"/>
      <c r="E271" s="87"/>
      <c r="F271" s="87"/>
      <c r="G271" s="87"/>
      <c r="H271" s="87"/>
      <c r="I271" s="87"/>
    </row>
    <row r="272" spans="1:9">
      <c r="A272" s="300" t="s">
        <v>1051</v>
      </c>
      <c r="B272" s="301">
        <f t="shared" si="1"/>
        <v>271</v>
      </c>
      <c r="C272" s="301">
        <v>94</v>
      </c>
      <c r="D272" s="87"/>
      <c r="E272" s="87"/>
      <c r="F272" s="87"/>
      <c r="G272" s="87"/>
      <c r="H272" s="87"/>
      <c r="I272" s="87"/>
    </row>
    <row r="273" spans="1:9">
      <c r="A273" s="300" t="s">
        <v>1052</v>
      </c>
      <c r="B273" s="301">
        <f t="shared" si="1"/>
        <v>272</v>
      </c>
      <c r="C273" s="301">
        <v>93</v>
      </c>
      <c r="D273" s="87"/>
      <c r="E273" s="87"/>
      <c r="F273" s="87"/>
      <c r="G273" s="87"/>
      <c r="H273" s="87"/>
      <c r="I273" s="87"/>
    </row>
    <row r="274" spans="1:9">
      <c r="A274" s="300" t="s">
        <v>1053</v>
      </c>
      <c r="B274" s="301">
        <f t="shared" si="1"/>
        <v>273</v>
      </c>
      <c r="C274" s="301">
        <v>92</v>
      </c>
      <c r="D274" s="87"/>
      <c r="E274" s="87"/>
      <c r="F274" s="87"/>
      <c r="G274" s="87"/>
      <c r="H274" s="87"/>
      <c r="I274" s="87"/>
    </row>
    <row r="275" spans="1:9">
      <c r="A275" s="300" t="s">
        <v>1054</v>
      </c>
      <c r="B275" s="301">
        <f t="shared" si="1"/>
        <v>274</v>
      </c>
      <c r="C275" s="301">
        <v>91</v>
      </c>
      <c r="D275" s="87"/>
      <c r="E275" s="87"/>
      <c r="F275" s="87"/>
      <c r="G275" s="87"/>
      <c r="H275" s="87"/>
      <c r="I275" s="87"/>
    </row>
    <row r="276" spans="1:9">
      <c r="A276" s="300" t="s">
        <v>1055</v>
      </c>
      <c r="B276" s="301">
        <f t="shared" si="1"/>
        <v>275</v>
      </c>
      <c r="C276" s="301">
        <v>90</v>
      </c>
      <c r="D276" s="87"/>
      <c r="E276" s="87"/>
      <c r="F276" s="87"/>
      <c r="G276" s="87"/>
      <c r="H276" s="87"/>
      <c r="I276" s="87"/>
    </row>
    <row r="277" spans="1:9">
      <c r="A277" s="300" t="s">
        <v>1056</v>
      </c>
      <c r="B277" s="301">
        <f t="shared" si="1"/>
        <v>276</v>
      </c>
      <c r="C277" s="301">
        <v>89</v>
      </c>
      <c r="D277" s="87"/>
      <c r="E277" s="87"/>
      <c r="F277" s="87"/>
      <c r="G277" s="87"/>
      <c r="H277" s="87"/>
      <c r="I277" s="87"/>
    </row>
    <row r="278" spans="1:9">
      <c r="A278" s="300" t="s">
        <v>1057</v>
      </c>
      <c r="B278" s="301">
        <f t="shared" si="1"/>
        <v>277</v>
      </c>
      <c r="C278" s="301">
        <v>88</v>
      </c>
      <c r="D278" s="87"/>
      <c r="E278" s="87"/>
      <c r="F278" s="87"/>
      <c r="G278" s="87"/>
      <c r="H278" s="87"/>
      <c r="I278" s="87"/>
    </row>
    <row r="279" spans="1:9">
      <c r="A279" s="300" t="s">
        <v>1058</v>
      </c>
      <c r="B279" s="301">
        <f t="shared" si="1"/>
        <v>278</v>
      </c>
      <c r="C279" s="301">
        <v>87</v>
      </c>
      <c r="D279" s="87"/>
      <c r="E279" s="87"/>
      <c r="F279" s="87"/>
      <c r="G279" s="87"/>
      <c r="H279" s="87"/>
      <c r="I279" s="87"/>
    </row>
    <row r="280" spans="1:9">
      <c r="A280" s="300" t="s">
        <v>1059</v>
      </c>
      <c r="B280" s="301">
        <f t="shared" si="1"/>
        <v>279</v>
      </c>
      <c r="C280" s="301">
        <v>86</v>
      </c>
      <c r="D280" s="87"/>
      <c r="E280" s="87"/>
      <c r="F280" s="87"/>
      <c r="G280" s="87"/>
      <c r="H280" s="87"/>
      <c r="I280" s="87"/>
    </row>
    <row r="281" spans="1:9">
      <c r="A281" s="300" t="s">
        <v>1060</v>
      </c>
      <c r="B281" s="301">
        <f t="shared" si="1"/>
        <v>280</v>
      </c>
      <c r="C281" s="301">
        <v>85</v>
      </c>
      <c r="D281" s="87"/>
      <c r="E281" s="87"/>
      <c r="F281" s="87"/>
      <c r="G281" s="87"/>
      <c r="H281" s="87"/>
      <c r="I281" s="87"/>
    </row>
    <row r="282" spans="1:9">
      <c r="A282" s="300" t="s">
        <v>1061</v>
      </c>
      <c r="B282" s="301">
        <f t="shared" si="1"/>
        <v>281</v>
      </c>
      <c r="C282" s="301">
        <v>84</v>
      </c>
      <c r="D282" s="87"/>
      <c r="E282" s="87"/>
      <c r="F282" s="87"/>
      <c r="G282" s="87"/>
      <c r="H282" s="87"/>
      <c r="I282" s="87"/>
    </row>
    <row r="283" spans="1:9">
      <c r="A283" s="300" t="s">
        <v>1062</v>
      </c>
      <c r="B283" s="301">
        <f t="shared" si="1"/>
        <v>282</v>
      </c>
      <c r="C283" s="301">
        <v>83</v>
      </c>
      <c r="D283" s="87"/>
      <c r="E283" s="87"/>
      <c r="F283" s="87"/>
      <c r="G283" s="87"/>
      <c r="H283" s="87"/>
      <c r="I283" s="87"/>
    </row>
    <row r="284" spans="1:9">
      <c r="A284" s="300" t="s">
        <v>1063</v>
      </c>
      <c r="B284" s="301">
        <f t="shared" si="1"/>
        <v>283</v>
      </c>
      <c r="C284" s="301">
        <v>82</v>
      </c>
      <c r="D284" s="87"/>
      <c r="E284" s="87"/>
      <c r="F284" s="87"/>
      <c r="G284" s="87"/>
      <c r="H284" s="87"/>
      <c r="I284" s="87"/>
    </row>
    <row r="285" spans="1:9">
      <c r="A285" s="300" t="s">
        <v>1064</v>
      </c>
      <c r="B285" s="301">
        <f t="shared" si="1"/>
        <v>284</v>
      </c>
      <c r="C285" s="301">
        <v>81</v>
      </c>
      <c r="D285" s="87"/>
      <c r="E285" s="87"/>
      <c r="F285" s="87"/>
      <c r="G285" s="87"/>
      <c r="H285" s="87"/>
      <c r="I285" s="87"/>
    </row>
    <row r="286" spans="1:9">
      <c r="A286" s="300" t="s">
        <v>1065</v>
      </c>
      <c r="B286" s="301">
        <f t="shared" si="1"/>
        <v>285</v>
      </c>
      <c r="C286" s="301">
        <v>80</v>
      </c>
      <c r="D286" s="87"/>
      <c r="E286" s="87"/>
      <c r="F286" s="87"/>
      <c r="G286" s="87"/>
      <c r="H286" s="87"/>
      <c r="I286" s="87"/>
    </row>
    <row r="287" spans="1:9">
      <c r="A287" s="300" t="s">
        <v>1066</v>
      </c>
      <c r="B287" s="301">
        <f t="shared" si="1"/>
        <v>286</v>
      </c>
      <c r="C287" s="301">
        <v>79</v>
      </c>
      <c r="D287" s="87"/>
      <c r="E287" s="87"/>
      <c r="F287" s="87"/>
      <c r="G287" s="87"/>
      <c r="H287" s="87"/>
      <c r="I287" s="87"/>
    </row>
    <row r="288" spans="1:9">
      <c r="A288" s="300" t="s">
        <v>1067</v>
      </c>
      <c r="B288" s="301">
        <f t="shared" si="1"/>
        <v>287</v>
      </c>
      <c r="C288" s="301">
        <v>78</v>
      </c>
      <c r="D288" s="87"/>
      <c r="E288" s="87"/>
      <c r="F288" s="87"/>
      <c r="G288" s="87"/>
      <c r="H288" s="87"/>
      <c r="I288" s="87"/>
    </row>
    <row r="289" spans="1:9">
      <c r="A289" s="302" t="s">
        <v>1068</v>
      </c>
      <c r="B289" s="303">
        <f t="shared" si="1"/>
        <v>288</v>
      </c>
      <c r="C289" s="303">
        <v>77</v>
      </c>
      <c r="D289" s="304">
        <f>B289-B257+1</f>
        <v>33</v>
      </c>
      <c r="E289" s="87"/>
      <c r="F289" s="87"/>
      <c r="G289" s="87"/>
      <c r="H289" s="87"/>
      <c r="I289" s="87"/>
    </row>
    <row r="290" spans="1:9">
      <c r="A290" s="299" t="s">
        <v>1069</v>
      </c>
      <c r="B290" s="295">
        <f t="shared" si="1"/>
        <v>289</v>
      </c>
      <c r="C290" s="295">
        <v>76</v>
      </c>
      <c r="D290" s="87"/>
      <c r="E290" s="87"/>
      <c r="F290" s="87"/>
      <c r="G290" s="87"/>
      <c r="H290" s="87"/>
      <c r="I290" s="87"/>
    </row>
    <row r="291" spans="1:9">
      <c r="A291" s="297" t="s">
        <v>1070</v>
      </c>
      <c r="B291" s="298">
        <f t="shared" si="1"/>
        <v>290</v>
      </c>
      <c r="C291" s="298">
        <v>75</v>
      </c>
      <c r="D291" s="87"/>
      <c r="E291" s="87"/>
      <c r="F291" s="87"/>
      <c r="G291" s="87"/>
      <c r="H291" s="87"/>
      <c r="I291" s="87"/>
    </row>
    <row r="292" spans="1:9">
      <c r="A292" s="299" t="s">
        <v>1071</v>
      </c>
      <c r="B292" s="295">
        <f t="shared" si="1"/>
        <v>291</v>
      </c>
      <c r="C292" s="295">
        <v>74</v>
      </c>
      <c r="D292" s="87"/>
      <c r="E292" s="87"/>
      <c r="F292" s="87"/>
      <c r="G292" s="87"/>
      <c r="H292" s="87"/>
      <c r="I292" s="87"/>
    </row>
    <row r="293" spans="1:9">
      <c r="A293" s="297" t="s">
        <v>1072</v>
      </c>
      <c r="B293" s="298">
        <f t="shared" si="1"/>
        <v>292</v>
      </c>
      <c r="C293" s="298">
        <v>73</v>
      </c>
      <c r="D293" s="87"/>
      <c r="E293" s="87"/>
      <c r="F293" s="87"/>
      <c r="G293" s="87"/>
      <c r="H293" s="87"/>
      <c r="I293" s="87"/>
    </row>
    <row r="294" spans="1:9">
      <c r="A294" s="299" t="s">
        <v>1073</v>
      </c>
      <c r="B294" s="295">
        <f t="shared" si="1"/>
        <v>293</v>
      </c>
      <c r="C294" s="295">
        <v>72</v>
      </c>
      <c r="D294" s="87"/>
      <c r="E294" s="87"/>
      <c r="F294" s="87"/>
      <c r="G294" s="87"/>
      <c r="H294" s="87"/>
      <c r="I294" s="87"/>
    </row>
    <row r="295" spans="1:9">
      <c r="A295" s="297" t="s">
        <v>1074</v>
      </c>
      <c r="B295" s="298">
        <f t="shared" si="1"/>
        <v>294</v>
      </c>
      <c r="C295" s="298">
        <v>71</v>
      </c>
      <c r="D295" s="87"/>
      <c r="E295" s="87"/>
      <c r="F295" s="87"/>
      <c r="G295" s="87"/>
      <c r="H295" s="87"/>
      <c r="I295" s="87"/>
    </row>
    <row r="296" spans="1:9">
      <c r="A296" s="299" t="s">
        <v>1075</v>
      </c>
      <c r="B296" s="295">
        <f t="shared" si="1"/>
        <v>295</v>
      </c>
      <c r="C296" s="295">
        <v>70</v>
      </c>
      <c r="D296" s="87"/>
      <c r="E296" s="87"/>
      <c r="F296" s="87"/>
      <c r="G296" s="87"/>
      <c r="H296" s="87"/>
      <c r="I296" s="87"/>
    </row>
    <row r="297" spans="1:9">
      <c r="A297" s="297" t="s">
        <v>1076</v>
      </c>
      <c r="B297" s="298">
        <f t="shared" si="1"/>
        <v>296</v>
      </c>
      <c r="C297" s="298">
        <v>69</v>
      </c>
      <c r="D297" s="87"/>
      <c r="E297" s="87"/>
      <c r="F297" s="87"/>
      <c r="G297" s="87"/>
      <c r="H297" s="87"/>
      <c r="I297" s="87"/>
    </row>
    <row r="298" spans="1:9">
      <c r="A298" s="305" t="s">
        <v>1077</v>
      </c>
      <c r="B298" s="306">
        <f t="shared" si="1"/>
        <v>297</v>
      </c>
      <c r="C298" s="306">
        <v>68</v>
      </c>
      <c r="D298" s="87"/>
      <c r="E298" s="87"/>
      <c r="F298" s="87"/>
      <c r="G298" s="87"/>
      <c r="H298" s="87"/>
      <c r="I298" s="87"/>
    </row>
    <row r="299" spans="1:9">
      <c r="A299" s="297" t="s">
        <v>1078</v>
      </c>
      <c r="B299" s="298">
        <f t="shared" si="1"/>
        <v>298</v>
      </c>
      <c r="C299" s="298">
        <v>67</v>
      </c>
      <c r="D299" s="87"/>
      <c r="E299" s="87"/>
      <c r="F299" s="87"/>
      <c r="G299" s="87"/>
      <c r="H299" s="87"/>
      <c r="I299" s="87"/>
    </row>
    <row r="300" spans="1:9">
      <c r="A300" s="299" t="s">
        <v>1079</v>
      </c>
      <c r="B300" s="295">
        <f t="shared" si="1"/>
        <v>299</v>
      </c>
      <c r="C300" s="295">
        <v>66</v>
      </c>
      <c r="D300" s="87"/>
      <c r="E300" s="87"/>
      <c r="F300" s="87"/>
      <c r="G300" s="87"/>
      <c r="H300" s="87"/>
      <c r="I300" s="87"/>
    </row>
    <row r="301" spans="1:9">
      <c r="A301" s="297" t="s">
        <v>1080</v>
      </c>
      <c r="B301" s="298">
        <f t="shared" si="1"/>
        <v>300</v>
      </c>
      <c r="C301" s="298">
        <v>65</v>
      </c>
      <c r="D301" s="87"/>
      <c r="E301" s="87"/>
      <c r="F301" s="87"/>
      <c r="G301" s="87"/>
      <c r="H301" s="87"/>
      <c r="I301" s="87"/>
    </row>
    <row r="302" spans="1:9">
      <c r="A302" s="299" t="s">
        <v>1081</v>
      </c>
      <c r="B302" s="295">
        <f t="shared" si="1"/>
        <v>301</v>
      </c>
      <c r="C302" s="295">
        <v>64</v>
      </c>
      <c r="D302" s="87"/>
      <c r="E302" s="87"/>
      <c r="F302" s="87"/>
      <c r="G302" s="87"/>
      <c r="H302" s="87"/>
      <c r="I302" s="87"/>
    </row>
    <row r="303" spans="1:9">
      <c r="A303" s="297" t="s">
        <v>1082</v>
      </c>
      <c r="B303" s="298">
        <f t="shared" si="1"/>
        <v>302</v>
      </c>
      <c r="C303" s="298">
        <v>63</v>
      </c>
      <c r="D303" s="87"/>
      <c r="E303" s="87"/>
      <c r="F303" s="87"/>
      <c r="G303" s="87"/>
      <c r="H303" s="87"/>
      <c r="I303" s="87"/>
    </row>
    <row r="304" spans="1:9">
      <c r="A304" s="299" t="s">
        <v>1083</v>
      </c>
      <c r="B304" s="295">
        <f t="shared" si="1"/>
        <v>303</v>
      </c>
      <c r="C304" s="295">
        <v>62</v>
      </c>
      <c r="D304" s="87"/>
      <c r="E304" s="87"/>
      <c r="F304" s="87"/>
      <c r="G304" s="87"/>
      <c r="H304" s="87"/>
      <c r="I304" s="87"/>
    </row>
    <row r="305" spans="1:9">
      <c r="A305" s="297" t="s">
        <v>1084</v>
      </c>
      <c r="B305" s="298">
        <f t="shared" si="1"/>
        <v>304</v>
      </c>
      <c r="C305" s="298">
        <v>61</v>
      </c>
      <c r="D305" s="87"/>
      <c r="E305" s="87"/>
      <c r="F305" s="87"/>
      <c r="G305" s="87"/>
      <c r="H305" s="87"/>
      <c r="I305" s="87"/>
    </row>
    <row r="306" spans="1:9">
      <c r="A306" s="300" t="s">
        <v>1085</v>
      </c>
      <c r="B306" s="301">
        <f t="shared" si="1"/>
        <v>305</v>
      </c>
      <c r="C306" s="301">
        <v>60</v>
      </c>
      <c r="D306" s="87"/>
      <c r="E306" s="87"/>
      <c r="F306" s="87"/>
      <c r="G306" s="87"/>
      <c r="H306" s="87"/>
      <c r="I306" s="87"/>
    </row>
    <row r="307" spans="1:9">
      <c r="A307" s="300" t="s">
        <v>1086</v>
      </c>
      <c r="B307" s="301">
        <f t="shared" si="1"/>
        <v>306</v>
      </c>
      <c r="C307" s="301">
        <v>59</v>
      </c>
      <c r="D307" s="87"/>
      <c r="E307" s="87"/>
      <c r="F307" s="87"/>
      <c r="G307" s="87"/>
      <c r="H307" s="87"/>
      <c r="I307" s="87"/>
    </row>
    <row r="308" spans="1:9">
      <c r="A308" s="300" t="s">
        <v>1087</v>
      </c>
      <c r="B308" s="301">
        <f t="shared" si="1"/>
        <v>307</v>
      </c>
      <c r="C308" s="301">
        <v>58</v>
      </c>
      <c r="D308" s="87"/>
      <c r="E308" s="87"/>
      <c r="F308" s="87"/>
      <c r="G308" s="87"/>
      <c r="H308" s="87"/>
      <c r="I308" s="87"/>
    </row>
    <row r="309" spans="1:9">
      <c r="A309" s="300" t="s">
        <v>1088</v>
      </c>
      <c r="B309" s="301">
        <f t="shared" si="1"/>
        <v>308</v>
      </c>
      <c r="C309" s="301">
        <v>57</v>
      </c>
      <c r="D309" s="87"/>
      <c r="E309" s="87"/>
      <c r="F309" s="87"/>
      <c r="G309" s="87"/>
      <c r="H309" s="87"/>
      <c r="I309" s="87"/>
    </row>
    <row r="310" spans="1:9">
      <c r="A310" s="300" t="s">
        <v>1089</v>
      </c>
      <c r="B310" s="301">
        <f t="shared" si="1"/>
        <v>309</v>
      </c>
      <c r="C310" s="301">
        <v>56</v>
      </c>
      <c r="D310" s="87"/>
      <c r="E310" s="87"/>
      <c r="F310" s="87"/>
      <c r="G310" s="87"/>
      <c r="H310" s="87"/>
      <c r="I310" s="87"/>
    </row>
    <row r="311" spans="1:9">
      <c r="A311" s="300" t="s">
        <v>1090</v>
      </c>
      <c r="B311" s="301">
        <f t="shared" si="1"/>
        <v>310</v>
      </c>
      <c r="C311" s="301">
        <v>55</v>
      </c>
      <c r="D311" s="87"/>
      <c r="E311" s="87"/>
      <c r="F311" s="87"/>
      <c r="G311" s="87"/>
      <c r="H311" s="87"/>
      <c r="I311" s="87"/>
    </row>
    <row r="312" spans="1:9">
      <c r="A312" s="300" t="s">
        <v>1091</v>
      </c>
      <c r="B312" s="301">
        <f t="shared" si="1"/>
        <v>311</v>
      </c>
      <c r="C312" s="301">
        <v>54</v>
      </c>
      <c r="D312" s="87"/>
      <c r="E312" s="87"/>
      <c r="F312" s="87"/>
      <c r="G312" s="87"/>
      <c r="H312" s="87"/>
      <c r="I312" s="87"/>
    </row>
    <row r="313" spans="1:9">
      <c r="A313" s="300" t="s">
        <v>1092</v>
      </c>
      <c r="B313" s="301">
        <f t="shared" si="1"/>
        <v>312</v>
      </c>
      <c r="C313" s="301">
        <v>53</v>
      </c>
      <c r="D313" s="87"/>
      <c r="E313" s="87"/>
      <c r="F313" s="87"/>
      <c r="G313" s="87"/>
      <c r="H313" s="87"/>
      <c r="I313" s="87"/>
    </row>
    <row r="314" spans="1:9">
      <c r="A314" s="300" t="s">
        <v>1093</v>
      </c>
      <c r="B314" s="301">
        <f t="shared" si="1"/>
        <v>313</v>
      </c>
      <c r="C314" s="301">
        <v>52</v>
      </c>
      <c r="D314" s="87"/>
      <c r="E314" s="87"/>
      <c r="F314" s="87"/>
      <c r="G314" s="87"/>
      <c r="H314" s="87"/>
      <c r="I314" s="87"/>
    </row>
    <row r="315" spans="1:9">
      <c r="A315" s="300" t="s">
        <v>1094</v>
      </c>
      <c r="B315" s="301">
        <f t="shared" si="1"/>
        <v>314</v>
      </c>
      <c r="C315" s="301">
        <v>51</v>
      </c>
      <c r="D315" s="87"/>
      <c r="E315" s="87"/>
      <c r="F315" s="87"/>
      <c r="G315" s="87"/>
      <c r="H315" s="87"/>
      <c r="I315" s="87"/>
    </row>
    <row r="316" spans="1:9">
      <c r="A316" s="300" t="s">
        <v>1095</v>
      </c>
      <c r="B316" s="301">
        <f t="shared" si="1"/>
        <v>315</v>
      </c>
      <c r="C316" s="301">
        <v>50</v>
      </c>
      <c r="D316" s="87"/>
      <c r="E316" s="87"/>
      <c r="F316" s="87"/>
      <c r="G316" s="87"/>
      <c r="H316" s="87"/>
      <c r="I316" s="87"/>
    </row>
    <row r="317" spans="1:9">
      <c r="A317" s="300" t="s">
        <v>1096</v>
      </c>
      <c r="B317" s="301">
        <f t="shared" si="1"/>
        <v>316</v>
      </c>
      <c r="C317" s="301">
        <v>49</v>
      </c>
      <c r="D317" s="87"/>
      <c r="E317" s="87"/>
      <c r="F317" s="87"/>
      <c r="G317" s="87"/>
      <c r="H317" s="87"/>
      <c r="I317" s="87"/>
    </row>
    <row r="318" spans="1:9">
      <c r="A318" s="300" t="s">
        <v>1097</v>
      </c>
      <c r="B318" s="301">
        <f t="shared" si="1"/>
        <v>317</v>
      </c>
      <c r="C318" s="301">
        <v>48</v>
      </c>
      <c r="D318" s="87"/>
      <c r="E318" s="87"/>
      <c r="F318" s="87"/>
      <c r="G318" s="87"/>
      <c r="H318" s="87"/>
      <c r="I318" s="87"/>
    </row>
    <row r="319" spans="1:9">
      <c r="A319" s="300" t="s">
        <v>1098</v>
      </c>
      <c r="B319" s="301">
        <f t="shared" si="1"/>
        <v>318</v>
      </c>
      <c r="C319" s="301">
        <v>47</v>
      </c>
      <c r="D319" s="87"/>
      <c r="E319" s="87"/>
      <c r="F319" s="87"/>
      <c r="G319" s="87"/>
      <c r="H319" s="87"/>
      <c r="I319" s="87"/>
    </row>
    <row r="320" spans="1:9">
      <c r="A320" s="300" t="s">
        <v>1099</v>
      </c>
      <c r="B320" s="301">
        <f t="shared" si="1"/>
        <v>319</v>
      </c>
      <c r="C320" s="301">
        <v>46</v>
      </c>
      <c r="D320" s="87"/>
      <c r="E320" s="87"/>
      <c r="F320" s="87"/>
      <c r="G320" s="87"/>
      <c r="H320" s="87"/>
      <c r="I320" s="87"/>
    </row>
    <row r="321" spans="1:9">
      <c r="A321" s="300" t="s">
        <v>1100</v>
      </c>
      <c r="B321" s="301">
        <f t="shared" si="1"/>
        <v>320</v>
      </c>
      <c r="C321" s="301">
        <v>45</v>
      </c>
      <c r="D321" s="87"/>
      <c r="E321" s="87"/>
      <c r="F321" s="87"/>
      <c r="G321" s="87"/>
      <c r="H321" s="87"/>
      <c r="I321" s="87"/>
    </row>
    <row r="322" spans="1:9">
      <c r="A322" s="300" t="s">
        <v>1101</v>
      </c>
      <c r="B322" s="301">
        <f t="shared" si="1"/>
        <v>321</v>
      </c>
      <c r="C322" s="301">
        <v>44</v>
      </c>
      <c r="D322" s="87"/>
      <c r="E322" s="87"/>
      <c r="F322" s="87"/>
      <c r="G322" s="87"/>
      <c r="H322" s="87"/>
      <c r="I322" s="87"/>
    </row>
    <row r="323" spans="1:9">
      <c r="A323" s="300" t="s">
        <v>1102</v>
      </c>
      <c r="B323" s="301">
        <f t="shared" si="1"/>
        <v>322</v>
      </c>
      <c r="C323" s="301">
        <v>43</v>
      </c>
      <c r="D323" s="87"/>
      <c r="E323" s="87"/>
      <c r="F323" s="87"/>
      <c r="G323" s="87"/>
      <c r="H323" s="87"/>
      <c r="I323" s="87"/>
    </row>
    <row r="324" spans="1:9">
      <c r="A324" s="300" t="s">
        <v>1103</v>
      </c>
      <c r="B324" s="301">
        <f t="shared" si="1"/>
        <v>323</v>
      </c>
      <c r="C324" s="301">
        <v>42</v>
      </c>
      <c r="D324" s="87"/>
      <c r="E324" s="87"/>
      <c r="F324" s="87"/>
      <c r="G324" s="87"/>
      <c r="H324" s="87"/>
      <c r="I324" s="87"/>
    </row>
    <row r="325" spans="1:9">
      <c r="A325" s="300" t="s">
        <v>1104</v>
      </c>
      <c r="B325" s="301">
        <f t="shared" si="1"/>
        <v>324</v>
      </c>
      <c r="C325" s="301">
        <v>41</v>
      </c>
      <c r="D325" s="87"/>
      <c r="E325" s="87"/>
      <c r="F325" s="87"/>
      <c r="G325" s="87"/>
      <c r="H325" s="87"/>
      <c r="I325" s="87"/>
    </row>
    <row r="326" spans="1:9">
      <c r="A326" s="300" t="s">
        <v>1105</v>
      </c>
      <c r="B326" s="301">
        <f t="shared" si="1"/>
        <v>325</v>
      </c>
      <c r="C326" s="301">
        <v>40</v>
      </c>
      <c r="D326" s="87"/>
      <c r="E326" s="87"/>
      <c r="F326" s="87"/>
      <c r="G326" s="87"/>
      <c r="H326" s="87"/>
      <c r="I326" s="87"/>
    </row>
    <row r="327" spans="1:9">
      <c r="A327" s="300" t="s">
        <v>1106</v>
      </c>
      <c r="B327" s="301">
        <f t="shared" si="1"/>
        <v>326</v>
      </c>
      <c r="C327" s="301">
        <v>39</v>
      </c>
      <c r="D327" s="87"/>
      <c r="E327" s="87"/>
      <c r="F327" s="87"/>
      <c r="G327" s="87"/>
      <c r="H327" s="87"/>
      <c r="I327" s="87"/>
    </row>
    <row r="328" spans="1:9">
      <c r="A328" s="300" t="s">
        <v>1107</v>
      </c>
      <c r="B328" s="301">
        <f t="shared" si="1"/>
        <v>327</v>
      </c>
      <c r="C328" s="301">
        <v>38</v>
      </c>
      <c r="D328" s="87"/>
      <c r="E328" s="87"/>
      <c r="F328" s="87"/>
      <c r="G328" s="87"/>
      <c r="H328" s="87"/>
      <c r="I328" s="87"/>
    </row>
    <row r="329" spans="1:9">
      <c r="A329" s="300" t="s">
        <v>1108</v>
      </c>
      <c r="B329" s="301">
        <f t="shared" si="1"/>
        <v>328</v>
      </c>
      <c r="C329" s="301">
        <v>37</v>
      </c>
      <c r="D329" s="87"/>
      <c r="E329" s="87"/>
      <c r="F329" s="87"/>
      <c r="G329" s="87"/>
      <c r="H329" s="87"/>
      <c r="I329" s="87"/>
    </row>
    <row r="330" spans="1:9">
      <c r="A330" s="300" t="s">
        <v>1109</v>
      </c>
      <c r="B330" s="301">
        <f t="shared" si="1"/>
        <v>329</v>
      </c>
      <c r="C330" s="301">
        <v>36</v>
      </c>
      <c r="D330" s="87"/>
      <c r="E330" s="87"/>
      <c r="F330" s="87"/>
      <c r="G330" s="87"/>
      <c r="H330" s="87"/>
      <c r="I330" s="87"/>
    </row>
    <row r="331" spans="1:9">
      <c r="A331" s="300" t="s">
        <v>1110</v>
      </c>
      <c r="B331" s="301">
        <f t="shared" si="1"/>
        <v>330</v>
      </c>
      <c r="C331" s="301">
        <v>35</v>
      </c>
      <c r="D331" s="87"/>
      <c r="E331" s="87"/>
      <c r="F331" s="87"/>
      <c r="G331" s="87"/>
      <c r="H331" s="87"/>
      <c r="I331" s="87"/>
    </row>
    <row r="332" spans="1:9">
      <c r="A332" s="302" t="s">
        <v>1111</v>
      </c>
      <c r="B332" s="303">
        <f t="shared" si="1"/>
        <v>331</v>
      </c>
      <c r="C332" s="303">
        <v>34</v>
      </c>
      <c r="D332" s="304">
        <f>B332-B306+1</f>
        <v>27</v>
      </c>
      <c r="E332" s="87"/>
      <c r="F332" s="87"/>
      <c r="G332" s="87"/>
      <c r="H332" s="87"/>
      <c r="I332" s="87"/>
    </row>
    <row r="333" spans="1:9">
      <c r="A333" s="297" t="s">
        <v>1112</v>
      </c>
      <c r="B333" s="298">
        <f t="shared" si="1"/>
        <v>332</v>
      </c>
      <c r="C333" s="298">
        <v>33</v>
      </c>
      <c r="D333" s="87"/>
      <c r="E333" s="87"/>
      <c r="F333" s="87"/>
      <c r="G333" s="87"/>
      <c r="H333" s="87"/>
      <c r="I333" s="87"/>
    </row>
    <row r="334" spans="1:9">
      <c r="A334" s="299" t="s">
        <v>1113</v>
      </c>
      <c r="B334" s="295">
        <f t="shared" si="1"/>
        <v>333</v>
      </c>
      <c r="C334" s="295">
        <v>32</v>
      </c>
      <c r="D334" s="87"/>
      <c r="E334" s="87"/>
      <c r="F334" s="87"/>
      <c r="G334" s="87"/>
      <c r="H334" s="87"/>
      <c r="I334" s="87"/>
    </row>
    <row r="335" spans="1:9">
      <c r="A335" s="297" t="s">
        <v>1114</v>
      </c>
      <c r="B335" s="298">
        <f t="shared" si="1"/>
        <v>334</v>
      </c>
      <c r="C335" s="298">
        <v>31</v>
      </c>
      <c r="D335" s="87"/>
      <c r="E335" s="87"/>
      <c r="F335" s="87"/>
      <c r="G335" s="87"/>
      <c r="H335" s="87"/>
      <c r="I335" s="87"/>
    </row>
    <row r="336" spans="1:9">
      <c r="A336" s="299" t="s">
        <v>1115</v>
      </c>
      <c r="B336" s="295">
        <f t="shared" si="1"/>
        <v>335</v>
      </c>
      <c r="C336" s="295">
        <v>30</v>
      </c>
      <c r="D336" s="87"/>
      <c r="E336" s="87"/>
      <c r="F336" s="87"/>
      <c r="G336" s="87"/>
      <c r="H336" s="87"/>
      <c r="I336" s="87"/>
    </row>
    <row r="337" spans="1:9">
      <c r="A337" s="297" t="s">
        <v>1116</v>
      </c>
      <c r="B337" s="298">
        <f t="shared" si="1"/>
        <v>336</v>
      </c>
      <c r="C337" s="298">
        <v>29</v>
      </c>
      <c r="D337" s="87"/>
      <c r="E337" s="87"/>
      <c r="F337" s="87"/>
      <c r="G337" s="87"/>
      <c r="H337" s="87"/>
      <c r="I337" s="87"/>
    </row>
    <row r="338" spans="1:9">
      <c r="A338" s="299" t="s">
        <v>1117</v>
      </c>
      <c r="B338" s="295">
        <f t="shared" si="1"/>
        <v>337</v>
      </c>
      <c r="C338" s="295">
        <v>28</v>
      </c>
      <c r="D338" s="87"/>
      <c r="E338" s="87"/>
      <c r="F338" s="87"/>
      <c r="G338" s="87"/>
      <c r="H338" s="87"/>
      <c r="I338" s="87"/>
    </row>
    <row r="339" spans="1:9">
      <c r="A339" s="297" t="s">
        <v>1118</v>
      </c>
      <c r="B339" s="298">
        <f t="shared" si="1"/>
        <v>338</v>
      </c>
      <c r="C339" s="298">
        <v>27</v>
      </c>
      <c r="D339" s="87"/>
      <c r="E339" s="87"/>
      <c r="F339" s="87"/>
      <c r="G339" s="87"/>
      <c r="H339" s="87"/>
      <c r="I339" s="87"/>
    </row>
    <row r="340" spans="1:9">
      <c r="A340" s="299" t="s">
        <v>1119</v>
      </c>
      <c r="B340" s="295">
        <f t="shared" si="1"/>
        <v>339</v>
      </c>
      <c r="C340" s="295">
        <v>26</v>
      </c>
      <c r="D340" s="87"/>
      <c r="E340" s="87"/>
      <c r="F340" s="87"/>
      <c r="G340" s="87"/>
      <c r="H340" s="87"/>
      <c r="I340" s="87"/>
    </row>
    <row r="341" spans="1:9">
      <c r="A341" s="297" t="s">
        <v>1120</v>
      </c>
      <c r="B341" s="298">
        <f t="shared" si="1"/>
        <v>340</v>
      </c>
      <c r="C341" s="298">
        <v>25</v>
      </c>
      <c r="D341" s="87"/>
      <c r="E341" s="87"/>
      <c r="F341" s="87"/>
      <c r="G341" s="87"/>
      <c r="H341" s="87"/>
      <c r="I341" s="87"/>
    </row>
    <row r="342" spans="1:9">
      <c r="A342" s="299" t="s">
        <v>1121</v>
      </c>
      <c r="B342" s="295">
        <f t="shared" si="1"/>
        <v>341</v>
      </c>
      <c r="C342" s="295">
        <v>24</v>
      </c>
      <c r="D342" s="87"/>
      <c r="E342" s="87"/>
      <c r="F342" s="87"/>
      <c r="G342" s="87"/>
      <c r="H342" s="87"/>
      <c r="I342" s="87"/>
    </row>
    <row r="343" spans="1:9">
      <c r="A343" s="297" t="s">
        <v>1122</v>
      </c>
      <c r="B343" s="298">
        <f t="shared" si="1"/>
        <v>342</v>
      </c>
      <c r="C343" s="298">
        <v>23</v>
      </c>
      <c r="D343" s="87"/>
      <c r="E343" s="87"/>
      <c r="F343" s="87"/>
      <c r="G343" s="87"/>
      <c r="H343" s="87"/>
      <c r="I343" s="87"/>
    </row>
    <row r="344" spans="1:9">
      <c r="A344" s="299" t="s">
        <v>1123</v>
      </c>
      <c r="B344" s="295">
        <f t="shared" si="1"/>
        <v>343</v>
      </c>
      <c r="C344" s="295">
        <v>22</v>
      </c>
      <c r="D344" s="87"/>
      <c r="E344" s="87"/>
      <c r="F344" s="87"/>
      <c r="G344" s="87"/>
      <c r="H344" s="87"/>
      <c r="I344" s="87"/>
    </row>
    <row r="345" spans="1:9">
      <c r="A345" s="297" t="s">
        <v>1124</v>
      </c>
      <c r="B345" s="298">
        <f t="shared" si="1"/>
        <v>344</v>
      </c>
      <c r="C345" s="298">
        <v>21</v>
      </c>
      <c r="D345" s="87"/>
      <c r="E345" s="87"/>
      <c r="F345" s="87"/>
      <c r="G345" s="87"/>
      <c r="H345" s="87"/>
      <c r="I345" s="87"/>
    </row>
    <row r="346" spans="1:9">
      <c r="A346" s="299" t="s">
        <v>1125</v>
      </c>
      <c r="B346" s="295">
        <f t="shared" si="1"/>
        <v>345</v>
      </c>
      <c r="C346" s="295">
        <v>20</v>
      </c>
      <c r="D346" s="87"/>
      <c r="E346" s="87"/>
      <c r="F346" s="87"/>
      <c r="G346" s="87"/>
      <c r="H346" s="87"/>
      <c r="I346" s="87"/>
    </row>
    <row r="347" spans="1:9">
      <c r="A347" s="297" t="s">
        <v>1126</v>
      </c>
      <c r="B347" s="298">
        <f t="shared" si="1"/>
        <v>346</v>
      </c>
      <c r="C347" s="298">
        <v>19</v>
      </c>
      <c r="D347" s="87"/>
      <c r="E347" s="87"/>
      <c r="F347" s="87"/>
      <c r="G347" s="87"/>
      <c r="H347" s="87"/>
      <c r="I347" s="87"/>
    </row>
    <row r="348" spans="1:9">
      <c r="A348" s="299" t="s">
        <v>1127</v>
      </c>
      <c r="B348" s="295">
        <f t="shared" si="1"/>
        <v>347</v>
      </c>
      <c r="C348" s="295">
        <v>18</v>
      </c>
      <c r="D348" s="87"/>
      <c r="E348" s="87"/>
      <c r="F348" s="87"/>
      <c r="G348" s="87"/>
      <c r="H348" s="87"/>
      <c r="I348" s="87"/>
    </row>
    <row r="349" spans="1:9">
      <c r="A349" s="297" t="s">
        <v>1128</v>
      </c>
      <c r="B349" s="298">
        <f t="shared" si="1"/>
        <v>348</v>
      </c>
      <c r="C349" s="298">
        <v>17</v>
      </c>
      <c r="D349" s="87"/>
      <c r="E349" s="87"/>
      <c r="F349" s="87"/>
      <c r="G349" s="87"/>
      <c r="H349" s="87"/>
      <c r="I349" s="87"/>
    </row>
    <row r="350" spans="1:9">
      <c r="A350" s="299" t="s">
        <v>1129</v>
      </c>
      <c r="B350" s="295">
        <f t="shared" si="1"/>
        <v>349</v>
      </c>
      <c r="C350" s="295">
        <v>16</v>
      </c>
      <c r="D350" s="87"/>
      <c r="E350" s="87"/>
      <c r="F350" s="87"/>
      <c r="G350" s="87"/>
      <c r="H350" s="87"/>
      <c r="I350" s="87"/>
    </row>
    <row r="351" spans="1:9">
      <c r="A351" s="297" t="s">
        <v>1130</v>
      </c>
      <c r="B351" s="298">
        <f t="shared" si="1"/>
        <v>350</v>
      </c>
      <c r="C351" s="298">
        <v>15</v>
      </c>
      <c r="D351" s="87"/>
      <c r="E351" s="87"/>
      <c r="F351" s="87"/>
      <c r="G351" s="87"/>
      <c r="H351" s="87"/>
      <c r="I351" s="87"/>
    </row>
    <row r="352" spans="1:9">
      <c r="A352" s="299" t="s">
        <v>1131</v>
      </c>
      <c r="B352" s="295">
        <f t="shared" si="1"/>
        <v>351</v>
      </c>
      <c r="C352" s="295">
        <v>14</v>
      </c>
      <c r="D352" s="87"/>
      <c r="E352" s="87"/>
      <c r="F352" s="87"/>
      <c r="G352" s="87"/>
      <c r="H352" s="87"/>
      <c r="I352" s="87"/>
    </row>
    <row r="353" spans="1:10">
      <c r="A353" s="297" t="s">
        <v>1132</v>
      </c>
      <c r="B353" s="298">
        <f t="shared" si="1"/>
        <v>352</v>
      </c>
      <c r="C353" s="298">
        <v>13</v>
      </c>
      <c r="D353" s="87"/>
      <c r="E353" s="87"/>
      <c r="F353" s="87"/>
      <c r="G353" s="87"/>
      <c r="H353" s="87"/>
      <c r="I353" s="87"/>
    </row>
    <row r="354" spans="1:10">
      <c r="A354" s="299" t="s">
        <v>1133</v>
      </c>
      <c r="B354" s="295">
        <f t="shared" si="1"/>
        <v>353</v>
      </c>
      <c r="C354" s="295">
        <v>12</v>
      </c>
      <c r="D354" s="87"/>
      <c r="E354" s="87"/>
      <c r="F354" s="87"/>
      <c r="G354" s="87"/>
      <c r="H354" s="87"/>
      <c r="I354" s="87"/>
    </row>
    <row r="355" spans="1:10">
      <c r="A355" s="297" t="s">
        <v>1134</v>
      </c>
      <c r="B355" s="298">
        <f t="shared" si="1"/>
        <v>354</v>
      </c>
      <c r="C355" s="298">
        <v>11</v>
      </c>
      <c r="D355" s="87"/>
      <c r="E355" s="87"/>
      <c r="F355" s="87"/>
      <c r="G355" s="87"/>
      <c r="H355" s="87"/>
      <c r="I355" s="87"/>
    </row>
    <row r="356" spans="1:10">
      <c r="A356" s="299" t="s">
        <v>1135</v>
      </c>
      <c r="B356" s="295">
        <f t="shared" si="1"/>
        <v>355</v>
      </c>
      <c r="C356" s="295">
        <v>10</v>
      </c>
      <c r="D356" s="87"/>
      <c r="E356" s="87"/>
      <c r="F356" s="87"/>
      <c r="G356" s="87"/>
      <c r="H356" s="87"/>
      <c r="I356" s="87"/>
    </row>
    <row r="357" spans="1:10">
      <c r="A357" s="297" t="s">
        <v>1136</v>
      </c>
      <c r="B357" s="298">
        <f t="shared" si="1"/>
        <v>356</v>
      </c>
      <c r="C357" s="298">
        <v>9</v>
      </c>
      <c r="D357" s="87"/>
      <c r="E357" s="87"/>
      <c r="F357" s="87"/>
      <c r="G357" s="87"/>
      <c r="H357" s="87"/>
      <c r="I357" s="87"/>
    </row>
    <row r="358" spans="1:10">
      <c r="A358" s="299" t="s">
        <v>1137</v>
      </c>
      <c r="B358" s="295">
        <f t="shared" si="1"/>
        <v>357</v>
      </c>
      <c r="C358" s="295">
        <v>8</v>
      </c>
      <c r="D358" s="87"/>
      <c r="E358" s="87"/>
      <c r="F358" s="87"/>
      <c r="G358" s="87"/>
      <c r="H358" s="87"/>
      <c r="I358" s="87"/>
    </row>
    <row r="359" spans="1:10">
      <c r="A359" s="297" t="s">
        <v>1138</v>
      </c>
      <c r="B359" s="298">
        <f t="shared" si="1"/>
        <v>358</v>
      </c>
      <c r="C359" s="298">
        <v>7</v>
      </c>
      <c r="D359" s="87"/>
      <c r="E359" s="87"/>
      <c r="F359" s="87"/>
      <c r="G359" s="87"/>
      <c r="H359" s="87"/>
      <c r="I359" s="87"/>
    </row>
    <row r="360" spans="1:10">
      <c r="A360" s="299" t="s">
        <v>1139</v>
      </c>
      <c r="B360" s="295">
        <f t="shared" si="1"/>
        <v>359</v>
      </c>
      <c r="C360" s="295">
        <v>6</v>
      </c>
      <c r="D360" s="87"/>
      <c r="E360" s="87"/>
      <c r="F360" s="87"/>
      <c r="G360" s="87"/>
      <c r="H360" s="87"/>
      <c r="I360" s="87"/>
    </row>
    <row r="361" spans="1:10">
      <c r="A361" s="297" t="s">
        <v>1140</v>
      </c>
      <c r="B361" s="298">
        <f t="shared" si="1"/>
        <v>360</v>
      </c>
      <c r="C361" s="298">
        <v>5</v>
      </c>
      <c r="D361" s="87"/>
      <c r="E361" s="87"/>
      <c r="F361" s="87"/>
      <c r="G361" s="87"/>
      <c r="H361" s="87"/>
      <c r="I361" s="87"/>
    </row>
    <row r="362" spans="1:10">
      <c r="A362" s="299" t="s">
        <v>1141</v>
      </c>
      <c r="B362" s="295">
        <f t="shared" si="1"/>
        <v>361</v>
      </c>
      <c r="C362" s="295">
        <v>4</v>
      </c>
      <c r="D362" s="87"/>
      <c r="E362" s="87"/>
      <c r="F362" s="87"/>
      <c r="G362" s="87"/>
      <c r="H362" s="87"/>
      <c r="I362" s="87"/>
    </row>
    <row r="363" spans="1:10">
      <c r="A363" s="297" t="s">
        <v>1142</v>
      </c>
      <c r="B363" s="298">
        <f t="shared" si="1"/>
        <v>362</v>
      </c>
      <c r="C363" s="298">
        <v>3</v>
      </c>
      <c r="D363" s="87"/>
      <c r="E363" s="87"/>
      <c r="F363" s="87"/>
      <c r="G363" s="87"/>
      <c r="H363" s="87"/>
      <c r="I363" s="87"/>
    </row>
    <row r="364" spans="1:10">
      <c r="A364" s="299" t="s">
        <v>1143</v>
      </c>
      <c r="B364" s="295">
        <f t="shared" si="1"/>
        <v>363</v>
      </c>
      <c r="C364" s="295">
        <v>2</v>
      </c>
      <c r="D364" s="87"/>
      <c r="E364" s="87"/>
      <c r="F364" s="87"/>
      <c r="G364" s="87"/>
      <c r="H364" s="87"/>
      <c r="I364" s="87"/>
    </row>
    <row r="365" spans="1:10">
      <c r="A365" s="297" t="s">
        <v>1144</v>
      </c>
      <c r="B365" s="298">
        <f t="shared" si="1"/>
        <v>364</v>
      </c>
      <c r="C365" s="298">
        <v>1</v>
      </c>
      <c r="D365" s="87"/>
      <c r="E365" s="87"/>
      <c r="F365" s="87"/>
      <c r="G365" s="87"/>
      <c r="H365" s="87"/>
      <c r="I365" s="87"/>
    </row>
    <row r="366" spans="1:10">
      <c r="A366" s="307" t="s">
        <v>1145</v>
      </c>
      <c r="B366" s="308">
        <f t="shared" si="1"/>
        <v>365</v>
      </c>
      <c r="C366" s="308">
        <v>0</v>
      </c>
      <c r="D366" s="309"/>
      <c r="E366" s="309"/>
      <c r="F366" s="87"/>
      <c r="G366" s="309"/>
      <c r="H366" s="309"/>
      <c r="I366" s="309"/>
      <c r="J366" s="91"/>
    </row>
    <row r="367" spans="1:10">
      <c r="A367" s="310" t="s">
        <v>1146</v>
      </c>
      <c r="B367" s="311">
        <f t="shared" si="1"/>
        <v>1</v>
      </c>
      <c r="C367" s="312">
        <v>364</v>
      </c>
      <c r="D367" s="87"/>
      <c r="E367" s="87"/>
      <c r="F367" s="87"/>
      <c r="G367" s="87"/>
      <c r="H367" s="87"/>
      <c r="I367" s="87"/>
    </row>
    <row r="368" spans="1:10">
      <c r="A368" s="313" t="s">
        <v>1147</v>
      </c>
      <c r="B368" s="298">
        <f t="shared" si="1"/>
        <v>2</v>
      </c>
      <c r="C368" s="314">
        <v>363</v>
      </c>
      <c r="D368" s="87"/>
      <c r="E368" s="87"/>
      <c r="F368" s="87"/>
      <c r="G368" s="87"/>
      <c r="H368" s="87"/>
      <c r="I368" s="87"/>
    </row>
    <row r="369" spans="1:9">
      <c r="A369" s="315" t="s">
        <v>1148</v>
      </c>
      <c r="B369" s="295">
        <f t="shared" si="1"/>
        <v>3</v>
      </c>
      <c r="C369" s="316">
        <v>362</v>
      </c>
      <c r="D369" s="87"/>
      <c r="E369" s="87"/>
      <c r="F369" s="87"/>
      <c r="G369" s="87"/>
      <c r="H369" s="87"/>
      <c r="I369" s="87"/>
    </row>
    <row r="370" spans="1:9">
      <c r="A370" s="313" t="s">
        <v>1149</v>
      </c>
      <c r="B370" s="298">
        <f t="shared" si="1"/>
        <v>4</v>
      </c>
      <c r="C370" s="314">
        <v>361</v>
      </c>
      <c r="D370" s="87"/>
      <c r="E370" s="87"/>
      <c r="F370" s="87"/>
      <c r="G370" s="87"/>
      <c r="H370" s="87"/>
      <c r="I370" s="87"/>
    </row>
    <row r="371" spans="1:9">
      <c r="A371" s="315" t="s">
        <v>1150</v>
      </c>
      <c r="B371" s="295">
        <f t="shared" si="1"/>
        <v>5</v>
      </c>
      <c r="C371" s="316">
        <v>360</v>
      </c>
      <c r="D371" s="87"/>
      <c r="E371" s="87"/>
      <c r="F371" s="87"/>
      <c r="G371" s="87"/>
      <c r="H371" s="87"/>
      <c r="I371" s="87"/>
    </row>
    <row r="372" spans="1:9">
      <c r="A372" s="313" t="s">
        <v>1151</v>
      </c>
      <c r="B372" s="298">
        <f t="shared" si="1"/>
        <v>6</v>
      </c>
      <c r="C372" s="314">
        <v>359</v>
      </c>
      <c r="D372" s="87"/>
      <c r="E372" s="87"/>
      <c r="F372" s="87"/>
      <c r="G372" s="87"/>
      <c r="H372" s="87"/>
      <c r="I372" s="87"/>
    </row>
    <row r="373" spans="1:9">
      <c r="A373" s="315" t="s">
        <v>1152</v>
      </c>
      <c r="B373" s="295">
        <f t="shared" si="1"/>
        <v>7</v>
      </c>
      <c r="C373" s="316">
        <v>358</v>
      </c>
      <c r="D373" s="87"/>
      <c r="E373" s="87"/>
      <c r="F373" s="87"/>
      <c r="G373" s="87"/>
      <c r="H373" s="87"/>
      <c r="I373" s="87"/>
    </row>
    <row r="374" spans="1:9">
      <c r="A374" s="313" t="s">
        <v>1153</v>
      </c>
      <c r="B374" s="298">
        <f t="shared" si="1"/>
        <v>8</v>
      </c>
      <c r="C374" s="314">
        <v>357</v>
      </c>
      <c r="D374" s="87"/>
      <c r="E374" s="87"/>
      <c r="F374" s="87"/>
      <c r="G374" s="87"/>
      <c r="H374" s="87"/>
      <c r="I374" s="87"/>
    </row>
    <row r="375" spans="1:9">
      <c r="A375" s="315" t="s">
        <v>1154</v>
      </c>
      <c r="B375" s="295">
        <f t="shared" si="1"/>
        <v>9</v>
      </c>
      <c r="C375" s="316">
        <v>356</v>
      </c>
      <c r="D375" s="87"/>
      <c r="E375" s="87"/>
      <c r="F375" s="87"/>
      <c r="G375" s="87"/>
      <c r="H375" s="87"/>
      <c r="I375" s="87"/>
    </row>
    <row r="376" spans="1:9">
      <c r="A376" s="317" t="s">
        <v>1155</v>
      </c>
      <c r="B376" s="301">
        <f t="shared" si="1"/>
        <v>10</v>
      </c>
      <c r="C376" s="318">
        <v>355</v>
      </c>
      <c r="D376" s="87"/>
      <c r="E376" s="87"/>
      <c r="F376" s="87"/>
      <c r="G376" s="87"/>
      <c r="H376" s="87"/>
      <c r="I376" s="87"/>
    </row>
    <row r="377" spans="1:9">
      <c r="A377" s="317" t="s">
        <v>1156</v>
      </c>
      <c r="B377" s="301">
        <f t="shared" si="1"/>
        <v>11</v>
      </c>
      <c r="C377" s="318">
        <v>354</v>
      </c>
      <c r="D377" s="87"/>
      <c r="E377" s="87"/>
      <c r="F377" s="87"/>
      <c r="G377" s="87"/>
      <c r="H377" s="87"/>
      <c r="I377" s="87"/>
    </row>
    <row r="378" spans="1:9">
      <c r="A378" s="317" t="s">
        <v>1157</v>
      </c>
      <c r="B378" s="301">
        <f t="shared" si="1"/>
        <v>12</v>
      </c>
      <c r="C378" s="318">
        <v>353</v>
      </c>
      <c r="D378" s="87"/>
      <c r="E378" s="87"/>
      <c r="F378" s="87"/>
      <c r="G378" s="87"/>
      <c r="H378" s="87"/>
      <c r="I378" s="87"/>
    </row>
    <row r="379" spans="1:9">
      <c r="A379" s="317" t="s">
        <v>1158</v>
      </c>
      <c r="B379" s="301">
        <f t="shared" si="1"/>
        <v>13</v>
      </c>
      <c r="C379" s="318">
        <v>352</v>
      </c>
      <c r="D379" s="87"/>
      <c r="E379" s="87"/>
      <c r="F379" s="87"/>
      <c r="G379" s="87"/>
      <c r="H379" s="87"/>
      <c r="I379" s="87"/>
    </row>
    <row r="380" spans="1:9">
      <c r="A380" s="317" t="s">
        <v>1159</v>
      </c>
      <c r="B380" s="301">
        <f t="shared" si="1"/>
        <v>14</v>
      </c>
      <c r="C380" s="318">
        <v>351</v>
      </c>
      <c r="D380" s="87"/>
      <c r="E380" s="87"/>
      <c r="F380" s="87"/>
      <c r="G380" s="87"/>
      <c r="H380" s="87"/>
      <c r="I380" s="87"/>
    </row>
    <row r="381" spans="1:9">
      <c r="A381" s="317" t="s">
        <v>1160</v>
      </c>
      <c r="B381" s="301">
        <f t="shared" si="1"/>
        <v>15</v>
      </c>
      <c r="C381" s="318">
        <v>350</v>
      </c>
      <c r="D381" s="87"/>
      <c r="E381" s="87"/>
      <c r="F381" s="87"/>
      <c r="G381" s="87"/>
      <c r="H381" s="87"/>
      <c r="I381" s="87"/>
    </row>
    <row r="382" spans="1:9">
      <c r="A382" s="317" t="s">
        <v>1161</v>
      </c>
      <c r="B382" s="301">
        <f t="shared" si="1"/>
        <v>16</v>
      </c>
      <c r="C382" s="318">
        <v>349</v>
      </c>
      <c r="D382" s="87"/>
      <c r="E382" s="87"/>
      <c r="F382" s="87"/>
      <c r="G382" s="87"/>
      <c r="H382" s="87"/>
      <c r="I382" s="87"/>
    </row>
    <row r="383" spans="1:9">
      <c r="A383" s="317" t="s">
        <v>1162</v>
      </c>
      <c r="B383" s="301">
        <f t="shared" si="1"/>
        <v>17</v>
      </c>
      <c r="C383" s="318">
        <v>348</v>
      </c>
      <c r="D383" s="87"/>
      <c r="E383" s="87"/>
      <c r="F383" s="87"/>
      <c r="G383" s="87"/>
      <c r="H383" s="87"/>
      <c r="I383" s="87"/>
    </row>
    <row r="384" spans="1:9">
      <c r="A384" s="317" t="s">
        <v>1163</v>
      </c>
      <c r="B384" s="301">
        <f t="shared" si="1"/>
        <v>18</v>
      </c>
      <c r="C384" s="318">
        <v>347</v>
      </c>
      <c r="D384" s="87"/>
      <c r="E384" s="87"/>
      <c r="F384" s="87"/>
      <c r="G384" s="87"/>
      <c r="H384" s="87"/>
      <c r="I384" s="87"/>
    </row>
    <row r="385" spans="1:9">
      <c r="A385" s="317" t="s">
        <v>1164</v>
      </c>
      <c r="B385" s="301">
        <f t="shared" si="1"/>
        <v>19</v>
      </c>
      <c r="C385" s="318">
        <v>346</v>
      </c>
      <c r="D385" s="87"/>
      <c r="E385" s="87"/>
      <c r="F385" s="87"/>
      <c r="G385" s="87"/>
      <c r="H385" s="87"/>
      <c r="I385" s="87"/>
    </row>
    <row r="386" spans="1:9">
      <c r="A386" s="317" t="s">
        <v>1165</v>
      </c>
      <c r="B386" s="301">
        <f t="shared" si="1"/>
        <v>20</v>
      </c>
      <c r="C386" s="318">
        <v>345</v>
      </c>
      <c r="D386" s="87"/>
      <c r="E386" s="87"/>
      <c r="F386" s="87"/>
      <c r="G386" s="87"/>
      <c r="H386" s="87"/>
      <c r="I386" s="87"/>
    </row>
    <row r="387" spans="1:9">
      <c r="A387" s="317" t="s">
        <v>1166</v>
      </c>
      <c r="B387" s="301">
        <f t="shared" si="1"/>
        <v>21</v>
      </c>
      <c r="C387" s="318">
        <v>344</v>
      </c>
      <c r="D387" s="87"/>
      <c r="E387" s="87"/>
      <c r="F387" s="87"/>
      <c r="G387" s="87"/>
      <c r="H387" s="87"/>
      <c r="I387" s="87"/>
    </row>
    <row r="388" spans="1:9">
      <c r="A388" s="317" t="s">
        <v>1167</v>
      </c>
      <c r="B388" s="301">
        <f t="shared" si="1"/>
        <v>22</v>
      </c>
      <c r="C388" s="318">
        <v>343</v>
      </c>
      <c r="D388" s="87"/>
      <c r="E388" s="87"/>
      <c r="F388" s="87"/>
      <c r="G388" s="87"/>
      <c r="H388" s="87"/>
      <c r="I388" s="87"/>
    </row>
    <row r="389" spans="1:9">
      <c r="A389" s="317" t="s">
        <v>1168</v>
      </c>
      <c r="B389" s="301">
        <f t="shared" si="1"/>
        <v>23</v>
      </c>
      <c r="C389" s="318">
        <v>342</v>
      </c>
      <c r="D389" s="87"/>
      <c r="E389" s="87"/>
      <c r="F389" s="87"/>
      <c r="G389" s="87"/>
      <c r="H389" s="87"/>
      <c r="I389" s="87"/>
    </row>
    <row r="390" spans="1:9">
      <c r="A390" s="317" t="s">
        <v>1169</v>
      </c>
      <c r="B390" s="301">
        <f t="shared" si="1"/>
        <v>24</v>
      </c>
      <c r="C390" s="318">
        <v>341</v>
      </c>
      <c r="D390" s="87"/>
      <c r="E390" s="87"/>
      <c r="F390" s="87"/>
      <c r="G390" s="87"/>
      <c r="H390" s="87"/>
      <c r="I390" s="87"/>
    </row>
    <row r="391" spans="1:9">
      <c r="A391" s="317" t="s">
        <v>1170</v>
      </c>
      <c r="B391" s="301">
        <f t="shared" si="1"/>
        <v>25</v>
      </c>
      <c r="C391" s="318">
        <v>340</v>
      </c>
      <c r="D391" s="87"/>
      <c r="E391" s="87"/>
      <c r="F391" s="87"/>
      <c r="G391" s="87"/>
      <c r="H391" s="87"/>
      <c r="I391" s="87"/>
    </row>
    <row r="392" spans="1:9">
      <c r="A392" s="317" t="s">
        <v>1171</v>
      </c>
      <c r="B392" s="301">
        <f t="shared" si="1"/>
        <v>26</v>
      </c>
      <c r="C392" s="318">
        <v>339</v>
      </c>
      <c r="D392" s="87"/>
      <c r="E392" s="87"/>
      <c r="F392" s="87"/>
      <c r="G392" s="87"/>
      <c r="H392" s="87"/>
      <c r="I392" s="87"/>
    </row>
    <row r="393" spans="1:9">
      <c r="A393" s="317" t="s">
        <v>1172</v>
      </c>
      <c r="B393" s="301">
        <f t="shared" si="1"/>
        <v>27</v>
      </c>
      <c r="C393" s="318">
        <v>338</v>
      </c>
      <c r="D393" s="87"/>
      <c r="E393" s="87"/>
      <c r="F393" s="87"/>
      <c r="G393" s="87"/>
      <c r="H393" s="87"/>
      <c r="I393" s="87"/>
    </row>
    <row r="394" spans="1:9">
      <c r="A394" s="317" t="s">
        <v>1173</v>
      </c>
      <c r="B394" s="301">
        <f t="shared" si="1"/>
        <v>28</v>
      </c>
      <c r="C394" s="318">
        <v>337</v>
      </c>
      <c r="D394" s="87"/>
      <c r="E394" s="87"/>
      <c r="F394" s="87"/>
      <c r="G394" s="87"/>
      <c r="H394" s="87"/>
      <c r="I394" s="87"/>
    </row>
    <row r="395" spans="1:9">
      <c r="A395" s="317" t="s">
        <v>1174</v>
      </c>
      <c r="B395" s="301">
        <f t="shared" si="1"/>
        <v>29</v>
      </c>
      <c r="C395" s="318">
        <v>336</v>
      </c>
      <c r="D395" s="87"/>
      <c r="E395" s="87"/>
      <c r="F395" s="87"/>
      <c r="G395" s="87"/>
      <c r="H395" s="87"/>
      <c r="I395" s="87"/>
    </row>
    <row r="396" spans="1:9">
      <c r="A396" s="317" t="s">
        <v>1175</v>
      </c>
      <c r="B396" s="301">
        <f t="shared" si="1"/>
        <v>30</v>
      </c>
      <c r="C396" s="318">
        <v>335</v>
      </c>
      <c r="D396" s="87"/>
      <c r="E396" s="87"/>
      <c r="F396" s="87"/>
      <c r="G396" s="87"/>
      <c r="H396" s="87"/>
      <c r="I396" s="87"/>
    </row>
    <row r="397" spans="1:9">
      <c r="A397" s="317" t="s">
        <v>1176</v>
      </c>
      <c r="B397" s="301">
        <f t="shared" si="1"/>
        <v>31</v>
      </c>
      <c r="C397" s="318">
        <v>334</v>
      </c>
      <c r="D397" s="87"/>
      <c r="E397" s="87"/>
      <c r="F397" s="87"/>
      <c r="G397" s="87"/>
      <c r="H397" s="87"/>
      <c r="I397" s="87"/>
    </row>
    <row r="398" spans="1:9">
      <c r="A398" s="317" t="s">
        <v>1177</v>
      </c>
      <c r="B398" s="301">
        <f t="shared" si="1"/>
        <v>32</v>
      </c>
      <c r="C398" s="318">
        <v>333</v>
      </c>
      <c r="D398" s="87"/>
      <c r="E398" s="87"/>
      <c r="F398" s="87"/>
      <c r="G398" s="87"/>
      <c r="H398" s="87"/>
      <c r="I398" s="87"/>
    </row>
    <row r="399" spans="1:9">
      <c r="A399" s="317" t="s">
        <v>1178</v>
      </c>
      <c r="B399" s="301">
        <f t="shared" si="1"/>
        <v>33</v>
      </c>
      <c r="C399" s="318">
        <v>332</v>
      </c>
      <c r="D399" s="87"/>
      <c r="E399" s="87"/>
      <c r="F399" s="87"/>
      <c r="G399" s="87"/>
      <c r="H399" s="87"/>
      <c r="I399" s="87"/>
    </row>
    <row r="400" spans="1:9">
      <c r="A400" s="317" t="s">
        <v>1179</v>
      </c>
      <c r="B400" s="301">
        <f t="shared" si="1"/>
        <v>34</v>
      </c>
      <c r="C400" s="318">
        <v>331</v>
      </c>
      <c r="D400" s="87"/>
      <c r="E400" s="87"/>
      <c r="F400" s="87"/>
      <c r="G400" s="87"/>
      <c r="H400" s="87"/>
      <c r="I400" s="87"/>
    </row>
    <row r="401" spans="1:9">
      <c r="A401" s="317" t="s">
        <v>1180</v>
      </c>
      <c r="B401" s="301">
        <f t="shared" si="1"/>
        <v>35</v>
      </c>
      <c r="C401" s="318">
        <v>330</v>
      </c>
      <c r="D401" s="87"/>
      <c r="E401" s="87"/>
      <c r="F401" s="87"/>
      <c r="G401" s="87"/>
      <c r="H401" s="87"/>
      <c r="I401" s="87"/>
    </row>
    <row r="402" spans="1:9">
      <c r="A402" s="317" t="s">
        <v>1181</v>
      </c>
      <c r="B402" s="301">
        <f t="shared" si="1"/>
        <v>36</v>
      </c>
      <c r="C402" s="318">
        <v>329</v>
      </c>
      <c r="D402" s="87"/>
      <c r="E402" s="87"/>
      <c r="F402" s="87"/>
      <c r="G402" s="87"/>
      <c r="H402" s="87"/>
      <c r="I402" s="87"/>
    </row>
    <row r="403" spans="1:9">
      <c r="A403" s="319" t="s">
        <v>1182</v>
      </c>
      <c r="B403" s="303">
        <f t="shared" si="1"/>
        <v>37</v>
      </c>
      <c r="C403" s="320">
        <v>328</v>
      </c>
      <c r="D403" s="304">
        <f>B403-B376+1</f>
        <v>28</v>
      </c>
      <c r="E403" s="87"/>
      <c r="F403" s="87"/>
      <c r="G403" s="87"/>
      <c r="H403" s="87"/>
      <c r="I403" s="87"/>
    </row>
    <row r="404" spans="1:9">
      <c r="A404" s="313" t="s">
        <v>1183</v>
      </c>
      <c r="B404" s="298">
        <f t="shared" si="1"/>
        <v>38</v>
      </c>
      <c r="C404" s="314">
        <v>327</v>
      </c>
      <c r="D404" s="87"/>
      <c r="E404" s="87"/>
      <c r="F404" s="87"/>
      <c r="G404" s="87"/>
      <c r="H404" s="87"/>
      <c r="I404" s="87"/>
    </row>
    <row r="405" spans="1:9">
      <c r="A405" s="315" t="s">
        <v>1184</v>
      </c>
      <c r="B405" s="295">
        <f t="shared" si="1"/>
        <v>39</v>
      </c>
      <c r="C405" s="316">
        <v>326</v>
      </c>
      <c r="D405" s="87"/>
      <c r="E405" s="87"/>
      <c r="F405" s="87"/>
      <c r="G405" s="87"/>
      <c r="H405" s="87"/>
      <c r="I405" s="87"/>
    </row>
    <row r="406" spans="1:9">
      <c r="A406" s="313" t="s">
        <v>1185</v>
      </c>
      <c r="B406" s="298">
        <f t="shared" si="1"/>
        <v>40</v>
      </c>
      <c r="C406" s="314">
        <v>325</v>
      </c>
      <c r="D406" s="87"/>
      <c r="E406" s="87"/>
      <c r="F406" s="87"/>
      <c r="G406" s="87"/>
      <c r="H406" s="87"/>
      <c r="I406" s="87"/>
    </row>
    <row r="407" spans="1:9">
      <c r="A407" s="315" t="s">
        <v>1186</v>
      </c>
      <c r="B407" s="295">
        <f t="shared" si="1"/>
        <v>41</v>
      </c>
      <c r="C407" s="316">
        <v>324</v>
      </c>
      <c r="D407" s="87"/>
      <c r="E407" s="87"/>
      <c r="F407" s="87"/>
      <c r="G407" s="87"/>
      <c r="H407" s="87"/>
      <c r="I407" s="87"/>
    </row>
    <row r="408" spans="1:9">
      <c r="A408" s="313" t="s">
        <v>1187</v>
      </c>
      <c r="B408" s="298">
        <f t="shared" si="1"/>
        <v>42</v>
      </c>
      <c r="C408" s="314">
        <v>323</v>
      </c>
      <c r="D408" s="87"/>
      <c r="E408" s="87"/>
      <c r="F408" s="87"/>
      <c r="G408" s="87"/>
      <c r="H408" s="87"/>
      <c r="I408" s="87"/>
    </row>
    <row r="409" spans="1:9">
      <c r="A409" s="315" t="s">
        <v>1188</v>
      </c>
      <c r="B409" s="295">
        <f t="shared" si="1"/>
        <v>43</v>
      </c>
      <c r="C409" s="316">
        <v>322</v>
      </c>
      <c r="D409" s="87"/>
      <c r="E409" s="87"/>
      <c r="F409" s="87"/>
      <c r="G409" s="87"/>
      <c r="H409" s="87"/>
      <c r="I409" s="87"/>
    </row>
    <row r="410" spans="1:9">
      <c r="A410" s="313" t="s">
        <v>1189</v>
      </c>
      <c r="B410" s="298">
        <f t="shared" si="1"/>
        <v>44</v>
      </c>
      <c r="C410" s="314">
        <v>321</v>
      </c>
      <c r="D410" s="87"/>
      <c r="E410" s="87"/>
      <c r="F410" s="87"/>
      <c r="G410" s="87"/>
      <c r="H410" s="87"/>
      <c r="I410" s="87"/>
    </row>
    <row r="411" spans="1:9">
      <c r="A411" s="315" t="s">
        <v>1190</v>
      </c>
      <c r="B411" s="295">
        <f t="shared" si="1"/>
        <v>45</v>
      </c>
      <c r="C411" s="316">
        <v>320</v>
      </c>
      <c r="D411" s="87"/>
      <c r="E411" s="87"/>
      <c r="F411" s="87"/>
      <c r="G411" s="87"/>
      <c r="H411" s="87"/>
      <c r="I411" s="87"/>
    </row>
    <row r="412" spans="1:9">
      <c r="A412" s="313" t="s">
        <v>1191</v>
      </c>
      <c r="B412" s="298">
        <f t="shared" si="1"/>
        <v>46</v>
      </c>
      <c r="C412" s="314">
        <v>319</v>
      </c>
      <c r="D412" s="87"/>
      <c r="E412" s="87"/>
      <c r="F412" s="87"/>
      <c r="G412" s="87"/>
      <c r="H412" s="87"/>
      <c r="I412" s="87"/>
    </row>
    <row r="413" spans="1:9">
      <c r="A413" s="315" t="s">
        <v>1192</v>
      </c>
      <c r="B413" s="295">
        <f t="shared" si="1"/>
        <v>47</v>
      </c>
      <c r="C413" s="316">
        <v>318</v>
      </c>
      <c r="D413" s="87"/>
      <c r="E413" s="87"/>
      <c r="F413" s="87"/>
      <c r="G413" s="87"/>
      <c r="H413" s="87"/>
      <c r="I413" s="87"/>
    </row>
    <row r="414" spans="1:9">
      <c r="A414" s="313" t="s">
        <v>1193</v>
      </c>
      <c r="B414" s="298">
        <f t="shared" si="1"/>
        <v>48</v>
      </c>
      <c r="C414" s="314">
        <v>317</v>
      </c>
      <c r="D414" s="87"/>
      <c r="E414" s="87"/>
      <c r="F414" s="87"/>
      <c r="G414" s="87"/>
      <c r="H414" s="87"/>
      <c r="I414" s="87"/>
    </row>
    <row r="415" spans="1:9">
      <c r="A415" s="315" t="s">
        <v>1194</v>
      </c>
      <c r="B415" s="295">
        <f t="shared" si="1"/>
        <v>49</v>
      </c>
      <c r="C415" s="316">
        <v>316</v>
      </c>
      <c r="D415" s="87"/>
      <c r="E415" s="87"/>
      <c r="F415" s="87"/>
      <c r="G415" s="87"/>
      <c r="H415" s="87"/>
      <c r="I415" s="87"/>
    </row>
    <row r="416" spans="1:9">
      <c r="A416" s="313" t="s">
        <v>1195</v>
      </c>
      <c r="B416" s="298">
        <f t="shared" si="1"/>
        <v>50</v>
      </c>
      <c r="C416" s="314">
        <v>315</v>
      </c>
      <c r="D416" s="87"/>
      <c r="E416" s="87"/>
      <c r="F416" s="87"/>
      <c r="G416" s="87"/>
      <c r="H416" s="87"/>
      <c r="I416" s="87"/>
    </row>
    <row r="417" spans="1:9">
      <c r="A417" s="315" t="s">
        <v>1196</v>
      </c>
      <c r="B417" s="295">
        <f t="shared" si="1"/>
        <v>51</v>
      </c>
      <c r="C417" s="316">
        <v>314</v>
      </c>
      <c r="D417" s="87"/>
      <c r="E417" s="87"/>
      <c r="F417" s="87"/>
      <c r="G417" s="87"/>
      <c r="H417" s="87"/>
      <c r="I417" s="87"/>
    </row>
    <row r="418" spans="1:9">
      <c r="A418" s="313" t="s">
        <v>1197</v>
      </c>
      <c r="B418" s="298">
        <f t="shared" si="1"/>
        <v>52</v>
      </c>
      <c r="C418" s="314">
        <v>313</v>
      </c>
      <c r="D418" s="87"/>
      <c r="E418" s="87"/>
      <c r="F418" s="87"/>
      <c r="G418" s="87"/>
      <c r="H418" s="87"/>
      <c r="I418" s="87"/>
    </row>
    <row r="419" spans="1:9">
      <c r="A419" s="317" t="s">
        <v>1198</v>
      </c>
      <c r="B419" s="301">
        <f t="shared" si="1"/>
        <v>53</v>
      </c>
      <c r="C419" s="318">
        <v>312</v>
      </c>
      <c r="D419" s="87"/>
      <c r="E419" s="87"/>
      <c r="F419" s="87"/>
      <c r="G419" s="87"/>
      <c r="H419" s="87"/>
      <c r="I419" s="87"/>
    </row>
    <row r="420" spans="1:9">
      <c r="A420" s="317" t="s">
        <v>1199</v>
      </c>
      <c r="B420" s="301">
        <f t="shared" si="1"/>
        <v>54</v>
      </c>
      <c r="C420" s="318">
        <v>311</v>
      </c>
      <c r="D420" s="87"/>
      <c r="E420" s="87"/>
      <c r="F420" s="87"/>
      <c r="G420" s="87"/>
      <c r="H420" s="87"/>
      <c r="I420" s="87"/>
    </row>
    <row r="421" spans="1:9">
      <c r="A421" s="317" t="s">
        <v>1200</v>
      </c>
      <c r="B421" s="301">
        <f t="shared" si="1"/>
        <v>55</v>
      </c>
      <c r="C421" s="318">
        <v>310</v>
      </c>
      <c r="D421" s="87"/>
      <c r="E421" s="87"/>
      <c r="F421" s="87"/>
      <c r="G421" s="87"/>
      <c r="H421" s="87"/>
      <c r="I421" s="87"/>
    </row>
    <row r="422" spans="1:9">
      <c r="A422" s="317" t="s">
        <v>1201</v>
      </c>
      <c r="B422" s="301">
        <f t="shared" si="1"/>
        <v>56</v>
      </c>
      <c r="C422" s="318">
        <v>309</v>
      </c>
      <c r="D422" s="87"/>
      <c r="E422" s="87"/>
      <c r="F422" s="87"/>
      <c r="G422" s="87"/>
      <c r="H422" s="87"/>
      <c r="I422" s="87"/>
    </row>
    <row r="423" spans="1:9">
      <c r="A423" s="317" t="s">
        <v>1202</v>
      </c>
      <c r="B423" s="301">
        <f t="shared" si="1"/>
        <v>57</v>
      </c>
      <c r="C423" s="318">
        <v>308</v>
      </c>
      <c r="D423" s="87"/>
      <c r="E423" s="87"/>
      <c r="F423" s="87"/>
      <c r="G423" s="87"/>
      <c r="H423" s="87"/>
      <c r="I423" s="87"/>
    </row>
    <row r="424" spans="1:9">
      <c r="A424" s="317" t="s">
        <v>1203</v>
      </c>
      <c r="B424" s="301">
        <f t="shared" si="1"/>
        <v>58</v>
      </c>
      <c r="C424" s="318">
        <v>307</v>
      </c>
      <c r="D424" s="87"/>
      <c r="E424" s="87"/>
      <c r="F424" s="87"/>
      <c r="G424" s="87"/>
      <c r="H424" s="87"/>
      <c r="I424" s="87"/>
    </row>
    <row r="425" spans="1:9">
      <c r="A425" s="317" t="s">
        <v>1204</v>
      </c>
      <c r="B425" s="301">
        <f t="shared" si="1"/>
        <v>59</v>
      </c>
      <c r="C425" s="318">
        <v>306</v>
      </c>
      <c r="D425" s="87"/>
      <c r="E425" s="87"/>
      <c r="F425" s="87"/>
      <c r="G425" s="87"/>
      <c r="H425" s="87"/>
      <c r="I425" s="87"/>
    </row>
    <row r="426" spans="1:9">
      <c r="A426" s="317" t="s">
        <v>1205</v>
      </c>
      <c r="B426" s="301">
        <f t="shared" si="1"/>
        <v>60</v>
      </c>
      <c r="C426" s="318">
        <v>305</v>
      </c>
      <c r="D426" s="87"/>
      <c r="E426" s="87"/>
      <c r="F426" s="87"/>
      <c r="G426" s="87"/>
      <c r="H426" s="87"/>
      <c r="I426" s="87"/>
    </row>
    <row r="427" spans="1:9">
      <c r="A427" s="317" t="s">
        <v>1206</v>
      </c>
      <c r="B427" s="301">
        <f t="shared" si="1"/>
        <v>61</v>
      </c>
      <c r="C427" s="318">
        <v>304</v>
      </c>
      <c r="D427" s="87"/>
      <c r="E427" s="87"/>
      <c r="F427" s="87"/>
      <c r="G427" s="87"/>
      <c r="H427" s="87"/>
      <c r="I427" s="87"/>
    </row>
    <row r="428" spans="1:9">
      <c r="A428" s="317" t="s">
        <v>1207</v>
      </c>
      <c r="B428" s="301">
        <f t="shared" si="1"/>
        <v>62</v>
      </c>
      <c r="C428" s="318">
        <v>303</v>
      </c>
      <c r="D428" s="87"/>
      <c r="E428" s="87"/>
      <c r="F428" s="87"/>
      <c r="G428" s="87"/>
      <c r="H428" s="87"/>
      <c r="I428" s="87"/>
    </row>
    <row r="429" spans="1:9">
      <c r="A429" s="317" t="s">
        <v>1208</v>
      </c>
      <c r="B429" s="301">
        <f t="shared" si="1"/>
        <v>63</v>
      </c>
      <c r="C429" s="318">
        <v>302</v>
      </c>
      <c r="D429" s="87"/>
      <c r="E429" s="87"/>
      <c r="F429" s="87"/>
      <c r="G429" s="87"/>
      <c r="H429" s="87"/>
      <c r="I429" s="87"/>
    </row>
    <row r="430" spans="1:9">
      <c r="A430" s="317" t="s">
        <v>1209</v>
      </c>
      <c r="B430" s="301">
        <f t="shared" si="1"/>
        <v>64</v>
      </c>
      <c r="C430" s="318">
        <v>301</v>
      </c>
      <c r="D430" s="87"/>
      <c r="E430" s="87"/>
      <c r="F430" s="87"/>
      <c r="G430" s="87"/>
      <c r="H430" s="87"/>
      <c r="I430" s="87"/>
    </row>
    <row r="431" spans="1:9">
      <c r="A431" s="317" t="s">
        <v>1210</v>
      </c>
      <c r="B431" s="301">
        <f t="shared" si="1"/>
        <v>65</v>
      </c>
      <c r="C431" s="318">
        <v>300</v>
      </c>
      <c r="D431" s="87"/>
      <c r="E431" s="87"/>
      <c r="F431" s="87"/>
      <c r="G431" s="87"/>
      <c r="H431" s="87"/>
      <c r="I431" s="87"/>
    </row>
    <row r="432" spans="1:9">
      <c r="A432" s="317" t="s">
        <v>1211</v>
      </c>
      <c r="B432" s="301">
        <f t="shared" si="1"/>
        <v>66</v>
      </c>
      <c r="C432" s="318">
        <v>299</v>
      </c>
      <c r="D432" s="87"/>
      <c r="E432" s="87"/>
      <c r="F432" s="87"/>
      <c r="G432" s="87"/>
      <c r="H432" s="87"/>
      <c r="I432" s="87"/>
    </row>
    <row r="433" spans="1:9">
      <c r="A433" s="317" t="s">
        <v>1212</v>
      </c>
      <c r="B433" s="301">
        <f t="shared" si="1"/>
        <v>67</v>
      </c>
      <c r="C433" s="318">
        <v>298</v>
      </c>
      <c r="D433" s="87"/>
      <c r="E433" s="87"/>
      <c r="F433" s="87"/>
      <c r="G433" s="87"/>
      <c r="H433" s="87"/>
      <c r="I433" s="87"/>
    </row>
    <row r="434" spans="1:9">
      <c r="A434" s="317" t="s">
        <v>1213</v>
      </c>
      <c r="B434" s="301">
        <f t="shared" si="1"/>
        <v>68</v>
      </c>
      <c r="C434" s="318">
        <v>297</v>
      </c>
      <c r="D434" s="87"/>
      <c r="E434" s="87"/>
      <c r="F434" s="87"/>
      <c r="G434" s="87"/>
      <c r="H434" s="87"/>
      <c r="I434" s="87"/>
    </row>
    <row r="435" spans="1:9">
      <c r="A435" s="317" t="s">
        <v>1214</v>
      </c>
      <c r="B435" s="301">
        <f t="shared" si="1"/>
        <v>69</v>
      </c>
      <c r="C435" s="318">
        <v>296</v>
      </c>
      <c r="D435" s="87"/>
      <c r="E435" s="87"/>
      <c r="F435" s="87"/>
      <c r="G435" s="87"/>
      <c r="H435" s="87"/>
      <c r="I435" s="87"/>
    </row>
    <row r="436" spans="1:9">
      <c r="A436" s="317" t="s">
        <v>1215</v>
      </c>
      <c r="B436" s="301">
        <f t="shared" si="1"/>
        <v>70</v>
      </c>
      <c r="C436" s="318">
        <v>295</v>
      </c>
      <c r="D436" s="87"/>
      <c r="E436" s="87"/>
      <c r="F436" s="87"/>
      <c r="G436" s="87"/>
      <c r="H436" s="87"/>
      <c r="I436" s="87"/>
    </row>
    <row r="437" spans="1:9">
      <c r="A437" s="317" t="s">
        <v>1216</v>
      </c>
      <c r="B437" s="301">
        <f t="shared" si="1"/>
        <v>71</v>
      </c>
      <c r="C437" s="318">
        <v>294</v>
      </c>
      <c r="D437" s="87"/>
      <c r="E437" s="87"/>
      <c r="F437" s="87"/>
      <c r="G437" s="87"/>
      <c r="H437" s="87"/>
      <c r="I437" s="87"/>
    </row>
    <row r="438" spans="1:9">
      <c r="A438" s="317" t="s">
        <v>1217</v>
      </c>
      <c r="B438" s="301">
        <f t="shared" si="1"/>
        <v>72</v>
      </c>
      <c r="C438" s="318">
        <v>293</v>
      </c>
      <c r="D438" s="87"/>
      <c r="E438" s="87"/>
      <c r="F438" s="87"/>
      <c r="G438" s="87"/>
      <c r="H438" s="87"/>
      <c r="I438" s="87"/>
    </row>
    <row r="439" spans="1:9">
      <c r="A439" s="317" t="s">
        <v>1218</v>
      </c>
      <c r="B439" s="301">
        <f t="shared" si="1"/>
        <v>73</v>
      </c>
      <c r="C439" s="318">
        <v>292</v>
      </c>
      <c r="D439" s="87"/>
      <c r="E439" s="87"/>
      <c r="F439" s="87"/>
      <c r="G439" s="87"/>
      <c r="H439" s="87"/>
      <c r="I439" s="87"/>
    </row>
    <row r="440" spans="1:9">
      <c r="A440" s="317" t="s">
        <v>1219</v>
      </c>
      <c r="B440" s="301">
        <f t="shared" si="1"/>
        <v>74</v>
      </c>
      <c r="C440" s="318">
        <v>291</v>
      </c>
      <c r="D440" s="87"/>
      <c r="E440" s="87"/>
      <c r="F440" s="87"/>
      <c r="G440" s="87"/>
      <c r="H440" s="87"/>
      <c r="I440" s="87"/>
    </row>
    <row r="441" spans="1:9">
      <c r="A441" s="317" t="s">
        <v>1220</v>
      </c>
      <c r="B441" s="301">
        <f t="shared" si="1"/>
        <v>75</v>
      </c>
      <c r="C441" s="318">
        <v>290</v>
      </c>
      <c r="D441" s="87"/>
      <c r="E441" s="87"/>
      <c r="F441" s="87"/>
      <c r="G441" s="87"/>
      <c r="H441" s="87"/>
      <c r="I441" s="87"/>
    </row>
    <row r="442" spans="1:9">
      <c r="A442" s="317" t="s">
        <v>1221</v>
      </c>
      <c r="B442" s="301">
        <f t="shared" si="1"/>
        <v>76</v>
      </c>
      <c r="C442" s="318">
        <v>289</v>
      </c>
      <c r="D442" s="87"/>
      <c r="E442" s="87"/>
      <c r="F442" s="87"/>
      <c r="G442" s="87"/>
      <c r="H442" s="87"/>
      <c r="I442" s="87"/>
    </row>
    <row r="443" spans="1:9">
      <c r="A443" s="317" t="s">
        <v>1222</v>
      </c>
      <c r="B443" s="301">
        <f t="shared" si="1"/>
        <v>77</v>
      </c>
      <c r="C443" s="318">
        <v>288</v>
      </c>
      <c r="D443" s="87"/>
      <c r="E443" s="87"/>
      <c r="F443" s="87"/>
      <c r="G443" s="87"/>
      <c r="H443" s="87"/>
      <c r="I443" s="87"/>
    </row>
    <row r="444" spans="1:9">
      <c r="A444" s="317" t="s">
        <v>1223</v>
      </c>
      <c r="B444" s="301">
        <f t="shared" si="1"/>
        <v>78</v>
      </c>
      <c r="C444" s="318">
        <v>287</v>
      </c>
      <c r="D444" s="87"/>
      <c r="E444" s="87"/>
      <c r="F444" s="87"/>
      <c r="G444" s="87"/>
      <c r="H444" s="87"/>
      <c r="I444" s="87"/>
    </row>
    <row r="445" spans="1:9">
      <c r="A445" s="317" t="s">
        <v>1224</v>
      </c>
      <c r="B445" s="301">
        <f t="shared" si="1"/>
        <v>79</v>
      </c>
      <c r="C445" s="318">
        <v>286</v>
      </c>
      <c r="D445" s="87"/>
      <c r="E445" s="87"/>
      <c r="F445" s="87"/>
      <c r="G445" s="87"/>
      <c r="H445" s="87"/>
      <c r="I445" s="87"/>
    </row>
    <row r="446" spans="1:9">
      <c r="A446" s="317" t="s">
        <v>1225</v>
      </c>
      <c r="B446" s="301">
        <f t="shared" si="1"/>
        <v>80</v>
      </c>
      <c r="C446" s="318">
        <v>285</v>
      </c>
      <c r="D446" s="87"/>
      <c r="E446" s="87"/>
      <c r="F446" s="87"/>
      <c r="G446" s="87"/>
      <c r="H446" s="87"/>
      <c r="I446" s="87"/>
    </row>
    <row r="447" spans="1:9">
      <c r="A447" s="317" t="s">
        <v>1226</v>
      </c>
      <c r="B447" s="301">
        <f t="shared" si="1"/>
        <v>81</v>
      </c>
      <c r="C447" s="318">
        <v>284</v>
      </c>
      <c r="D447" s="87"/>
      <c r="E447" s="87"/>
      <c r="F447" s="87"/>
      <c r="G447" s="87"/>
      <c r="H447" s="87"/>
      <c r="I447" s="87"/>
    </row>
    <row r="448" spans="1:9">
      <c r="A448" s="317" t="s">
        <v>1227</v>
      </c>
      <c r="B448" s="301">
        <f t="shared" si="1"/>
        <v>82</v>
      </c>
      <c r="C448" s="318">
        <v>283</v>
      </c>
      <c r="D448" s="87"/>
      <c r="E448" s="87"/>
      <c r="F448" s="87"/>
      <c r="G448" s="87"/>
      <c r="H448" s="87"/>
      <c r="I448" s="87"/>
    </row>
    <row r="449" spans="1:9">
      <c r="A449" s="317" t="s">
        <v>1228</v>
      </c>
      <c r="B449" s="301">
        <f t="shared" si="1"/>
        <v>83</v>
      </c>
      <c r="C449" s="318">
        <v>282</v>
      </c>
      <c r="D449" s="87"/>
      <c r="E449" s="87"/>
      <c r="F449" s="87"/>
      <c r="G449" s="87"/>
      <c r="H449" s="87"/>
      <c r="I449" s="87"/>
    </row>
    <row r="450" spans="1:9">
      <c r="A450" s="317" t="s">
        <v>1229</v>
      </c>
      <c r="B450" s="301">
        <f t="shared" si="1"/>
        <v>84</v>
      </c>
      <c r="C450" s="318">
        <v>281</v>
      </c>
      <c r="D450" s="87"/>
      <c r="E450" s="87"/>
      <c r="F450" s="87"/>
      <c r="G450" s="87"/>
      <c r="H450" s="87"/>
      <c r="I450" s="87"/>
    </row>
    <row r="451" spans="1:9">
      <c r="A451" s="317" t="s">
        <v>1230</v>
      </c>
      <c r="B451" s="301">
        <f t="shared" si="1"/>
        <v>85</v>
      </c>
      <c r="C451" s="318">
        <v>280</v>
      </c>
      <c r="D451" s="87"/>
      <c r="E451" s="87"/>
      <c r="F451" s="87"/>
      <c r="G451" s="87"/>
      <c r="H451" s="87"/>
      <c r="I451" s="87"/>
    </row>
    <row r="452" spans="1:9">
      <c r="A452" s="317" t="s">
        <v>1231</v>
      </c>
      <c r="B452" s="301">
        <f t="shared" si="1"/>
        <v>86</v>
      </c>
      <c r="C452" s="318">
        <v>279</v>
      </c>
      <c r="D452" s="87"/>
      <c r="E452" s="87"/>
      <c r="F452" s="87"/>
      <c r="G452" s="87"/>
      <c r="H452" s="87"/>
      <c r="I452" s="87"/>
    </row>
    <row r="453" spans="1:9">
      <c r="A453" s="317" t="s">
        <v>1232</v>
      </c>
      <c r="B453" s="301">
        <f t="shared" si="1"/>
        <v>87</v>
      </c>
      <c r="C453" s="318">
        <v>278</v>
      </c>
      <c r="D453" s="87"/>
      <c r="E453" s="87"/>
      <c r="F453" s="87"/>
      <c r="G453" s="87"/>
      <c r="H453" s="87"/>
      <c r="I453" s="87"/>
    </row>
    <row r="454" spans="1:9">
      <c r="A454" s="317" t="s">
        <v>1233</v>
      </c>
      <c r="B454" s="301">
        <f t="shared" si="1"/>
        <v>88</v>
      </c>
      <c r="C454" s="318">
        <v>277</v>
      </c>
      <c r="D454" s="87"/>
      <c r="E454" s="87"/>
      <c r="F454" s="87"/>
      <c r="G454" s="87"/>
      <c r="H454" s="87"/>
      <c r="I454" s="87"/>
    </row>
    <row r="455" spans="1:9">
      <c r="A455" s="317" t="s">
        <v>1234</v>
      </c>
      <c r="B455" s="301">
        <f t="shared" si="1"/>
        <v>89</v>
      </c>
      <c r="C455" s="318">
        <v>276</v>
      </c>
      <c r="D455" s="87"/>
      <c r="E455" s="87"/>
      <c r="F455" s="87"/>
      <c r="G455" s="87"/>
      <c r="H455" s="87"/>
      <c r="I455" s="87"/>
    </row>
    <row r="456" spans="1:9">
      <c r="A456" s="319" t="s">
        <v>1235</v>
      </c>
      <c r="B456" s="303">
        <f t="shared" si="1"/>
        <v>90</v>
      </c>
      <c r="C456" s="320">
        <v>275</v>
      </c>
      <c r="D456" s="304">
        <f>B456-B419+1</f>
        <v>38</v>
      </c>
      <c r="E456" s="87"/>
      <c r="F456" s="87"/>
      <c r="G456" s="87"/>
      <c r="H456" s="87"/>
      <c r="I456" s="87"/>
    </row>
    <row r="457" spans="1:9">
      <c r="A457" s="315" t="s">
        <v>1236</v>
      </c>
      <c r="B457" s="295">
        <f t="shared" si="1"/>
        <v>91</v>
      </c>
      <c r="C457" s="316">
        <v>274</v>
      </c>
      <c r="D457" s="87"/>
      <c r="E457" s="87"/>
      <c r="F457" s="87"/>
      <c r="G457" s="87"/>
      <c r="H457" s="87"/>
      <c r="I457" s="87"/>
    </row>
    <row r="458" spans="1:9">
      <c r="A458" s="313" t="s">
        <v>1237</v>
      </c>
      <c r="B458" s="298">
        <f t="shared" si="1"/>
        <v>92</v>
      </c>
      <c r="C458" s="314">
        <v>273</v>
      </c>
      <c r="D458" s="87"/>
      <c r="E458" s="87"/>
      <c r="F458" s="87"/>
      <c r="G458" s="87"/>
      <c r="H458" s="87"/>
      <c r="I458" s="87"/>
    </row>
    <row r="459" spans="1:9">
      <c r="A459" s="315" t="s">
        <v>1238</v>
      </c>
      <c r="B459" s="295">
        <f t="shared" si="1"/>
        <v>93</v>
      </c>
      <c r="C459" s="316">
        <v>272</v>
      </c>
      <c r="D459" s="87"/>
      <c r="E459" s="87"/>
      <c r="F459" s="87"/>
      <c r="G459" s="87"/>
      <c r="H459" s="87"/>
      <c r="I459" s="87"/>
    </row>
    <row r="460" spans="1:9">
      <c r="A460" s="313" t="s">
        <v>1239</v>
      </c>
      <c r="B460" s="298">
        <f t="shared" si="1"/>
        <v>94</v>
      </c>
      <c r="C460" s="314">
        <v>271</v>
      </c>
      <c r="D460" s="87"/>
      <c r="E460" s="87"/>
      <c r="F460" s="87"/>
      <c r="G460" s="87"/>
      <c r="H460" s="87"/>
      <c r="I460" s="87"/>
    </row>
    <row r="461" spans="1:9">
      <c r="A461" s="321" t="s">
        <v>1240</v>
      </c>
      <c r="B461" s="322">
        <f t="shared" si="1"/>
        <v>95</v>
      </c>
      <c r="C461" s="323">
        <v>270</v>
      </c>
      <c r="D461" s="87"/>
      <c r="E461" s="87"/>
      <c r="F461" s="87"/>
      <c r="G461" s="87"/>
      <c r="H461" s="87"/>
      <c r="I461" s="87"/>
    </row>
    <row r="462" spans="1:9">
      <c r="A462" s="324" t="s">
        <v>1241</v>
      </c>
      <c r="B462" s="325">
        <f t="shared" si="1"/>
        <v>96</v>
      </c>
      <c r="C462" s="326">
        <v>269</v>
      </c>
      <c r="D462" s="87"/>
      <c r="E462" s="327"/>
      <c r="F462" s="87"/>
      <c r="G462" s="87"/>
      <c r="H462" s="87"/>
      <c r="I462" s="87"/>
    </row>
    <row r="463" spans="1:9">
      <c r="A463" s="315" t="s">
        <v>1242</v>
      </c>
      <c r="B463" s="295">
        <f t="shared" si="1"/>
        <v>97</v>
      </c>
      <c r="C463" s="316">
        <v>268</v>
      </c>
      <c r="D463" s="87"/>
      <c r="E463" s="328"/>
      <c r="F463" s="87"/>
      <c r="G463" s="87"/>
      <c r="H463" s="87"/>
      <c r="I463" s="87"/>
    </row>
    <row r="464" spans="1:9">
      <c r="A464" s="313" t="s">
        <v>1243</v>
      </c>
      <c r="B464" s="298">
        <f t="shared" si="1"/>
        <v>98</v>
      </c>
      <c r="C464" s="314">
        <v>267</v>
      </c>
      <c r="D464" s="87"/>
      <c r="E464" s="328"/>
      <c r="F464" s="87"/>
      <c r="G464" s="87"/>
      <c r="H464" s="87"/>
      <c r="I464" s="87"/>
    </row>
    <row r="465" spans="1:9">
      <c r="A465" s="315" t="s">
        <v>1244</v>
      </c>
      <c r="B465" s="295">
        <f t="shared" si="1"/>
        <v>99</v>
      </c>
      <c r="C465" s="316">
        <v>266</v>
      </c>
      <c r="D465" s="87"/>
      <c r="E465" s="328"/>
      <c r="F465" s="87"/>
      <c r="G465" s="87"/>
      <c r="H465" s="87"/>
      <c r="I465" s="87"/>
    </row>
    <row r="466" spans="1:9">
      <c r="A466" s="313" t="s">
        <v>1245</v>
      </c>
      <c r="B466" s="298">
        <f t="shared" si="1"/>
        <v>100</v>
      </c>
      <c r="C466" s="314">
        <v>265</v>
      </c>
      <c r="D466" s="87"/>
      <c r="E466" s="328"/>
      <c r="F466" s="87"/>
      <c r="G466" s="87"/>
      <c r="H466" s="87"/>
      <c r="I466" s="87"/>
    </row>
    <row r="467" spans="1:9">
      <c r="A467" s="315" t="s">
        <v>1246</v>
      </c>
      <c r="B467" s="295">
        <f t="shared" si="1"/>
        <v>101</v>
      </c>
      <c r="C467" s="316">
        <v>264</v>
      </c>
      <c r="D467" s="87"/>
      <c r="E467" s="328"/>
      <c r="F467" s="87"/>
      <c r="G467" s="87"/>
      <c r="H467" s="87"/>
      <c r="I467" s="87"/>
    </row>
    <row r="468" spans="1:9">
      <c r="A468" s="313" t="s">
        <v>1247</v>
      </c>
      <c r="B468" s="298">
        <f t="shared" si="1"/>
        <v>102</v>
      </c>
      <c r="C468" s="314">
        <v>263</v>
      </c>
      <c r="D468" s="87"/>
      <c r="E468" s="328"/>
      <c r="F468" s="87"/>
      <c r="G468" s="87"/>
      <c r="H468" s="87"/>
      <c r="I468" s="87"/>
    </row>
    <row r="469" spans="1:9">
      <c r="A469" s="315" t="s">
        <v>1248</v>
      </c>
      <c r="B469" s="295">
        <f t="shared" si="1"/>
        <v>103</v>
      </c>
      <c r="C469" s="316">
        <v>262</v>
      </c>
      <c r="D469" s="87"/>
      <c r="E469" s="328"/>
      <c r="F469" s="87"/>
      <c r="G469" s="87"/>
      <c r="H469" s="87"/>
      <c r="I469" s="87"/>
    </row>
    <row r="470" spans="1:9">
      <c r="A470" s="313" t="s">
        <v>1249</v>
      </c>
      <c r="B470" s="298">
        <f t="shared" si="1"/>
        <v>104</v>
      </c>
      <c r="C470" s="314">
        <v>261</v>
      </c>
      <c r="D470" s="87"/>
      <c r="E470" s="328"/>
      <c r="F470" s="87"/>
      <c r="G470" s="87"/>
      <c r="H470" s="87"/>
      <c r="I470" s="87"/>
    </row>
    <row r="471" spans="1:9">
      <c r="A471" s="315" t="s">
        <v>1250</v>
      </c>
      <c r="B471" s="295">
        <f t="shared" si="1"/>
        <v>105</v>
      </c>
      <c r="C471" s="316">
        <v>260</v>
      </c>
      <c r="D471" s="87"/>
      <c r="E471" s="328"/>
      <c r="F471" s="87"/>
      <c r="G471" s="87"/>
      <c r="H471" s="87"/>
      <c r="I471" s="87"/>
    </row>
    <row r="472" spans="1:9">
      <c r="A472" s="313" t="s">
        <v>1251</v>
      </c>
      <c r="B472" s="298">
        <f t="shared" si="1"/>
        <v>106</v>
      </c>
      <c r="C472" s="314">
        <v>259</v>
      </c>
      <c r="D472" s="87"/>
      <c r="E472" s="328"/>
      <c r="F472" s="87"/>
      <c r="G472" s="87"/>
      <c r="H472" s="87"/>
      <c r="I472" s="87"/>
    </row>
    <row r="473" spans="1:9">
      <c r="A473" s="315" t="s">
        <v>1252</v>
      </c>
      <c r="B473" s="295">
        <f t="shared" si="1"/>
        <v>107</v>
      </c>
      <c r="C473" s="316">
        <v>258</v>
      </c>
      <c r="D473" s="87"/>
      <c r="E473" s="328"/>
      <c r="F473" s="87"/>
      <c r="G473" s="87"/>
      <c r="H473" s="87"/>
      <c r="I473" s="87"/>
    </row>
    <row r="474" spans="1:9">
      <c r="A474" s="313" t="s">
        <v>1253</v>
      </c>
      <c r="B474" s="298">
        <f t="shared" si="1"/>
        <v>108</v>
      </c>
      <c r="C474" s="314">
        <v>257</v>
      </c>
      <c r="D474" s="87"/>
      <c r="E474" s="328"/>
      <c r="F474" s="87"/>
      <c r="G474" s="87"/>
      <c r="H474" s="87"/>
      <c r="I474" s="87"/>
    </row>
    <row r="475" spans="1:9">
      <c r="A475" s="317" t="s">
        <v>1254</v>
      </c>
      <c r="B475" s="301">
        <f t="shared" si="1"/>
        <v>109</v>
      </c>
      <c r="C475" s="318">
        <v>256</v>
      </c>
      <c r="D475" s="87"/>
      <c r="E475" s="329"/>
      <c r="F475" s="87"/>
      <c r="G475" s="87"/>
      <c r="H475" s="87"/>
      <c r="I475" s="87"/>
    </row>
    <row r="476" spans="1:9">
      <c r="A476" s="317" t="s">
        <v>1255</v>
      </c>
      <c r="B476" s="301">
        <f t="shared" si="1"/>
        <v>110</v>
      </c>
      <c r="C476" s="318">
        <v>255</v>
      </c>
      <c r="D476" s="87"/>
      <c r="E476" s="329"/>
      <c r="F476" s="87"/>
      <c r="G476" s="87"/>
      <c r="H476" s="87"/>
      <c r="I476" s="87"/>
    </row>
    <row r="477" spans="1:9">
      <c r="A477" s="317" t="s">
        <v>1256</v>
      </c>
      <c r="B477" s="301">
        <f t="shared" si="1"/>
        <v>111</v>
      </c>
      <c r="C477" s="318">
        <v>254</v>
      </c>
      <c r="D477" s="87"/>
      <c r="E477" s="329"/>
      <c r="F477" s="87"/>
      <c r="G477" s="87"/>
      <c r="H477" s="87"/>
      <c r="I477" s="87"/>
    </row>
    <row r="478" spans="1:9">
      <c r="A478" s="319" t="s">
        <v>1257</v>
      </c>
      <c r="B478" s="303">
        <f t="shared" si="1"/>
        <v>112</v>
      </c>
      <c r="C478" s="320">
        <v>253</v>
      </c>
      <c r="D478" s="304">
        <f>B478-B475+1</f>
        <v>4</v>
      </c>
      <c r="E478" s="330">
        <f>C475-C478+1</f>
        <v>4</v>
      </c>
      <c r="F478" s="87"/>
      <c r="G478" s="87"/>
      <c r="H478" s="87"/>
      <c r="I478" s="87"/>
    </row>
    <row r="479" spans="1:9">
      <c r="A479" s="315" t="s">
        <v>1258</v>
      </c>
      <c r="B479" s="295">
        <f t="shared" si="1"/>
        <v>113</v>
      </c>
      <c r="C479" s="316">
        <v>252</v>
      </c>
      <c r="D479" s="87"/>
      <c r="E479" s="328"/>
      <c r="F479" s="87"/>
      <c r="G479" s="87"/>
      <c r="H479" s="87"/>
      <c r="I479" s="87"/>
    </row>
    <row r="480" spans="1:9">
      <c r="A480" s="313" t="s">
        <v>1259</v>
      </c>
      <c r="B480" s="298">
        <f t="shared" si="1"/>
        <v>114</v>
      </c>
      <c r="C480" s="314">
        <v>251</v>
      </c>
      <c r="D480" s="87"/>
      <c r="E480" s="328"/>
      <c r="F480" s="87"/>
      <c r="G480" s="87"/>
      <c r="H480" s="87"/>
      <c r="I480" s="87"/>
    </row>
    <row r="481" spans="1:9">
      <c r="A481" s="315" t="s">
        <v>1260</v>
      </c>
      <c r="B481" s="295">
        <f t="shared" si="1"/>
        <v>115</v>
      </c>
      <c r="C481" s="316">
        <v>250</v>
      </c>
      <c r="D481" s="87"/>
      <c r="E481" s="328"/>
      <c r="F481" s="87"/>
      <c r="G481" s="87"/>
      <c r="H481" s="87"/>
      <c r="I481" s="87"/>
    </row>
    <row r="482" spans="1:9">
      <c r="A482" s="313" t="s">
        <v>1261</v>
      </c>
      <c r="B482" s="298">
        <f t="shared" si="1"/>
        <v>116</v>
      </c>
      <c r="C482" s="314">
        <v>249</v>
      </c>
      <c r="D482" s="87"/>
      <c r="E482" s="328"/>
      <c r="F482" s="87"/>
      <c r="G482" s="87"/>
      <c r="H482" s="87"/>
      <c r="I482" s="87"/>
    </row>
    <row r="483" spans="1:9">
      <c r="A483" s="315" t="s">
        <v>1262</v>
      </c>
      <c r="B483" s="295">
        <f t="shared" si="1"/>
        <v>117</v>
      </c>
      <c r="C483" s="316">
        <v>248</v>
      </c>
      <c r="D483" s="87"/>
      <c r="E483" s="328"/>
      <c r="F483" s="87"/>
      <c r="G483" s="87"/>
      <c r="H483" s="87"/>
      <c r="I483" s="87"/>
    </row>
    <row r="484" spans="1:9">
      <c r="A484" s="313" t="s">
        <v>1263</v>
      </c>
      <c r="B484" s="298">
        <f t="shared" si="1"/>
        <v>118</v>
      </c>
      <c r="C484" s="314">
        <v>247</v>
      </c>
      <c r="D484" s="87"/>
      <c r="E484" s="328"/>
      <c r="F484" s="87"/>
      <c r="G484" s="87"/>
      <c r="H484" s="87"/>
      <c r="I484" s="87"/>
    </row>
    <row r="485" spans="1:9">
      <c r="A485" s="315" t="s">
        <v>1264</v>
      </c>
      <c r="B485" s="295">
        <f t="shared" si="1"/>
        <v>119</v>
      </c>
      <c r="C485" s="316">
        <v>246</v>
      </c>
      <c r="D485" s="87"/>
      <c r="E485" s="328"/>
      <c r="F485" s="87"/>
      <c r="G485" s="87"/>
      <c r="H485" s="87"/>
      <c r="I485" s="87"/>
    </row>
    <row r="486" spans="1:9">
      <c r="A486" s="313" t="s">
        <v>1265</v>
      </c>
      <c r="B486" s="298">
        <f t="shared" si="1"/>
        <v>120</v>
      </c>
      <c r="C486" s="314">
        <v>245</v>
      </c>
      <c r="D486" s="87"/>
      <c r="E486" s="328"/>
      <c r="F486" s="87"/>
      <c r="G486" s="87"/>
      <c r="H486" s="87"/>
      <c r="I486" s="87"/>
    </row>
    <row r="487" spans="1:9">
      <c r="A487" s="315" t="s">
        <v>1266</v>
      </c>
      <c r="B487" s="295">
        <f t="shared" si="1"/>
        <v>121</v>
      </c>
      <c r="C487" s="316">
        <v>244</v>
      </c>
      <c r="D487" s="87"/>
      <c r="E487" s="328"/>
      <c r="F487" s="87"/>
      <c r="G487" s="87"/>
      <c r="H487" s="87"/>
      <c r="I487" s="87"/>
    </row>
    <row r="488" spans="1:9">
      <c r="A488" s="313" t="s">
        <v>1267</v>
      </c>
      <c r="B488" s="298">
        <f t="shared" si="1"/>
        <v>122</v>
      </c>
      <c r="C488" s="314">
        <v>243</v>
      </c>
      <c r="D488" s="87"/>
      <c r="E488" s="328"/>
      <c r="F488" s="87"/>
      <c r="G488" s="87"/>
      <c r="H488" s="87"/>
      <c r="I488" s="87"/>
    </row>
    <row r="489" spans="1:9">
      <c r="A489" s="315" t="s">
        <v>1268</v>
      </c>
      <c r="B489" s="295">
        <f t="shared" si="1"/>
        <v>123</v>
      </c>
      <c r="C489" s="316">
        <v>242</v>
      </c>
      <c r="D489" s="87"/>
      <c r="E489" s="328"/>
      <c r="F489" s="87"/>
      <c r="G489" s="87"/>
      <c r="H489" s="87"/>
      <c r="I489" s="87"/>
    </row>
    <row r="490" spans="1:9">
      <c r="A490" s="313" t="s">
        <v>1269</v>
      </c>
      <c r="B490" s="298">
        <f t="shared" si="1"/>
        <v>124</v>
      </c>
      <c r="C490" s="314">
        <v>241</v>
      </c>
      <c r="D490" s="87"/>
      <c r="E490" s="328"/>
      <c r="F490" s="87"/>
      <c r="G490" s="87"/>
      <c r="H490" s="87"/>
      <c r="I490" s="87"/>
    </row>
    <row r="491" spans="1:9">
      <c r="A491" s="315" t="s">
        <v>1270</v>
      </c>
      <c r="B491" s="295">
        <f t="shared" si="1"/>
        <v>125</v>
      </c>
      <c r="C491" s="316">
        <v>240</v>
      </c>
      <c r="D491" s="87"/>
      <c r="E491" s="328"/>
      <c r="F491" s="87"/>
      <c r="G491" s="87"/>
      <c r="H491" s="87"/>
      <c r="I491" s="87"/>
    </row>
    <row r="492" spans="1:9">
      <c r="A492" s="313" t="s">
        <v>1271</v>
      </c>
      <c r="B492" s="298">
        <f t="shared" si="1"/>
        <v>126</v>
      </c>
      <c r="C492" s="314">
        <v>239</v>
      </c>
      <c r="D492" s="87"/>
      <c r="E492" s="328"/>
      <c r="F492" s="87"/>
      <c r="G492" s="87"/>
      <c r="H492" s="87"/>
      <c r="I492" s="87"/>
    </row>
    <row r="493" spans="1:9">
      <c r="A493" s="315" t="s">
        <v>1272</v>
      </c>
      <c r="B493" s="295">
        <f t="shared" si="1"/>
        <v>127</v>
      </c>
      <c r="C493" s="316">
        <v>238</v>
      </c>
      <c r="D493" s="87"/>
      <c r="E493" s="328"/>
      <c r="F493" s="87"/>
      <c r="G493" s="87"/>
      <c r="H493" s="87"/>
      <c r="I493" s="87"/>
    </row>
    <row r="494" spans="1:9">
      <c r="A494" s="313" t="s">
        <v>1273</v>
      </c>
      <c r="B494" s="298">
        <f t="shared" si="1"/>
        <v>128</v>
      </c>
      <c r="C494" s="314">
        <v>237</v>
      </c>
      <c r="D494" s="87"/>
      <c r="E494" s="328"/>
      <c r="F494" s="87"/>
      <c r="G494" s="87"/>
      <c r="H494" s="87"/>
      <c r="I494" s="87"/>
    </row>
    <row r="495" spans="1:9">
      <c r="A495" s="315" t="s">
        <v>1274</v>
      </c>
      <c r="B495" s="295">
        <f t="shared" si="1"/>
        <v>129</v>
      </c>
      <c r="C495" s="316">
        <v>236</v>
      </c>
      <c r="D495" s="87"/>
      <c r="E495" s="328"/>
      <c r="F495" s="87"/>
      <c r="G495" s="87"/>
      <c r="H495" s="87"/>
      <c r="I495" s="87"/>
    </row>
    <row r="496" spans="1:9">
      <c r="A496" s="313" t="s">
        <v>1275</v>
      </c>
      <c r="B496" s="298">
        <f t="shared" si="1"/>
        <v>130</v>
      </c>
      <c r="C496" s="314">
        <v>235</v>
      </c>
      <c r="D496" s="87"/>
      <c r="E496" s="328"/>
      <c r="F496" s="87"/>
      <c r="G496" s="87"/>
      <c r="H496" s="87"/>
      <c r="I496" s="87"/>
    </row>
    <row r="497" spans="1:9">
      <c r="A497" s="315" t="s">
        <v>1276</v>
      </c>
      <c r="B497" s="295">
        <f t="shared" si="1"/>
        <v>131</v>
      </c>
      <c r="C497" s="316">
        <v>234</v>
      </c>
      <c r="D497" s="87"/>
      <c r="E497" s="328"/>
      <c r="F497" s="87"/>
      <c r="G497" s="87"/>
      <c r="H497" s="87"/>
      <c r="I497" s="87"/>
    </row>
    <row r="498" spans="1:9">
      <c r="A498" s="313" t="s">
        <v>1277</v>
      </c>
      <c r="B498" s="298">
        <f t="shared" si="1"/>
        <v>132</v>
      </c>
      <c r="C498" s="314">
        <v>233</v>
      </c>
      <c r="D498" s="87"/>
      <c r="E498" s="328"/>
      <c r="F498" s="87"/>
      <c r="G498" s="87"/>
      <c r="H498" s="87"/>
      <c r="I498" s="87"/>
    </row>
    <row r="499" spans="1:9">
      <c r="A499" s="315" t="s">
        <v>1278</v>
      </c>
      <c r="B499" s="295">
        <f t="shared" si="1"/>
        <v>133</v>
      </c>
      <c r="C499" s="316">
        <v>232</v>
      </c>
      <c r="D499" s="87"/>
      <c r="E499" s="328"/>
      <c r="F499" s="87"/>
      <c r="G499" s="87"/>
      <c r="H499" s="87"/>
      <c r="I499" s="87"/>
    </row>
    <row r="500" spans="1:9">
      <c r="A500" s="313" t="s">
        <v>1279</v>
      </c>
      <c r="B500" s="298">
        <f t="shared" si="1"/>
        <v>134</v>
      </c>
      <c r="C500" s="314">
        <v>231</v>
      </c>
      <c r="D500" s="87"/>
      <c r="E500" s="328"/>
      <c r="F500" s="87"/>
      <c r="G500" s="87"/>
      <c r="H500" s="87"/>
      <c r="I500" s="87"/>
    </row>
    <row r="501" spans="1:9">
      <c r="A501" s="315" t="s">
        <v>1280</v>
      </c>
      <c r="B501" s="295">
        <f t="shared" si="1"/>
        <v>135</v>
      </c>
      <c r="C501" s="316">
        <v>230</v>
      </c>
      <c r="D501" s="87"/>
      <c r="E501" s="328"/>
      <c r="F501" s="87"/>
      <c r="G501" s="87"/>
      <c r="H501" s="87"/>
      <c r="I501" s="87"/>
    </row>
    <row r="502" spans="1:9">
      <c r="A502" s="313" t="s">
        <v>1281</v>
      </c>
      <c r="B502" s="298">
        <f t="shared" si="1"/>
        <v>136</v>
      </c>
      <c r="C502" s="314">
        <v>229</v>
      </c>
      <c r="D502" s="87"/>
      <c r="E502" s="328"/>
      <c r="F502" s="87"/>
      <c r="G502" s="87"/>
      <c r="H502" s="87"/>
      <c r="I502" s="87"/>
    </row>
    <row r="503" spans="1:9">
      <c r="A503" s="317" t="s">
        <v>1282</v>
      </c>
      <c r="B503" s="301">
        <f t="shared" si="1"/>
        <v>137</v>
      </c>
      <c r="C503" s="318">
        <v>228</v>
      </c>
      <c r="D503" s="87"/>
      <c r="E503" s="329"/>
      <c r="F503" s="87"/>
      <c r="G503" s="87"/>
      <c r="H503" s="87"/>
      <c r="I503" s="87"/>
    </row>
    <row r="504" spans="1:9">
      <c r="A504" s="317" t="s">
        <v>1283</v>
      </c>
      <c r="B504" s="301">
        <f t="shared" si="1"/>
        <v>138</v>
      </c>
      <c r="C504" s="318">
        <v>227</v>
      </c>
      <c r="D504" s="87"/>
      <c r="E504" s="329"/>
      <c r="F504" s="87"/>
      <c r="G504" s="87"/>
      <c r="H504" s="87"/>
      <c r="I504" s="87"/>
    </row>
    <row r="505" spans="1:9">
      <c r="A505" s="317" t="s">
        <v>1284</v>
      </c>
      <c r="B505" s="301">
        <f t="shared" si="1"/>
        <v>139</v>
      </c>
      <c r="C505" s="318">
        <v>226</v>
      </c>
      <c r="D505" s="87"/>
      <c r="E505" s="329"/>
      <c r="F505" s="87"/>
      <c r="G505" s="87"/>
      <c r="H505" s="87"/>
      <c r="I505" s="87"/>
    </row>
    <row r="506" spans="1:9">
      <c r="A506" s="317" t="s">
        <v>1285</v>
      </c>
      <c r="B506" s="301">
        <f t="shared" si="1"/>
        <v>140</v>
      </c>
      <c r="C506" s="318">
        <v>225</v>
      </c>
      <c r="D506" s="87"/>
      <c r="E506" s="330"/>
      <c r="F506" s="87"/>
      <c r="G506" s="87"/>
      <c r="H506" s="87"/>
      <c r="I506" s="87"/>
    </row>
    <row r="507" spans="1:9">
      <c r="A507" s="317" t="s">
        <v>1286</v>
      </c>
      <c r="B507" s="301">
        <f t="shared" si="1"/>
        <v>141</v>
      </c>
      <c r="C507" s="318">
        <v>224</v>
      </c>
      <c r="D507" s="304">
        <f>B507-B503+1</f>
        <v>5</v>
      </c>
      <c r="E507" s="330">
        <f>C503-C507+1</f>
        <v>5</v>
      </c>
      <c r="F507" s="87"/>
      <c r="G507" s="87"/>
      <c r="H507" s="87"/>
      <c r="I507" s="87"/>
    </row>
    <row r="508" spans="1:9">
      <c r="A508" s="313" t="s">
        <v>1287</v>
      </c>
      <c r="B508" s="298">
        <f t="shared" si="1"/>
        <v>142</v>
      </c>
      <c r="C508" s="314">
        <v>223</v>
      </c>
      <c r="D508" s="87"/>
      <c r="E508" s="328"/>
      <c r="F508" s="87"/>
      <c r="G508" s="87"/>
      <c r="H508" s="87"/>
      <c r="I508" s="87"/>
    </row>
    <row r="509" spans="1:9">
      <c r="A509" s="315" t="s">
        <v>1288</v>
      </c>
      <c r="B509" s="295">
        <f t="shared" si="1"/>
        <v>143</v>
      </c>
      <c r="C509" s="316">
        <v>222</v>
      </c>
      <c r="D509" s="87"/>
      <c r="E509" s="328"/>
      <c r="F509" s="87"/>
      <c r="G509" s="87"/>
      <c r="H509" s="87"/>
      <c r="I509" s="87"/>
    </row>
    <row r="510" spans="1:9">
      <c r="A510" s="313" t="s">
        <v>1289</v>
      </c>
      <c r="B510" s="298">
        <f t="shared" si="1"/>
        <v>144</v>
      </c>
      <c r="C510" s="314">
        <v>221</v>
      </c>
      <c r="D510" s="87"/>
      <c r="E510" s="328"/>
      <c r="F510" s="87"/>
      <c r="G510" s="87"/>
      <c r="H510" s="87"/>
      <c r="I510" s="87"/>
    </row>
    <row r="511" spans="1:9">
      <c r="A511" s="315" t="s">
        <v>1290</v>
      </c>
      <c r="B511" s="295">
        <f t="shared" si="1"/>
        <v>145</v>
      </c>
      <c r="C511" s="316">
        <v>220</v>
      </c>
      <c r="D511" s="87"/>
      <c r="E511" s="328"/>
      <c r="F511" s="87"/>
      <c r="G511" s="87"/>
      <c r="H511" s="87"/>
      <c r="I511" s="87"/>
    </row>
    <row r="512" spans="1:9">
      <c r="A512" s="313" t="s">
        <v>1291</v>
      </c>
      <c r="B512" s="298">
        <f t="shared" ref="B512:B766" si="2">365-C512</f>
        <v>146</v>
      </c>
      <c r="C512" s="314">
        <v>219</v>
      </c>
      <c r="D512" s="87"/>
      <c r="E512" s="328"/>
      <c r="F512" s="87"/>
      <c r="G512" s="87"/>
      <c r="H512" s="87"/>
      <c r="I512" s="87"/>
    </row>
    <row r="513" spans="1:9">
      <c r="A513" s="315" t="s">
        <v>1292</v>
      </c>
      <c r="B513" s="295">
        <f t="shared" si="2"/>
        <v>147</v>
      </c>
      <c r="C513" s="316">
        <v>218</v>
      </c>
      <c r="D513" s="87"/>
      <c r="E513" s="328"/>
      <c r="F513" s="87"/>
      <c r="G513" s="87"/>
      <c r="H513" s="87"/>
      <c r="I513" s="87"/>
    </row>
    <row r="514" spans="1:9">
      <c r="A514" s="313" t="s">
        <v>1293</v>
      </c>
      <c r="B514" s="298">
        <f t="shared" si="2"/>
        <v>148</v>
      </c>
      <c r="C514" s="314">
        <v>217</v>
      </c>
      <c r="D514" s="87"/>
      <c r="E514" s="328"/>
      <c r="F514" s="87"/>
      <c r="G514" s="87"/>
      <c r="H514" s="87"/>
      <c r="I514" s="87"/>
    </row>
    <row r="515" spans="1:9">
      <c r="A515" s="315" t="s">
        <v>1294</v>
      </c>
      <c r="B515" s="295">
        <f t="shared" si="2"/>
        <v>149</v>
      </c>
      <c r="C515" s="316">
        <v>216</v>
      </c>
      <c r="D515" s="87"/>
      <c r="E515" s="328"/>
      <c r="F515" s="87"/>
      <c r="G515" s="87"/>
      <c r="H515" s="87"/>
      <c r="I515" s="87"/>
    </row>
    <row r="516" spans="1:9">
      <c r="A516" s="313" t="s">
        <v>1295</v>
      </c>
      <c r="B516" s="298">
        <f t="shared" si="2"/>
        <v>150</v>
      </c>
      <c r="C516" s="314">
        <v>215</v>
      </c>
      <c r="D516" s="87"/>
      <c r="E516" s="328"/>
      <c r="F516" s="87"/>
      <c r="G516" s="87"/>
      <c r="H516" s="87"/>
      <c r="I516" s="87"/>
    </row>
    <row r="517" spans="1:9">
      <c r="A517" s="315" t="s">
        <v>1296</v>
      </c>
      <c r="B517" s="295">
        <f t="shared" si="2"/>
        <v>151</v>
      </c>
      <c r="C517" s="316">
        <v>214</v>
      </c>
      <c r="D517" s="87"/>
      <c r="E517" s="328"/>
      <c r="F517" s="87"/>
      <c r="G517" s="87"/>
      <c r="H517" s="87"/>
      <c r="I517" s="87"/>
    </row>
    <row r="518" spans="1:9">
      <c r="A518" s="313" t="s">
        <v>1297</v>
      </c>
      <c r="B518" s="298">
        <f t="shared" si="2"/>
        <v>152</v>
      </c>
      <c r="C518" s="314">
        <v>213</v>
      </c>
      <c r="D518" s="87"/>
      <c r="E518" s="328"/>
      <c r="F518" s="87"/>
      <c r="G518" s="87"/>
      <c r="H518" s="87"/>
      <c r="I518" s="87"/>
    </row>
    <row r="519" spans="1:9">
      <c r="A519" s="315" t="s">
        <v>1298</v>
      </c>
      <c r="B519" s="295">
        <f t="shared" si="2"/>
        <v>153</v>
      </c>
      <c r="C519" s="316">
        <v>212</v>
      </c>
      <c r="D519" s="87"/>
      <c r="E519" s="328"/>
      <c r="F519" s="87"/>
      <c r="G519" s="87"/>
      <c r="H519" s="87"/>
      <c r="I519" s="87"/>
    </row>
    <row r="520" spans="1:9">
      <c r="A520" s="313" t="s">
        <v>1299</v>
      </c>
      <c r="B520" s="298">
        <f t="shared" si="2"/>
        <v>154</v>
      </c>
      <c r="C520" s="314">
        <v>211</v>
      </c>
      <c r="D520" s="87"/>
      <c r="E520" s="328"/>
      <c r="F520" s="87"/>
      <c r="G520" s="87"/>
      <c r="H520" s="87"/>
      <c r="I520" s="87"/>
    </row>
    <row r="521" spans="1:9">
      <c r="A521" s="315" t="s">
        <v>1300</v>
      </c>
      <c r="B521" s="295">
        <f t="shared" si="2"/>
        <v>155</v>
      </c>
      <c r="C521" s="316">
        <v>210</v>
      </c>
      <c r="D521" s="87"/>
      <c r="E521" s="328"/>
      <c r="F521" s="87"/>
      <c r="G521" s="87"/>
      <c r="H521" s="87"/>
      <c r="I521" s="87"/>
    </row>
    <row r="522" spans="1:9">
      <c r="A522" s="313" t="s">
        <v>1301</v>
      </c>
      <c r="B522" s="298">
        <f t="shared" si="2"/>
        <v>156</v>
      </c>
      <c r="C522" s="314">
        <v>209</v>
      </c>
      <c r="D522" s="87"/>
      <c r="E522" s="328"/>
      <c r="F522" s="87"/>
      <c r="G522" s="87"/>
      <c r="H522" s="87"/>
      <c r="I522" s="87"/>
    </row>
    <row r="523" spans="1:9">
      <c r="A523" s="317" t="s">
        <v>1302</v>
      </c>
      <c r="B523" s="301">
        <f t="shared" si="2"/>
        <v>157</v>
      </c>
      <c r="C523" s="318">
        <v>208</v>
      </c>
      <c r="D523" s="87"/>
      <c r="E523" s="329"/>
      <c r="F523" s="87"/>
      <c r="G523" s="87"/>
      <c r="H523" s="87"/>
      <c r="I523" s="87"/>
    </row>
    <row r="524" spans="1:9">
      <c r="A524" s="317" t="s">
        <v>1303</v>
      </c>
      <c r="B524" s="301">
        <f t="shared" si="2"/>
        <v>158</v>
      </c>
      <c r="C524" s="318">
        <v>207</v>
      </c>
      <c r="D524" s="87"/>
      <c r="E524" s="329"/>
      <c r="F524" s="87"/>
      <c r="G524" s="87"/>
      <c r="H524" s="87"/>
      <c r="I524" s="87"/>
    </row>
    <row r="525" spans="1:9">
      <c r="A525" s="317" t="s">
        <v>1304</v>
      </c>
      <c r="B525" s="301">
        <f t="shared" si="2"/>
        <v>159</v>
      </c>
      <c r="C525" s="318">
        <v>206</v>
      </c>
      <c r="D525" s="87"/>
      <c r="E525" s="329"/>
      <c r="F525" s="87"/>
      <c r="G525" s="87"/>
      <c r="H525" s="87"/>
      <c r="I525" s="87"/>
    </row>
    <row r="526" spans="1:9">
      <c r="A526" s="317" t="s">
        <v>1305</v>
      </c>
      <c r="B526" s="301">
        <f t="shared" si="2"/>
        <v>160</v>
      </c>
      <c r="C526" s="318">
        <v>205</v>
      </c>
      <c r="D526" s="87"/>
      <c r="E526" s="329"/>
      <c r="F526" s="87"/>
      <c r="G526" s="87"/>
      <c r="H526" s="87"/>
      <c r="I526" s="87"/>
    </row>
    <row r="527" spans="1:9">
      <c r="A527" s="317" t="s">
        <v>1306</v>
      </c>
      <c r="B527" s="301">
        <f t="shared" si="2"/>
        <v>161</v>
      </c>
      <c r="C527" s="318">
        <v>204</v>
      </c>
      <c r="D527" s="87"/>
      <c r="E527" s="329"/>
      <c r="F527" s="87"/>
      <c r="G527" s="87"/>
      <c r="H527" s="87"/>
      <c r="I527" s="87"/>
    </row>
    <row r="528" spans="1:9">
      <c r="A528" s="317" t="s">
        <v>1307</v>
      </c>
      <c r="B528" s="301">
        <f t="shared" si="2"/>
        <v>162</v>
      </c>
      <c r="C528" s="318">
        <v>203</v>
      </c>
      <c r="D528" s="87"/>
      <c r="E528" s="329"/>
      <c r="F528" s="87"/>
      <c r="G528" s="87"/>
      <c r="H528" s="87"/>
      <c r="I528" s="87"/>
    </row>
    <row r="529" spans="1:9">
      <c r="A529" s="317" t="s">
        <v>1308</v>
      </c>
      <c r="B529" s="301">
        <f t="shared" si="2"/>
        <v>163</v>
      </c>
      <c r="C529" s="318">
        <v>202</v>
      </c>
      <c r="D529" s="87"/>
      <c r="E529" s="329"/>
      <c r="F529" s="87"/>
      <c r="G529" s="87"/>
      <c r="H529" s="87"/>
      <c r="I529" s="87"/>
    </row>
    <row r="530" spans="1:9">
      <c r="A530" s="317" t="s">
        <v>1309</v>
      </c>
      <c r="B530" s="301">
        <f t="shared" si="2"/>
        <v>164</v>
      </c>
      <c r="C530" s="318">
        <v>201</v>
      </c>
      <c r="D530" s="87"/>
      <c r="E530" s="329"/>
      <c r="F530" s="87"/>
      <c r="G530" s="87"/>
      <c r="H530" s="87"/>
      <c r="I530" s="87"/>
    </row>
    <row r="531" spans="1:9">
      <c r="A531" s="317" t="s">
        <v>1310</v>
      </c>
      <c r="B531" s="301">
        <f t="shared" si="2"/>
        <v>165</v>
      </c>
      <c r="C531" s="318">
        <v>200</v>
      </c>
      <c r="D531" s="87"/>
      <c r="E531" s="329"/>
      <c r="F531" s="87"/>
      <c r="G531" s="87"/>
      <c r="H531" s="87"/>
      <c r="I531" s="87"/>
    </row>
    <row r="532" spans="1:9">
      <c r="A532" s="317" t="s">
        <v>1311</v>
      </c>
      <c r="B532" s="301">
        <f t="shared" si="2"/>
        <v>166</v>
      </c>
      <c r="C532" s="318">
        <v>199</v>
      </c>
      <c r="D532" s="87"/>
      <c r="E532" s="329"/>
      <c r="F532" s="87"/>
      <c r="G532" s="87"/>
      <c r="H532" s="87"/>
      <c r="I532" s="87"/>
    </row>
    <row r="533" spans="1:9">
      <c r="A533" s="317" t="s">
        <v>1312</v>
      </c>
      <c r="B533" s="301">
        <f t="shared" si="2"/>
        <v>167</v>
      </c>
      <c r="C533" s="318">
        <v>198</v>
      </c>
      <c r="D533" s="87"/>
      <c r="E533" s="329"/>
      <c r="F533" s="87"/>
      <c r="G533" s="87"/>
      <c r="H533" s="87"/>
      <c r="I533" s="87"/>
    </row>
    <row r="534" spans="1:9">
      <c r="A534" s="317" t="s">
        <v>1313</v>
      </c>
      <c r="B534" s="301">
        <f t="shared" si="2"/>
        <v>168</v>
      </c>
      <c r="C534" s="318">
        <v>197</v>
      </c>
      <c r="D534" s="87"/>
      <c r="E534" s="329"/>
      <c r="F534" s="87"/>
      <c r="G534" s="87"/>
      <c r="H534" s="87"/>
      <c r="I534" s="87"/>
    </row>
    <row r="535" spans="1:9">
      <c r="A535" s="317" t="s">
        <v>1314</v>
      </c>
      <c r="B535" s="301">
        <f t="shared" si="2"/>
        <v>169</v>
      </c>
      <c r="C535" s="318">
        <v>196</v>
      </c>
      <c r="D535" s="87"/>
      <c r="E535" s="329"/>
      <c r="F535" s="87"/>
      <c r="G535" s="87"/>
      <c r="H535" s="87"/>
      <c r="I535" s="87"/>
    </row>
    <row r="536" spans="1:9">
      <c r="A536" s="317" t="s">
        <v>1315</v>
      </c>
      <c r="B536" s="301">
        <f t="shared" si="2"/>
        <v>170</v>
      </c>
      <c r="C536" s="318">
        <v>195</v>
      </c>
      <c r="D536" s="87"/>
      <c r="E536" s="329"/>
      <c r="F536" s="87"/>
      <c r="G536" s="87"/>
      <c r="H536" s="87"/>
      <c r="I536" s="87"/>
    </row>
    <row r="537" spans="1:9">
      <c r="A537" s="317" t="s">
        <v>1316</v>
      </c>
      <c r="B537" s="301">
        <f t="shared" si="2"/>
        <v>171</v>
      </c>
      <c r="C537" s="318">
        <v>194</v>
      </c>
      <c r="D537" s="87"/>
      <c r="E537" s="329"/>
      <c r="F537" s="87"/>
      <c r="G537" s="87"/>
      <c r="H537" s="87"/>
      <c r="I537" s="87"/>
    </row>
    <row r="538" spans="1:9">
      <c r="A538" s="317" t="s">
        <v>1317</v>
      </c>
      <c r="B538" s="301">
        <f t="shared" si="2"/>
        <v>172</v>
      </c>
      <c r="C538" s="318">
        <v>193</v>
      </c>
      <c r="D538" s="87"/>
      <c r="E538" s="329"/>
      <c r="F538" s="87"/>
      <c r="G538" s="87"/>
      <c r="H538" s="87"/>
      <c r="I538" s="87"/>
    </row>
    <row r="539" spans="1:9">
      <c r="A539" s="317" t="s">
        <v>1318</v>
      </c>
      <c r="B539" s="301">
        <f t="shared" si="2"/>
        <v>173</v>
      </c>
      <c r="C539" s="318">
        <v>192</v>
      </c>
      <c r="D539" s="87"/>
      <c r="E539" s="329"/>
      <c r="F539" s="87"/>
      <c r="G539" s="87"/>
      <c r="H539" s="87"/>
      <c r="I539" s="87"/>
    </row>
    <row r="540" spans="1:9">
      <c r="A540" s="317" t="s">
        <v>1319</v>
      </c>
      <c r="B540" s="301">
        <f t="shared" si="2"/>
        <v>174</v>
      </c>
      <c r="C540" s="318">
        <v>191</v>
      </c>
      <c r="D540" s="87"/>
      <c r="E540" s="329"/>
      <c r="F540" s="87"/>
      <c r="G540" s="87"/>
      <c r="H540" s="87"/>
      <c r="I540" s="87"/>
    </row>
    <row r="541" spans="1:9">
      <c r="A541" s="317" t="s">
        <v>1320</v>
      </c>
      <c r="B541" s="301">
        <f t="shared" si="2"/>
        <v>175</v>
      </c>
      <c r="C541" s="318">
        <v>190</v>
      </c>
      <c r="D541" s="87"/>
      <c r="E541" s="329"/>
      <c r="F541" s="87"/>
      <c r="G541" s="87"/>
      <c r="H541" s="87"/>
      <c r="I541" s="87"/>
    </row>
    <row r="542" spans="1:9">
      <c r="A542" s="317" t="s">
        <v>1321</v>
      </c>
      <c r="B542" s="301">
        <f t="shared" si="2"/>
        <v>176</v>
      </c>
      <c r="C542" s="318">
        <v>189</v>
      </c>
      <c r="D542" s="87"/>
      <c r="E542" s="329"/>
      <c r="F542" s="87"/>
      <c r="G542" s="87"/>
      <c r="H542" s="87"/>
      <c r="I542" s="87"/>
    </row>
    <row r="543" spans="1:9">
      <c r="A543" s="317" t="s">
        <v>1322</v>
      </c>
      <c r="B543" s="301">
        <f t="shared" si="2"/>
        <v>177</v>
      </c>
      <c r="C543" s="318">
        <v>188</v>
      </c>
      <c r="D543" s="87"/>
      <c r="E543" s="329"/>
      <c r="F543" s="87"/>
      <c r="G543" s="87"/>
      <c r="H543" s="87"/>
      <c r="I543" s="87"/>
    </row>
    <row r="544" spans="1:9">
      <c r="A544" s="317" t="s">
        <v>1323</v>
      </c>
      <c r="B544" s="301">
        <f t="shared" si="2"/>
        <v>178</v>
      </c>
      <c r="C544" s="318">
        <v>187</v>
      </c>
      <c r="D544" s="87"/>
      <c r="E544" s="329"/>
      <c r="F544" s="87"/>
      <c r="G544" s="87"/>
      <c r="H544" s="87"/>
      <c r="I544" s="87"/>
    </row>
    <row r="545" spans="1:9">
      <c r="A545" s="317" t="s">
        <v>1324</v>
      </c>
      <c r="B545" s="301">
        <f t="shared" si="2"/>
        <v>179</v>
      </c>
      <c r="C545" s="318">
        <v>186</v>
      </c>
      <c r="D545" s="87"/>
      <c r="E545" s="329"/>
      <c r="F545" s="87"/>
      <c r="G545" s="87"/>
      <c r="H545" s="87"/>
      <c r="I545" s="87"/>
    </row>
    <row r="546" spans="1:9">
      <c r="A546" s="317" t="s">
        <v>1325</v>
      </c>
      <c r="B546" s="301">
        <f t="shared" si="2"/>
        <v>180</v>
      </c>
      <c r="C546" s="318">
        <v>185</v>
      </c>
      <c r="D546" s="87"/>
      <c r="E546" s="329"/>
      <c r="F546" s="87"/>
      <c r="G546" s="87"/>
      <c r="H546" s="87"/>
      <c r="I546" s="87"/>
    </row>
    <row r="547" spans="1:9">
      <c r="A547" s="317" t="s">
        <v>1326</v>
      </c>
      <c r="B547" s="301">
        <f t="shared" si="2"/>
        <v>181</v>
      </c>
      <c r="C547" s="318">
        <v>184</v>
      </c>
      <c r="D547" s="87"/>
      <c r="E547" s="329"/>
      <c r="F547" s="87"/>
      <c r="G547" s="87"/>
      <c r="H547" s="87"/>
      <c r="I547" s="87"/>
    </row>
    <row r="548" spans="1:9">
      <c r="A548" s="317" t="s">
        <v>1327</v>
      </c>
      <c r="B548" s="301">
        <f t="shared" si="2"/>
        <v>182</v>
      </c>
      <c r="C548" s="318">
        <v>183</v>
      </c>
      <c r="D548" s="87"/>
      <c r="E548" s="329"/>
      <c r="F548" s="87"/>
      <c r="G548" s="87"/>
      <c r="H548" s="87"/>
      <c r="I548" s="87"/>
    </row>
    <row r="549" spans="1:9">
      <c r="A549" s="317" t="s">
        <v>1328</v>
      </c>
      <c r="B549" s="301">
        <f t="shared" si="2"/>
        <v>183</v>
      </c>
      <c r="C549" s="318">
        <v>182</v>
      </c>
      <c r="D549" s="87"/>
      <c r="E549" s="329"/>
      <c r="F549" s="87"/>
      <c r="G549" s="87"/>
      <c r="H549" s="87"/>
      <c r="I549" s="87"/>
    </row>
    <row r="550" spans="1:9">
      <c r="A550" s="317" t="s">
        <v>1329</v>
      </c>
      <c r="B550" s="301">
        <f t="shared" si="2"/>
        <v>184</v>
      </c>
      <c r="C550" s="318">
        <v>181</v>
      </c>
      <c r="D550" s="87"/>
      <c r="E550" s="329"/>
      <c r="F550" s="87"/>
      <c r="G550" s="87"/>
      <c r="H550" s="87"/>
      <c r="I550" s="87"/>
    </row>
    <row r="551" spans="1:9">
      <c r="A551" s="317" t="s">
        <v>1330</v>
      </c>
      <c r="B551" s="301">
        <f t="shared" si="2"/>
        <v>185</v>
      </c>
      <c r="C551" s="318">
        <v>180</v>
      </c>
      <c r="D551" s="87"/>
      <c r="E551" s="329"/>
      <c r="F551" s="87"/>
      <c r="G551" s="87"/>
      <c r="H551" s="87"/>
      <c r="I551" s="87"/>
    </row>
    <row r="552" spans="1:9">
      <c r="A552" s="317" t="s">
        <v>1331</v>
      </c>
      <c r="B552" s="301">
        <f t="shared" si="2"/>
        <v>186</v>
      </c>
      <c r="C552" s="318">
        <v>179</v>
      </c>
      <c r="D552" s="87"/>
      <c r="E552" s="329"/>
      <c r="F552" s="87"/>
      <c r="G552" s="87"/>
      <c r="H552" s="87"/>
      <c r="I552" s="87"/>
    </row>
    <row r="553" spans="1:9">
      <c r="A553" s="317" t="s">
        <v>1332</v>
      </c>
      <c r="B553" s="301">
        <f t="shared" si="2"/>
        <v>187</v>
      </c>
      <c r="C553" s="318">
        <v>178</v>
      </c>
      <c r="D553" s="87"/>
      <c r="E553" s="329"/>
      <c r="F553" s="87"/>
      <c r="G553" s="87"/>
      <c r="H553" s="87"/>
      <c r="I553" s="87"/>
    </row>
    <row r="554" spans="1:9">
      <c r="A554" s="317" t="s">
        <v>1333</v>
      </c>
      <c r="B554" s="301">
        <f t="shared" si="2"/>
        <v>188</v>
      </c>
      <c r="C554" s="318">
        <v>177</v>
      </c>
      <c r="D554" s="87"/>
      <c r="E554" s="329"/>
      <c r="F554" s="87"/>
      <c r="G554" s="87"/>
      <c r="H554" s="87"/>
      <c r="I554" s="87"/>
    </row>
    <row r="555" spans="1:9">
      <c r="A555" s="319" t="s">
        <v>1334</v>
      </c>
      <c r="B555" s="303">
        <f t="shared" si="2"/>
        <v>189</v>
      </c>
      <c r="C555" s="320">
        <v>176</v>
      </c>
      <c r="D555" s="304">
        <f>B555-B523+1</f>
        <v>33</v>
      </c>
      <c r="E555" s="330">
        <f>C523-C555+1</f>
        <v>33</v>
      </c>
      <c r="F555" s="87"/>
      <c r="G555" s="87"/>
      <c r="H555" s="87"/>
      <c r="I555" s="87"/>
    </row>
    <row r="556" spans="1:9">
      <c r="A556" s="313" t="s">
        <v>1335</v>
      </c>
      <c r="B556" s="298">
        <f t="shared" si="2"/>
        <v>190</v>
      </c>
      <c r="C556" s="314">
        <v>175</v>
      </c>
      <c r="D556" s="87"/>
      <c r="E556" s="328"/>
      <c r="F556" s="87"/>
      <c r="G556" s="87"/>
      <c r="H556" s="87"/>
      <c r="I556" s="87"/>
    </row>
    <row r="557" spans="1:9">
      <c r="A557" s="315" t="s">
        <v>1336</v>
      </c>
      <c r="B557" s="295">
        <f t="shared" si="2"/>
        <v>191</v>
      </c>
      <c r="C557" s="316">
        <v>174</v>
      </c>
      <c r="D557" s="87"/>
      <c r="E557" s="328"/>
      <c r="F557" s="87"/>
      <c r="G557" s="87"/>
      <c r="H557" s="87"/>
      <c r="I557" s="87"/>
    </row>
    <row r="558" spans="1:9">
      <c r="A558" s="313" t="s">
        <v>1337</v>
      </c>
      <c r="B558" s="298">
        <f t="shared" si="2"/>
        <v>192</v>
      </c>
      <c r="C558" s="314">
        <v>173</v>
      </c>
      <c r="D558" s="87"/>
      <c r="E558" s="328"/>
      <c r="F558" s="87"/>
      <c r="G558" s="87"/>
      <c r="H558" s="87"/>
      <c r="I558" s="87"/>
    </row>
    <row r="559" spans="1:9">
      <c r="A559" s="315" t="s">
        <v>1338</v>
      </c>
      <c r="B559" s="295">
        <f t="shared" si="2"/>
        <v>193</v>
      </c>
      <c r="C559" s="316">
        <v>172</v>
      </c>
      <c r="D559" s="87"/>
      <c r="E559" s="328"/>
      <c r="F559" s="87"/>
      <c r="G559" s="87"/>
      <c r="H559" s="87"/>
      <c r="I559" s="87"/>
    </row>
    <row r="560" spans="1:9">
      <c r="A560" s="313" t="s">
        <v>1339</v>
      </c>
      <c r="B560" s="298">
        <f t="shared" si="2"/>
        <v>194</v>
      </c>
      <c r="C560" s="314">
        <v>171</v>
      </c>
      <c r="D560" s="87"/>
      <c r="E560" s="328"/>
      <c r="F560" s="87"/>
      <c r="G560" s="87"/>
      <c r="H560" s="87"/>
      <c r="I560" s="87"/>
    </row>
    <row r="561" spans="1:9">
      <c r="A561" s="315" t="s">
        <v>1340</v>
      </c>
      <c r="B561" s="295">
        <f t="shared" si="2"/>
        <v>195</v>
      </c>
      <c r="C561" s="316">
        <v>170</v>
      </c>
      <c r="D561" s="87"/>
      <c r="E561" s="328"/>
      <c r="F561" s="87"/>
      <c r="G561" s="87"/>
      <c r="H561" s="87"/>
      <c r="I561" s="87"/>
    </row>
    <row r="562" spans="1:9">
      <c r="A562" s="313" t="s">
        <v>1341</v>
      </c>
      <c r="B562" s="298">
        <f t="shared" si="2"/>
        <v>196</v>
      </c>
      <c r="C562" s="314">
        <v>169</v>
      </c>
      <c r="D562" s="87"/>
      <c r="E562" s="328"/>
      <c r="F562" s="87"/>
      <c r="G562" s="87"/>
      <c r="H562" s="87"/>
      <c r="I562" s="87"/>
    </row>
    <row r="563" spans="1:9">
      <c r="A563" s="315" t="s">
        <v>1342</v>
      </c>
      <c r="B563" s="295">
        <f t="shared" si="2"/>
        <v>197</v>
      </c>
      <c r="C563" s="316">
        <v>168</v>
      </c>
      <c r="D563" s="87"/>
      <c r="E563" s="328"/>
      <c r="F563" s="87"/>
      <c r="G563" s="87"/>
      <c r="H563" s="87"/>
      <c r="I563" s="87"/>
    </row>
    <row r="564" spans="1:9">
      <c r="A564" s="313" t="s">
        <v>1343</v>
      </c>
      <c r="B564" s="298">
        <f t="shared" si="2"/>
        <v>198</v>
      </c>
      <c r="C564" s="314">
        <v>167</v>
      </c>
      <c r="D564" s="87"/>
      <c r="E564" s="328"/>
      <c r="F564" s="87"/>
      <c r="G564" s="87"/>
      <c r="H564" s="87"/>
      <c r="I564" s="87"/>
    </row>
    <row r="565" spans="1:9">
      <c r="A565" s="315" t="s">
        <v>1344</v>
      </c>
      <c r="B565" s="295">
        <f t="shared" si="2"/>
        <v>199</v>
      </c>
      <c r="C565" s="316">
        <v>166</v>
      </c>
      <c r="D565" s="87"/>
      <c r="E565" s="328"/>
      <c r="F565" s="87"/>
      <c r="G565" s="87"/>
      <c r="H565" s="87"/>
      <c r="I565" s="87"/>
    </row>
    <row r="566" spans="1:9">
      <c r="A566" s="313" t="s">
        <v>1345</v>
      </c>
      <c r="B566" s="298">
        <f t="shared" si="2"/>
        <v>200</v>
      </c>
      <c r="C566" s="314">
        <v>165</v>
      </c>
      <c r="D566" s="87"/>
      <c r="E566" s="328"/>
      <c r="F566" s="87"/>
      <c r="G566" s="87"/>
      <c r="H566" s="87"/>
      <c r="I566" s="87"/>
    </row>
    <row r="567" spans="1:9">
      <c r="A567" s="315" t="s">
        <v>1346</v>
      </c>
      <c r="B567" s="295">
        <f t="shared" si="2"/>
        <v>201</v>
      </c>
      <c r="C567" s="316">
        <v>164</v>
      </c>
      <c r="D567" s="87"/>
      <c r="E567" s="328"/>
      <c r="F567" s="87"/>
      <c r="G567" s="87"/>
      <c r="H567" s="87"/>
      <c r="I567" s="87"/>
    </row>
    <row r="568" spans="1:9">
      <c r="A568" s="313" t="s">
        <v>1347</v>
      </c>
      <c r="B568" s="298">
        <f t="shared" si="2"/>
        <v>202</v>
      </c>
      <c r="C568" s="314">
        <v>163</v>
      </c>
      <c r="D568" s="87"/>
      <c r="E568" s="328"/>
      <c r="F568" s="87"/>
      <c r="G568" s="87"/>
      <c r="H568" s="87"/>
      <c r="I568" s="87"/>
    </row>
    <row r="569" spans="1:9">
      <c r="A569" s="315" t="s">
        <v>1348</v>
      </c>
      <c r="B569" s="295">
        <f t="shared" si="2"/>
        <v>203</v>
      </c>
      <c r="C569" s="316">
        <v>162</v>
      </c>
      <c r="D569" s="87"/>
      <c r="E569" s="328"/>
      <c r="F569" s="87"/>
      <c r="G569" s="87"/>
      <c r="H569" s="87"/>
      <c r="I569" s="87"/>
    </row>
    <row r="570" spans="1:9">
      <c r="A570" s="313" t="s">
        <v>1349</v>
      </c>
      <c r="B570" s="298">
        <f t="shared" si="2"/>
        <v>204</v>
      </c>
      <c r="C570" s="314">
        <v>161</v>
      </c>
      <c r="D570" s="87"/>
      <c r="E570" s="328"/>
      <c r="F570" s="87"/>
      <c r="G570" s="87"/>
      <c r="H570" s="87"/>
      <c r="I570" s="87"/>
    </row>
    <row r="571" spans="1:9">
      <c r="A571" s="315" t="s">
        <v>1350</v>
      </c>
      <c r="B571" s="295">
        <f t="shared" si="2"/>
        <v>205</v>
      </c>
      <c r="C571" s="316">
        <v>160</v>
      </c>
      <c r="D571" s="87"/>
      <c r="E571" s="328"/>
      <c r="F571" s="87"/>
      <c r="G571" s="87"/>
      <c r="H571" s="87"/>
      <c r="I571" s="87"/>
    </row>
    <row r="572" spans="1:9">
      <c r="A572" s="313" t="s">
        <v>1351</v>
      </c>
      <c r="B572" s="298">
        <f t="shared" si="2"/>
        <v>206</v>
      </c>
      <c r="C572" s="314">
        <v>159</v>
      </c>
      <c r="D572" s="87"/>
      <c r="E572" s="328"/>
      <c r="F572" s="87"/>
      <c r="G572" s="87"/>
      <c r="H572" s="87"/>
      <c r="I572" s="87"/>
    </row>
    <row r="573" spans="1:9">
      <c r="A573" s="317" t="s">
        <v>1352</v>
      </c>
      <c r="B573" s="301">
        <f t="shared" si="2"/>
        <v>207</v>
      </c>
      <c r="C573" s="318">
        <v>158</v>
      </c>
      <c r="D573" s="87"/>
      <c r="E573" s="329"/>
      <c r="F573" s="87"/>
      <c r="G573" s="87"/>
      <c r="H573" s="87"/>
      <c r="I573" s="87"/>
    </row>
    <row r="574" spans="1:9">
      <c r="A574" s="317" t="s">
        <v>1353</v>
      </c>
      <c r="B574" s="301">
        <f t="shared" si="2"/>
        <v>208</v>
      </c>
      <c r="C574" s="318">
        <v>157</v>
      </c>
      <c r="D574" s="87"/>
      <c r="E574" s="329"/>
      <c r="F574" s="87"/>
      <c r="G574" s="87"/>
      <c r="H574" s="87"/>
      <c r="I574" s="87"/>
    </row>
    <row r="575" spans="1:9">
      <c r="A575" s="317" t="s">
        <v>1354</v>
      </c>
      <c r="B575" s="301">
        <f t="shared" si="2"/>
        <v>209</v>
      </c>
      <c r="C575" s="318">
        <v>156</v>
      </c>
      <c r="D575" s="87"/>
      <c r="E575" s="329"/>
      <c r="F575" s="87"/>
      <c r="G575" s="87"/>
      <c r="H575" s="87"/>
      <c r="I575" s="87"/>
    </row>
    <row r="576" spans="1:9">
      <c r="A576" s="317" t="s">
        <v>1355</v>
      </c>
      <c r="B576" s="301">
        <f t="shared" si="2"/>
        <v>210</v>
      </c>
      <c r="C576" s="318">
        <v>155</v>
      </c>
      <c r="D576" s="87"/>
      <c r="E576" s="329"/>
      <c r="F576" s="87"/>
      <c r="G576" s="87"/>
      <c r="H576" s="87"/>
      <c r="I576" s="87"/>
    </row>
    <row r="577" spans="1:9">
      <c r="A577" s="317" t="s">
        <v>1356</v>
      </c>
      <c r="B577" s="301">
        <f t="shared" si="2"/>
        <v>211</v>
      </c>
      <c r="C577" s="318">
        <v>154</v>
      </c>
      <c r="D577" s="87"/>
      <c r="E577" s="329"/>
      <c r="F577" s="87"/>
      <c r="G577" s="87"/>
      <c r="H577" s="87"/>
      <c r="I577" s="87"/>
    </row>
    <row r="578" spans="1:9">
      <c r="A578" s="317" t="s">
        <v>1357</v>
      </c>
      <c r="B578" s="301">
        <f t="shared" si="2"/>
        <v>212</v>
      </c>
      <c r="C578" s="318">
        <v>153</v>
      </c>
      <c r="D578" s="87"/>
      <c r="E578" s="329"/>
      <c r="F578" s="87"/>
      <c r="G578" s="87"/>
      <c r="H578" s="87"/>
      <c r="I578" s="87"/>
    </row>
    <row r="579" spans="1:9">
      <c r="A579" s="317" t="s">
        <v>1358</v>
      </c>
      <c r="B579" s="301">
        <f t="shared" si="2"/>
        <v>213</v>
      </c>
      <c r="C579" s="318">
        <v>152</v>
      </c>
      <c r="D579" s="87"/>
      <c r="E579" s="329"/>
      <c r="F579" s="87"/>
      <c r="G579" s="87"/>
      <c r="H579" s="87"/>
      <c r="I579" s="87"/>
    </row>
    <row r="580" spans="1:9">
      <c r="A580" s="317" t="s">
        <v>1359</v>
      </c>
      <c r="B580" s="301">
        <f t="shared" si="2"/>
        <v>214</v>
      </c>
      <c r="C580" s="318">
        <v>151</v>
      </c>
      <c r="D580" s="87"/>
      <c r="E580" s="329"/>
      <c r="F580" s="87"/>
      <c r="G580" s="87"/>
      <c r="H580" s="87"/>
      <c r="I580" s="87"/>
    </row>
    <row r="581" spans="1:9">
      <c r="A581" s="317" t="s">
        <v>1360</v>
      </c>
      <c r="B581" s="301">
        <f t="shared" si="2"/>
        <v>215</v>
      </c>
      <c r="C581" s="318">
        <v>150</v>
      </c>
      <c r="D581" s="87"/>
      <c r="E581" s="329"/>
      <c r="F581" s="87"/>
      <c r="G581" s="87"/>
      <c r="H581" s="87"/>
      <c r="I581" s="87"/>
    </row>
    <row r="582" spans="1:9">
      <c r="A582" s="317" t="s">
        <v>1361</v>
      </c>
      <c r="B582" s="301">
        <f t="shared" si="2"/>
        <v>216</v>
      </c>
      <c r="C582" s="318">
        <v>149</v>
      </c>
      <c r="D582" s="87"/>
      <c r="E582" s="329"/>
      <c r="F582" s="87"/>
      <c r="G582" s="87"/>
      <c r="H582" s="87"/>
      <c r="I582" s="87"/>
    </row>
    <row r="583" spans="1:9">
      <c r="A583" s="317" t="s">
        <v>1362</v>
      </c>
      <c r="B583" s="301">
        <f t="shared" si="2"/>
        <v>217</v>
      </c>
      <c r="C583" s="318">
        <v>148</v>
      </c>
      <c r="D583" s="87"/>
      <c r="E583" s="329"/>
      <c r="F583" s="87"/>
      <c r="G583" s="87"/>
      <c r="H583" s="87"/>
      <c r="I583" s="87"/>
    </row>
    <row r="584" spans="1:9">
      <c r="A584" s="317" t="s">
        <v>1363</v>
      </c>
      <c r="B584" s="301">
        <f t="shared" si="2"/>
        <v>218</v>
      </c>
      <c r="C584" s="318">
        <v>147</v>
      </c>
      <c r="D584" s="87"/>
      <c r="E584" s="329"/>
      <c r="F584" s="87"/>
      <c r="G584" s="87"/>
      <c r="H584" s="87"/>
      <c r="I584" s="87"/>
    </row>
    <row r="585" spans="1:9">
      <c r="A585" s="317" t="s">
        <v>1364</v>
      </c>
      <c r="B585" s="301">
        <f t="shared" si="2"/>
        <v>219</v>
      </c>
      <c r="C585" s="318">
        <v>146</v>
      </c>
      <c r="D585" s="87"/>
      <c r="E585" s="329"/>
      <c r="F585" s="87"/>
      <c r="G585" s="87"/>
      <c r="H585" s="87"/>
      <c r="I585" s="87"/>
    </row>
    <row r="586" spans="1:9">
      <c r="A586" s="317" t="s">
        <v>1365</v>
      </c>
      <c r="B586" s="301">
        <f t="shared" si="2"/>
        <v>220</v>
      </c>
      <c r="C586" s="318">
        <v>145</v>
      </c>
      <c r="D586" s="87"/>
      <c r="E586" s="329"/>
      <c r="F586" s="87"/>
      <c r="G586" s="87"/>
      <c r="H586" s="87"/>
      <c r="I586" s="87"/>
    </row>
    <row r="587" spans="1:9">
      <c r="A587" s="317" t="s">
        <v>1366</v>
      </c>
      <c r="B587" s="301">
        <f t="shared" si="2"/>
        <v>221</v>
      </c>
      <c r="C587" s="318">
        <v>144</v>
      </c>
      <c r="D587" s="87"/>
      <c r="E587" s="329"/>
      <c r="F587" s="87"/>
      <c r="G587" s="87"/>
      <c r="H587" s="87"/>
      <c r="I587" s="87"/>
    </row>
    <row r="588" spans="1:9">
      <c r="A588" s="317" t="s">
        <v>1367</v>
      </c>
      <c r="B588" s="301">
        <f t="shared" si="2"/>
        <v>222</v>
      </c>
      <c r="C588" s="318">
        <v>143</v>
      </c>
      <c r="D588" s="87"/>
      <c r="E588" s="329"/>
      <c r="F588" s="87"/>
      <c r="G588" s="87"/>
      <c r="H588" s="87"/>
      <c r="I588" s="87"/>
    </row>
    <row r="589" spans="1:9">
      <c r="A589" s="317" t="s">
        <v>1368</v>
      </c>
      <c r="B589" s="301">
        <f t="shared" si="2"/>
        <v>223</v>
      </c>
      <c r="C589" s="318">
        <v>142</v>
      </c>
      <c r="D589" s="87"/>
      <c r="E589" s="329"/>
      <c r="F589" s="87"/>
      <c r="G589" s="87"/>
      <c r="H589" s="87"/>
      <c r="I589" s="87"/>
    </row>
    <row r="590" spans="1:9">
      <c r="A590" s="317" t="s">
        <v>1369</v>
      </c>
      <c r="B590" s="301">
        <f t="shared" si="2"/>
        <v>224</v>
      </c>
      <c r="C590" s="318">
        <v>141</v>
      </c>
      <c r="D590" s="87"/>
      <c r="E590" s="329"/>
      <c r="F590" s="87"/>
      <c r="G590" s="87"/>
      <c r="H590" s="87"/>
      <c r="I590" s="87"/>
    </row>
    <row r="591" spans="1:9">
      <c r="A591" s="317" t="s">
        <v>1370</v>
      </c>
      <c r="B591" s="301">
        <f t="shared" si="2"/>
        <v>225</v>
      </c>
      <c r="C591" s="318">
        <v>140</v>
      </c>
      <c r="D591" s="87"/>
      <c r="E591" s="329"/>
      <c r="F591" s="87"/>
      <c r="G591" s="87"/>
      <c r="H591" s="87"/>
      <c r="I591" s="87"/>
    </row>
    <row r="592" spans="1:9">
      <c r="A592" s="317" t="s">
        <v>1371</v>
      </c>
      <c r="B592" s="301">
        <f t="shared" si="2"/>
        <v>226</v>
      </c>
      <c r="C592" s="318">
        <v>139</v>
      </c>
      <c r="D592" s="87"/>
      <c r="E592" s="329"/>
      <c r="F592" s="87"/>
      <c r="G592" s="87"/>
      <c r="H592" s="87"/>
      <c r="I592" s="87"/>
    </row>
    <row r="593" spans="1:9">
      <c r="A593" s="317" t="s">
        <v>1372</v>
      </c>
      <c r="B593" s="301">
        <f t="shared" si="2"/>
        <v>227</v>
      </c>
      <c r="C593" s="318">
        <v>138</v>
      </c>
      <c r="D593" s="87"/>
      <c r="E593" s="329"/>
      <c r="F593" s="87"/>
      <c r="G593" s="87"/>
      <c r="H593" s="87"/>
      <c r="I593" s="87"/>
    </row>
    <row r="594" spans="1:9">
      <c r="A594" s="317" t="s">
        <v>1373</v>
      </c>
      <c r="B594" s="301">
        <f t="shared" si="2"/>
        <v>228</v>
      </c>
      <c r="C594" s="318">
        <v>137</v>
      </c>
      <c r="D594" s="87"/>
      <c r="E594" s="329"/>
      <c r="F594" s="87"/>
      <c r="G594" s="87"/>
      <c r="H594" s="87"/>
      <c r="I594" s="87"/>
    </row>
    <row r="595" spans="1:9">
      <c r="A595" s="317" t="s">
        <v>1374</v>
      </c>
      <c r="B595" s="301">
        <f t="shared" si="2"/>
        <v>229</v>
      </c>
      <c r="C595" s="318">
        <v>136</v>
      </c>
      <c r="D595" s="87"/>
      <c r="E595" s="329"/>
      <c r="F595" s="87"/>
      <c r="G595" s="87"/>
      <c r="H595" s="87"/>
      <c r="I595" s="87"/>
    </row>
    <row r="596" spans="1:9">
      <c r="A596" s="317" t="s">
        <v>1375</v>
      </c>
      <c r="B596" s="301">
        <f t="shared" si="2"/>
        <v>230</v>
      </c>
      <c r="C596" s="318">
        <v>135</v>
      </c>
      <c r="D596" s="87"/>
      <c r="E596" s="329"/>
      <c r="F596" s="87"/>
      <c r="G596" s="87"/>
      <c r="H596" s="87"/>
      <c r="I596" s="87"/>
    </row>
    <row r="597" spans="1:9">
      <c r="A597" s="317" t="s">
        <v>1376</v>
      </c>
      <c r="B597" s="301">
        <f t="shared" si="2"/>
        <v>231</v>
      </c>
      <c r="C597" s="318">
        <v>134</v>
      </c>
      <c r="D597" s="87"/>
      <c r="E597" s="329"/>
      <c r="F597" s="87"/>
      <c r="G597" s="87"/>
      <c r="H597" s="87"/>
      <c r="I597" s="87"/>
    </row>
    <row r="598" spans="1:9">
      <c r="A598" s="317" t="s">
        <v>1377</v>
      </c>
      <c r="B598" s="301">
        <f t="shared" si="2"/>
        <v>232</v>
      </c>
      <c r="C598" s="318">
        <v>133</v>
      </c>
      <c r="D598" s="87"/>
      <c r="E598" s="329"/>
      <c r="F598" s="87"/>
      <c r="G598" s="87"/>
      <c r="H598" s="87"/>
      <c r="I598" s="87"/>
    </row>
    <row r="599" spans="1:9">
      <c r="A599" s="317" t="s">
        <v>1378</v>
      </c>
      <c r="B599" s="301">
        <f t="shared" si="2"/>
        <v>233</v>
      </c>
      <c r="C599" s="318">
        <v>132</v>
      </c>
      <c r="D599" s="87"/>
      <c r="E599" s="329"/>
      <c r="F599" s="87"/>
      <c r="G599" s="87"/>
      <c r="H599" s="87"/>
      <c r="I599" s="87"/>
    </row>
    <row r="600" spans="1:9">
      <c r="A600" s="317" t="s">
        <v>1379</v>
      </c>
      <c r="B600" s="301">
        <f t="shared" si="2"/>
        <v>234</v>
      </c>
      <c r="C600" s="318">
        <v>131</v>
      </c>
      <c r="D600" s="87"/>
      <c r="E600" s="329"/>
      <c r="F600" s="87"/>
      <c r="G600" s="87"/>
      <c r="H600" s="87"/>
      <c r="I600" s="87"/>
    </row>
    <row r="601" spans="1:9">
      <c r="A601" s="317" t="s">
        <v>1380</v>
      </c>
      <c r="B601" s="301">
        <f t="shared" si="2"/>
        <v>235</v>
      </c>
      <c r="C601" s="318">
        <v>130</v>
      </c>
      <c r="D601" s="87"/>
      <c r="E601" s="329"/>
      <c r="F601" s="87"/>
      <c r="G601" s="87"/>
      <c r="H601" s="87"/>
      <c r="I601" s="87"/>
    </row>
    <row r="602" spans="1:9">
      <c r="A602" s="317" t="s">
        <v>1381</v>
      </c>
      <c r="B602" s="301">
        <f t="shared" si="2"/>
        <v>236</v>
      </c>
      <c r="C602" s="318">
        <v>129</v>
      </c>
      <c r="D602" s="87"/>
      <c r="E602" s="329"/>
      <c r="F602" s="87"/>
      <c r="G602" s="87"/>
      <c r="H602" s="87"/>
      <c r="I602" s="87"/>
    </row>
    <row r="603" spans="1:9">
      <c r="A603" s="317" t="s">
        <v>1382</v>
      </c>
      <c r="B603" s="301">
        <f t="shared" si="2"/>
        <v>237</v>
      </c>
      <c r="C603" s="318">
        <v>128</v>
      </c>
      <c r="D603" s="87"/>
      <c r="E603" s="329"/>
      <c r="F603" s="87"/>
      <c r="G603" s="87"/>
      <c r="H603" s="87"/>
      <c r="I603" s="87"/>
    </row>
    <row r="604" spans="1:9">
      <c r="A604" s="317" t="s">
        <v>1383</v>
      </c>
      <c r="B604" s="301">
        <f t="shared" si="2"/>
        <v>238</v>
      </c>
      <c r="C604" s="318">
        <v>127</v>
      </c>
      <c r="D604" s="87"/>
      <c r="E604" s="329"/>
      <c r="F604" s="87"/>
      <c r="G604" s="87"/>
      <c r="H604" s="87"/>
      <c r="I604" s="87"/>
    </row>
    <row r="605" spans="1:9">
      <c r="A605" s="317" t="s">
        <v>1384</v>
      </c>
      <c r="B605" s="301">
        <f t="shared" si="2"/>
        <v>239</v>
      </c>
      <c r="C605" s="318">
        <v>126</v>
      </c>
      <c r="D605" s="87"/>
      <c r="E605" s="329"/>
      <c r="F605" s="87"/>
      <c r="G605" s="87"/>
      <c r="H605" s="87"/>
      <c r="I605" s="87"/>
    </row>
    <row r="606" spans="1:9">
      <c r="A606" s="317" t="s">
        <v>1385</v>
      </c>
      <c r="B606" s="301">
        <f t="shared" si="2"/>
        <v>240</v>
      </c>
      <c r="C606" s="318">
        <v>125</v>
      </c>
      <c r="D606" s="87"/>
      <c r="E606" s="329"/>
      <c r="F606" s="87"/>
      <c r="G606" s="87"/>
      <c r="H606" s="87"/>
      <c r="I606" s="87"/>
    </row>
    <row r="607" spans="1:9">
      <c r="A607" s="317" t="s">
        <v>1386</v>
      </c>
      <c r="B607" s="301">
        <f t="shared" si="2"/>
        <v>241</v>
      </c>
      <c r="C607" s="318">
        <v>124</v>
      </c>
      <c r="D607" s="87"/>
      <c r="E607" s="329"/>
      <c r="F607" s="87"/>
      <c r="G607" s="87"/>
      <c r="H607" s="87"/>
      <c r="I607" s="87"/>
    </row>
    <row r="608" spans="1:9">
      <c r="A608" s="317" t="s">
        <v>1387</v>
      </c>
      <c r="B608" s="301">
        <f t="shared" si="2"/>
        <v>242</v>
      </c>
      <c r="C608" s="318">
        <v>123</v>
      </c>
      <c r="D608" s="87"/>
      <c r="E608" s="329"/>
      <c r="F608" s="87"/>
      <c r="G608" s="87"/>
      <c r="H608" s="87"/>
      <c r="I608" s="87"/>
    </row>
    <row r="609" spans="1:9">
      <c r="A609" s="317" t="s">
        <v>1388</v>
      </c>
      <c r="B609" s="301">
        <f t="shared" si="2"/>
        <v>243</v>
      </c>
      <c r="C609" s="318">
        <v>122</v>
      </c>
      <c r="D609" s="87"/>
      <c r="E609" s="329"/>
      <c r="F609" s="87"/>
      <c r="G609" s="87"/>
      <c r="H609" s="87"/>
      <c r="I609" s="87"/>
    </row>
    <row r="610" spans="1:9">
      <c r="A610" s="319" t="s">
        <v>1389</v>
      </c>
      <c r="B610" s="303">
        <f t="shared" si="2"/>
        <v>244</v>
      </c>
      <c r="C610" s="320">
        <v>121</v>
      </c>
      <c r="D610" s="304">
        <f>B610-B573+1</f>
        <v>38</v>
      </c>
      <c r="E610" s="330">
        <f>C573-C610+1</f>
        <v>38</v>
      </c>
      <c r="F610" s="87"/>
      <c r="G610" s="87"/>
      <c r="H610" s="87"/>
      <c r="I610" s="87"/>
    </row>
    <row r="611" spans="1:9">
      <c r="A611" s="315" t="s">
        <v>1390</v>
      </c>
      <c r="B611" s="295">
        <f t="shared" si="2"/>
        <v>245</v>
      </c>
      <c r="C611" s="316">
        <v>120</v>
      </c>
      <c r="D611" s="87"/>
      <c r="E611" s="328"/>
      <c r="F611" s="87"/>
      <c r="G611" s="87"/>
      <c r="H611" s="87"/>
      <c r="I611" s="87"/>
    </row>
    <row r="612" spans="1:9">
      <c r="A612" s="313" t="s">
        <v>1391</v>
      </c>
      <c r="B612" s="298">
        <f t="shared" si="2"/>
        <v>246</v>
      </c>
      <c r="C612" s="314">
        <v>119</v>
      </c>
      <c r="D612" s="87"/>
      <c r="E612" s="328"/>
      <c r="F612" s="87"/>
      <c r="G612" s="87"/>
      <c r="H612" s="87"/>
      <c r="I612" s="87"/>
    </row>
    <row r="613" spans="1:9">
      <c r="A613" s="315" t="s">
        <v>1392</v>
      </c>
      <c r="B613" s="295">
        <f t="shared" si="2"/>
        <v>247</v>
      </c>
      <c r="C613" s="316">
        <v>118</v>
      </c>
      <c r="D613" s="87"/>
      <c r="E613" s="328"/>
      <c r="F613" s="87"/>
      <c r="G613" s="87"/>
      <c r="H613" s="87"/>
      <c r="I613" s="87"/>
    </row>
    <row r="614" spans="1:9">
      <c r="A614" s="313" t="s">
        <v>1393</v>
      </c>
      <c r="B614" s="298">
        <f t="shared" si="2"/>
        <v>248</v>
      </c>
      <c r="C614" s="314">
        <v>117</v>
      </c>
      <c r="D614" s="87"/>
      <c r="E614" s="328"/>
      <c r="F614" s="87"/>
      <c r="G614" s="87"/>
      <c r="H614" s="87"/>
      <c r="I614" s="87"/>
    </row>
    <row r="615" spans="1:9">
      <c r="A615" s="315" t="s">
        <v>1394</v>
      </c>
      <c r="B615" s="295">
        <f t="shared" si="2"/>
        <v>249</v>
      </c>
      <c r="C615" s="316">
        <v>116</v>
      </c>
      <c r="D615" s="87"/>
      <c r="E615" s="328"/>
      <c r="F615" s="87"/>
      <c r="G615" s="87"/>
      <c r="H615" s="87"/>
      <c r="I615" s="87"/>
    </row>
    <row r="616" spans="1:9">
      <c r="A616" s="313" t="s">
        <v>1395</v>
      </c>
      <c r="B616" s="298">
        <f t="shared" si="2"/>
        <v>250</v>
      </c>
      <c r="C616" s="314">
        <v>115</v>
      </c>
      <c r="D616" s="87"/>
      <c r="E616" s="328"/>
      <c r="F616" s="87"/>
      <c r="G616" s="87"/>
      <c r="H616" s="87"/>
      <c r="I616" s="87"/>
    </row>
    <row r="617" spans="1:9">
      <c r="A617" s="315" t="s">
        <v>1396</v>
      </c>
      <c r="B617" s="295">
        <f t="shared" si="2"/>
        <v>251</v>
      </c>
      <c r="C617" s="316">
        <v>114</v>
      </c>
      <c r="D617" s="87"/>
      <c r="E617" s="328"/>
      <c r="F617" s="87"/>
      <c r="G617" s="87"/>
      <c r="H617" s="87"/>
      <c r="I617" s="87"/>
    </row>
    <row r="618" spans="1:9">
      <c r="A618" s="313" t="s">
        <v>1397</v>
      </c>
      <c r="B618" s="298">
        <f t="shared" si="2"/>
        <v>252</v>
      </c>
      <c r="C618" s="314">
        <v>113</v>
      </c>
      <c r="D618" s="87"/>
      <c r="E618" s="328"/>
      <c r="F618" s="87"/>
      <c r="G618" s="87"/>
      <c r="H618" s="87"/>
      <c r="I618" s="87"/>
    </row>
    <row r="619" spans="1:9">
      <c r="A619" s="315" t="s">
        <v>1398</v>
      </c>
      <c r="B619" s="295">
        <f t="shared" si="2"/>
        <v>253</v>
      </c>
      <c r="C619" s="316">
        <v>112</v>
      </c>
      <c r="D619" s="87"/>
      <c r="E619" s="328"/>
      <c r="F619" s="87"/>
      <c r="G619" s="87"/>
      <c r="H619" s="87"/>
      <c r="I619" s="87"/>
    </row>
    <row r="620" spans="1:9">
      <c r="A620" s="313" t="s">
        <v>1399</v>
      </c>
      <c r="B620" s="298">
        <f t="shared" si="2"/>
        <v>254</v>
      </c>
      <c r="C620" s="314">
        <v>111</v>
      </c>
      <c r="D620" s="87"/>
      <c r="E620" s="328"/>
      <c r="F620" s="87"/>
      <c r="G620" s="87"/>
      <c r="H620" s="87"/>
      <c r="I620" s="87"/>
    </row>
    <row r="621" spans="1:9">
      <c r="A621" s="315" t="s">
        <v>1400</v>
      </c>
      <c r="B621" s="295">
        <f t="shared" si="2"/>
        <v>255</v>
      </c>
      <c r="C621" s="316">
        <v>110</v>
      </c>
      <c r="D621" s="87"/>
      <c r="E621" s="328"/>
      <c r="F621" s="87"/>
      <c r="G621" s="87"/>
      <c r="H621" s="87"/>
      <c r="I621" s="87"/>
    </row>
    <row r="622" spans="1:9">
      <c r="A622" s="313" t="s">
        <v>1401</v>
      </c>
      <c r="B622" s="298">
        <f t="shared" si="2"/>
        <v>256</v>
      </c>
      <c r="C622" s="314">
        <v>109</v>
      </c>
      <c r="D622" s="87"/>
      <c r="E622" s="328"/>
      <c r="F622" s="87"/>
      <c r="G622" s="87"/>
      <c r="H622" s="87"/>
      <c r="I622" s="87"/>
    </row>
    <row r="623" spans="1:9">
      <c r="A623" s="315" t="s">
        <v>1402</v>
      </c>
      <c r="B623" s="295">
        <f t="shared" si="2"/>
        <v>257</v>
      </c>
      <c r="C623" s="316">
        <v>108</v>
      </c>
      <c r="D623" s="87"/>
      <c r="E623" s="328"/>
      <c r="F623" s="87"/>
      <c r="G623" s="87"/>
      <c r="H623" s="87"/>
      <c r="I623" s="87"/>
    </row>
    <row r="624" spans="1:9">
      <c r="A624" s="313" t="s">
        <v>1403</v>
      </c>
      <c r="B624" s="298">
        <f t="shared" si="2"/>
        <v>258</v>
      </c>
      <c r="C624" s="314">
        <v>107</v>
      </c>
      <c r="D624" s="87"/>
      <c r="E624" s="328"/>
      <c r="F624" s="87"/>
      <c r="G624" s="87"/>
      <c r="H624" s="87"/>
      <c r="I624" s="87"/>
    </row>
    <row r="625" spans="1:9">
      <c r="A625" s="315" t="s">
        <v>1404</v>
      </c>
      <c r="B625" s="295">
        <f t="shared" si="2"/>
        <v>259</v>
      </c>
      <c r="C625" s="316">
        <v>106</v>
      </c>
      <c r="D625" s="87"/>
      <c r="E625" s="328"/>
      <c r="F625" s="87"/>
      <c r="G625" s="87"/>
      <c r="H625" s="87"/>
      <c r="I625" s="87"/>
    </row>
    <row r="626" spans="1:9">
      <c r="A626" s="313" t="s">
        <v>1405</v>
      </c>
      <c r="B626" s="298">
        <f t="shared" si="2"/>
        <v>260</v>
      </c>
      <c r="C626" s="314">
        <v>105</v>
      </c>
      <c r="D626" s="87"/>
      <c r="E626" s="328"/>
      <c r="F626" s="87"/>
      <c r="G626" s="87"/>
      <c r="H626" s="87"/>
      <c r="I626" s="87"/>
    </row>
    <row r="627" spans="1:9">
      <c r="A627" s="315" t="s">
        <v>1406</v>
      </c>
      <c r="B627" s="295">
        <f t="shared" si="2"/>
        <v>261</v>
      </c>
      <c r="C627" s="316">
        <v>104</v>
      </c>
      <c r="D627" s="87"/>
      <c r="E627" s="328"/>
      <c r="F627" s="87"/>
      <c r="G627" s="87"/>
      <c r="H627" s="87"/>
      <c r="I627" s="87"/>
    </row>
    <row r="628" spans="1:9">
      <c r="A628" s="313" t="s">
        <v>1407</v>
      </c>
      <c r="B628" s="298">
        <f t="shared" si="2"/>
        <v>262</v>
      </c>
      <c r="C628" s="314">
        <v>103</v>
      </c>
      <c r="D628" s="87"/>
      <c r="E628" s="328"/>
      <c r="F628" s="87"/>
      <c r="G628" s="87"/>
      <c r="H628" s="87"/>
      <c r="I628" s="87"/>
    </row>
    <row r="629" spans="1:9">
      <c r="A629" s="315" t="s">
        <v>1408</v>
      </c>
      <c r="B629" s="295">
        <f t="shared" si="2"/>
        <v>263</v>
      </c>
      <c r="C629" s="316">
        <v>102</v>
      </c>
      <c r="D629" s="87"/>
      <c r="E629" s="328"/>
      <c r="F629" s="87"/>
      <c r="G629" s="87"/>
      <c r="H629" s="87"/>
      <c r="I629" s="87"/>
    </row>
    <row r="630" spans="1:9">
      <c r="A630" s="313" t="s">
        <v>1409</v>
      </c>
      <c r="B630" s="298">
        <f t="shared" si="2"/>
        <v>264</v>
      </c>
      <c r="C630" s="314">
        <v>101</v>
      </c>
      <c r="D630" s="87"/>
      <c r="E630" s="328"/>
      <c r="F630" s="87"/>
      <c r="G630" s="87"/>
      <c r="H630" s="87"/>
      <c r="I630" s="87"/>
    </row>
    <row r="631" spans="1:9">
      <c r="A631" s="315" t="s">
        <v>1410</v>
      </c>
      <c r="B631" s="295">
        <f t="shared" si="2"/>
        <v>265</v>
      </c>
      <c r="C631" s="316">
        <v>100</v>
      </c>
      <c r="D631" s="87"/>
      <c r="E631" s="328"/>
      <c r="F631" s="87"/>
      <c r="G631" s="87"/>
      <c r="H631" s="87"/>
      <c r="I631" s="87"/>
    </row>
    <row r="632" spans="1:9">
      <c r="A632" s="313" t="s">
        <v>1411</v>
      </c>
      <c r="B632" s="298">
        <f t="shared" si="2"/>
        <v>266</v>
      </c>
      <c r="C632" s="314">
        <v>99</v>
      </c>
      <c r="D632" s="87"/>
      <c r="E632" s="328"/>
      <c r="F632" s="87"/>
      <c r="G632" s="87"/>
      <c r="H632" s="87"/>
      <c r="I632" s="87"/>
    </row>
    <row r="633" spans="1:9">
      <c r="A633" s="315" t="s">
        <v>1412</v>
      </c>
      <c r="B633" s="295">
        <f t="shared" si="2"/>
        <v>267</v>
      </c>
      <c r="C633" s="316">
        <v>98</v>
      </c>
      <c r="D633" s="87"/>
      <c r="E633" s="328"/>
      <c r="F633" s="87"/>
      <c r="G633" s="87"/>
      <c r="H633" s="87"/>
      <c r="I633" s="87"/>
    </row>
    <row r="634" spans="1:9">
      <c r="A634" s="313" t="s">
        <v>1413</v>
      </c>
      <c r="B634" s="298">
        <f t="shared" si="2"/>
        <v>268</v>
      </c>
      <c r="C634" s="314">
        <v>97</v>
      </c>
      <c r="D634" s="87"/>
      <c r="E634" s="328"/>
      <c r="F634" s="87"/>
      <c r="G634" s="87"/>
      <c r="H634" s="87"/>
      <c r="I634" s="87"/>
    </row>
    <row r="635" spans="1:9">
      <c r="A635" s="315" t="s">
        <v>1414</v>
      </c>
      <c r="B635" s="295">
        <f t="shared" si="2"/>
        <v>269</v>
      </c>
      <c r="C635" s="316">
        <v>96</v>
      </c>
      <c r="D635" s="87"/>
      <c r="E635" s="328"/>
      <c r="F635" s="87"/>
      <c r="G635" s="87"/>
      <c r="H635" s="87"/>
      <c r="I635" s="87"/>
    </row>
    <row r="636" spans="1:9">
      <c r="A636" s="317" t="s">
        <v>1415</v>
      </c>
      <c r="B636" s="301">
        <f t="shared" si="2"/>
        <v>270</v>
      </c>
      <c r="C636" s="318">
        <v>95</v>
      </c>
      <c r="D636" s="87"/>
      <c r="E636" s="329"/>
      <c r="F636" s="87"/>
      <c r="G636" s="87"/>
      <c r="H636" s="87"/>
      <c r="I636" s="87"/>
    </row>
    <row r="637" spans="1:9">
      <c r="A637" s="317" t="s">
        <v>1416</v>
      </c>
      <c r="B637" s="301">
        <f t="shared" si="2"/>
        <v>271</v>
      </c>
      <c r="C637" s="318">
        <v>94</v>
      </c>
      <c r="D637" s="87"/>
      <c r="E637" s="329"/>
      <c r="F637" s="87"/>
      <c r="G637" s="87"/>
      <c r="H637" s="87"/>
      <c r="I637" s="87"/>
    </row>
    <row r="638" spans="1:9">
      <c r="A638" s="317" t="s">
        <v>1417</v>
      </c>
      <c r="B638" s="301">
        <f t="shared" si="2"/>
        <v>272</v>
      </c>
      <c r="C638" s="318">
        <v>93</v>
      </c>
      <c r="D638" s="87"/>
      <c r="E638" s="329"/>
      <c r="F638" s="87"/>
      <c r="G638" s="87"/>
      <c r="H638" s="87"/>
      <c r="I638" s="87"/>
    </row>
    <row r="639" spans="1:9">
      <c r="A639" s="317" t="s">
        <v>1418</v>
      </c>
      <c r="B639" s="301">
        <f t="shared" si="2"/>
        <v>273</v>
      </c>
      <c r="C639" s="318">
        <v>92</v>
      </c>
      <c r="D639" s="87"/>
      <c r="E639" s="329"/>
      <c r="F639" s="87"/>
      <c r="G639" s="87"/>
      <c r="H639" s="87"/>
      <c r="I639" s="87"/>
    </row>
    <row r="640" spans="1:9">
      <c r="A640" s="317" t="s">
        <v>1419</v>
      </c>
      <c r="B640" s="301">
        <f t="shared" si="2"/>
        <v>274</v>
      </c>
      <c r="C640" s="318">
        <v>91</v>
      </c>
      <c r="D640" s="87"/>
      <c r="E640" s="329"/>
      <c r="F640" s="87"/>
      <c r="G640" s="87"/>
      <c r="H640" s="87"/>
      <c r="I640" s="87"/>
    </row>
    <row r="641" spans="1:9">
      <c r="A641" s="317" t="s">
        <v>1420</v>
      </c>
      <c r="B641" s="301">
        <f t="shared" si="2"/>
        <v>275</v>
      </c>
      <c r="C641" s="318">
        <v>90</v>
      </c>
      <c r="D641" s="87"/>
      <c r="E641" s="329"/>
      <c r="F641" s="87"/>
      <c r="G641" s="87"/>
      <c r="H641" s="87"/>
      <c r="I641" s="87"/>
    </row>
    <row r="642" spans="1:9">
      <c r="A642" s="317" t="s">
        <v>1421</v>
      </c>
      <c r="B642" s="301">
        <f t="shared" si="2"/>
        <v>276</v>
      </c>
      <c r="C642" s="318">
        <v>89</v>
      </c>
      <c r="D642" s="87"/>
      <c r="E642" s="329"/>
      <c r="F642" s="87"/>
      <c r="G642" s="87"/>
      <c r="H642" s="87"/>
      <c r="I642" s="87"/>
    </row>
    <row r="643" spans="1:9">
      <c r="A643" s="317" t="s">
        <v>1422</v>
      </c>
      <c r="B643" s="301">
        <f t="shared" si="2"/>
        <v>277</v>
      </c>
      <c r="C643" s="318">
        <v>88</v>
      </c>
      <c r="D643" s="87"/>
      <c r="E643" s="329"/>
      <c r="F643" s="87"/>
      <c r="G643" s="87"/>
      <c r="H643" s="87"/>
      <c r="I643" s="87"/>
    </row>
    <row r="644" spans="1:9">
      <c r="A644" s="317" t="s">
        <v>1423</v>
      </c>
      <c r="B644" s="301">
        <f t="shared" si="2"/>
        <v>278</v>
      </c>
      <c r="C644" s="318">
        <v>87</v>
      </c>
      <c r="D644" s="87"/>
      <c r="E644" s="329"/>
      <c r="F644" s="87"/>
      <c r="G644" s="87"/>
      <c r="H644" s="87"/>
      <c r="I644" s="87"/>
    </row>
    <row r="645" spans="1:9">
      <c r="A645" s="317" t="s">
        <v>1424</v>
      </c>
      <c r="B645" s="301">
        <f t="shared" si="2"/>
        <v>279</v>
      </c>
      <c r="C645" s="318">
        <v>86</v>
      </c>
      <c r="D645" s="87"/>
      <c r="E645" s="329"/>
      <c r="F645" s="87"/>
      <c r="G645" s="87"/>
      <c r="H645" s="87"/>
      <c r="I645" s="87"/>
    </row>
    <row r="646" spans="1:9">
      <c r="A646" s="317" t="s">
        <v>1425</v>
      </c>
      <c r="B646" s="301">
        <f t="shared" si="2"/>
        <v>280</v>
      </c>
      <c r="C646" s="318">
        <v>85</v>
      </c>
      <c r="D646" s="87"/>
      <c r="E646" s="329"/>
      <c r="F646" s="87"/>
      <c r="G646" s="87"/>
      <c r="H646" s="87"/>
      <c r="I646" s="87"/>
    </row>
    <row r="647" spans="1:9">
      <c r="A647" s="317" t="s">
        <v>1426</v>
      </c>
      <c r="B647" s="301">
        <f t="shared" si="2"/>
        <v>281</v>
      </c>
      <c r="C647" s="318">
        <v>84</v>
      </c>
      <c r="D647" s="87"/>
      <c r="E647" s="329"/>
      <c r="F647" s="87"/>
      <c r="G647" s="87"/>
      <c r="H647" s="87"/>
      <c r="I647" s="87"/>
    </row>
    <row r="648" spans="1:9">
      <c r="A648" s="317" t="s">
        <v>1427</v>
      </c>
      <c r="B648" s="301">
        <f t="shared" si="2"/>
        <v>282</v>
      </c>
      <c r="C648" s="318">
        <v>83</v>
      </c>
      <c r="D648" s="87"/>
      <c r="E648" s="329"/>
      <c r="F648" s="87"/>
      <c r="G648" s="87"/>
      <c r="H648" s="87"/>
      <c r="I648" s="87"/>
    </row>
    <row r="649" spans="1:9">
      <c r="A649" s="317" t="s">
        <v>1428</v>
      </c>
      <c r="B649" s="301">
        <f t="shared" si="2"/>
        <v>283</v>
      </c>
      <c r="C649" s="318">
        <v>82</v>
      </c>
      <c r="D649" s="87"/>
      <c r="E649" s="329"/>
      <c r="F649" s="87"/>
      <c r="G649" s="87"/>
      <c r="H649" s="87"/>
      <c r="I649" s="87"/>
    </row>
    <row r="650" spans="1:9">
      <c r="A650" s="317" t="s">
        <v>1429</v>
      </c>
      <c r="B650" s="301">
        <f t="shared" si="2"/>
        <v>284</v>
      </c>
      <c r="C650" s="318">
        <v>81</v>
      </c>
      <c r="D650" s="87"/>
      <c r="E650" s="329"/>
      <c r="F650" s="87"/>
      <c r="G650" s="87"/>
      <c r="H650" s="87"/>
      <c r="I650" s="87"/>
    </row>
    <row r="651" spans="1:9">
      <c r="A651" s="317" t="s">
        <v>1430</v>
      </c>
      <c r="B651" s="301">
        <f t="shared" si="2"/>
        <v>285</v>
      </c>
      <c r="C651" s="318">
        <v>80</v>
      </c>
      <c r="D651" s="87"/>
      <c r="E651" s="329"/>
      <c r="F651" s="87"/>
      <c r="G651" s="87"/>
      <c r="H651" s="87"/>
      <c r="I651" s="87"/>
    </row>
    <row r="652" spans="1:9">
      <c r="A652" s="317" t="s">
        <v>1431</v>
      </c>
      <c r="B652" s="301">
        <f t="shared" si="2"/>
        <v>286</v>
      </c>
      <c r="C652" s="318">
        <v>79</v>
      </c>
      <c r="D652" s="87"/>
      <c r="E652" s="329"/>
      <c r="F652" s="87"/>
      <c r="G652" s="87"/>
      <c r="H652" s="87"/>
      <c r="I652" s="87"/>
    </row>
    <row r="653" spans="1:9">
      <c r="A653" s="317" t="s">
        <v>1432</v>
      </c>
      <c r="B653" s="301">
        <f t="shared" si="2"/>
        <v>287</v>
      </c>
      <c r="C653" s="318">
        <v>78</v>
      </c>
      <c r="D653" s="87"/>
      <c r="E653" s="329"/>
      <c r="F653" s="87"/>
      <c r="G653" s="87"/>
      <c r="H653" s="87"/>
      <c r="I653" s="87"/>
    </row>
    <row r="654" spans="1:9">
      <c r="A654" s="317" t="s">
        <v>1433</v>
      </c>
      <c r="B654" s="301">
        <f t="shared" si="2"/>
        <v>288</v>
      </c>
      <c r="C654" s="318">
        <v>77</v>
      </c>
      <c r="D654" s="87"/>
      <c r="E654" s="329"/>
      <c r="F654" s="87"/>
      <c r="G654" s="87"/>
      <c r="H654" s="87"/>
      <c r="I654" s="87"/>
    </row>
    <row r="655" spans="1:9">
      <c r="A655" s="317" t="s">
        <v>1434</v>
      </c>
      <c r="B655" s="301">
        <f t="shared" si="2"/>
        <v>289</v>
      </c>
      <c r="C655" s="318">
        <v>76</v>
      </c>
      <c r="D655" s="87"/>
      <c r="E655" s="329"/>
      <c r="F655" s="87"/>
      <c r="G655" s="87"/>
      <c r="H655" s="87"/>
      <c r="I655" s="87"/>
    </row>
    <row r="656" spans="1:9">
      <c r="A656" s="317" t="s">
        <v>1435</v>
      </c>
      <c r="B656" s="301">
        <f t="shared" si="2"/>
        <v>290</v>
      </c>
      <c r="C656" s="318">
        <v>75</v>
      </c>
      <c r="D656" s="87"/>
      <c r="E656" s="329"/>
      <c r="F656" s="87"/>
      <c r="G656" s="87"/>
      <c r="H656" s="87"/>
      <c r="I656" s="87"/>
    </row>
    <row r="657" spans="1:9">
      <c r="A657" s="317" t="s">
        <v>1436</v>
      </c>
      <c r="B657" s="301">
        <f t="shared" si="2"/>
        <v>291</v>
      </c>
      <c r="C657" s="318">
        <v>74</v>
      </c>
      <c r="D657" s="87"/>
      <c r="E657" s="329"/>
      <c r="F657" s="87"/>
      <c r="G657" s="87"/>
      <c r="H657" s="87"/>
      <c r="I657" s="87"/>
    </row>
    <row r="658" spans="1:9">
      <c r="A658" s="317" t="s">
        <v>1437</v>
      </c>
      <c r="B658" s="301">
        <f t="shared" si="2"/>
        <v>292</v>
      </c>
      <c r="C658" s="318">
        <v>73</v>
      </c>
      <c r="D658" s="87"/>
      <c r="E658" s="329"/>
      <c r="F658" s="87"/>
      <c r="G658" s="87"/>
      <c r="H658" s="87"/>
      <c r="I658" s="87"/>
    </row>
    <row r="659" spans="1:9">
      <c r="A659" s="319" t="s">
        <v>1438</v>
      </c>
      <c r="B659" s="303">
        <f t="shared" si="2"/>
        <v>293</v>
      </c>
      <c r="C659" s="320">
        <v>72</v>
      </c>
      <c r="D659" s="304">
        <f>B659-B636+1</f>
        <v>24</v>
      </c>
      <c r="E659" s="330">
        <f>C636-C659+1</f>
        <v>24</v>
      </c>
      <c r="F659" s="87"/>
      <c r="G659" s="87"/>
      <c r="H659" s="87"/>
      <c r="I659" s="87"/>
    </row>
    <row r="660" spans="1:9">
      <c r="A660" s="313" t="s">
        <v>1439</v>
      </c>
      <c r="B660" s="298">
        <f t="shared" si="2"/>
        <v>294</v>
      </c>
      <c r="C660" s="314">
        <v>71</v>
      </c>
      <c r="D660" s="87"/>
      <c r="E660" s="328"/>
      <c r="F660" s="87"/>
      <c r="G660" s="87"/>
      <c r="H660" s="87"/>
      <c r="I660" s="87"/>
    </row>
    <row r="661" spans="1:9">
      <c r="A661" s="315" t="s">
        <v>1440</v>
      </c>
      <c r="B661" s="295">
        <f t="shared" si="2"/>
        <v>295</v>
      </c>
      <c r="C661" s="316">
        <v>70</v>
      </c>
      <c r="D661" s="87"/>
      <c r="E661" s="328"/>
      <c r="F661" s="87"/>
      <c r="G661" s="87"/>
      <c r="H661" s="87"/>
      <c r="I661" s="87"/>
    </row>
    <row r="662" spans="1:9">
      <c r="A662" s="313" t="s">
        <v>1441</v>
      </c>
      <c r="B662" s="298">
        <f t="shared" si="2"/>
        <v>296</v>
      </c>
      <c r="C662" s="314">
        <v>69</v>
      </c>
      <c r="D662" s="87"/>
      <c r="E662" s="328"/>
      <c r="F662" s="87"/>
      <c r="G662" s="87"/>
      <c r="H662" s="87"/>
      <c r="I662" s="87"/>
    </row>
    <row r="663" spans="1:9">
      <c r="A663" s="315" t="s">
        <v>1442</v>
      </c>
      <c r="B663" s="295">
        <f t="shared" si="2"/>
        <v>297</v>
      </c>
      <c r="C663" s="316">
        <v>68</v>
      </c>
      <c r="D663" s="87"/>
      <c r="E663" s="328"/>
      <c r="F663" s="87"/>
      <c r="G663" s="87"/>
      <c r="H663" s="87"/>
      <c r="I663" s="87"/>
    </row>
    <row r="664" spans="1:9">
      <c r="A664" s="313" t="s">
        <v>1443</v>
      </c>
      <c r="B664" s="298">
        <f t="shared" si="2"/>
        <v>298</v>
      </c>
      <c r="C664" s="314">
        <v>67</v>
      </c>
      <c r="D664" s="87"/>
      <c r="E664" s="328"/>
      <c r="F664" s="87"/>
      <c r="G664" s="87"/>
      <c r="H664" s="87"/>
      <c r="I664" s="87"/>
    </row>
    <row r="665" spans="1:9">
      <c r="A665" s="315" t="s">
        <v>1444</v>
      </c>
      <c r="B665" s="295">
        <f t="shared" si="2"/>
        <v>299</v>
      </c>
      <c r="C665" s="316">
        <v>66</v>
      </c>
      <c r="D665" s="87"/>
      <c r="E665" s="328"/>
      <c r="F665" s="87"/>
      <c r="G665" s="87"/>
      <c r="H665" s="87"/>
      <c r="I665" s="87"/>
    </row>
    <row r="666" spans="1:9">
      <c r="A666" s="313" t="s">
        <v>1445</v>
      </c>
      <c r="B666" s="298">
        <f t="shared" si="2"/>
        <v>300</v>
      </c>
      <c r="C666" s="314">
        <v>65</v>
      </c>
      <c r="D666" s="87"/>
      <c r="E666" s="328"/>
      <c r="F666" s="87"/>
      <c r="G666" s="87"/>
      <c r="H666" s="87"/>
      <c r="I666" s="87"/>
    </row>
    <row r="667" spans="1:9">
      <c r="A667" s="315" t="s">
        <v>1446</v>
      </c>
      <c r="B667" s="295">
        <f t="shared" si="2"/>
        <v>301</v>
      </c>
      <c r="C667" s="316">
        <v>64</v>
      </c>
      <c r="D667" s="87"/>
      <c r="E667" s="328"/>
      <c r="F667" s="87"/>
      <c r="G667" s="87"/>
      <c r="H667" s="87"/>
      <c r="I667" s="87"/>
    </row>
    <row r="668" spans="1:9">
      <c r="A668" s="313" t="s">
        <v>1447</v>
      </c>
      <c r="B668" s="298">
        <f t="shared" si="2"/>
        <v>302</v>
      </c>
      <c r="C668" s="314">
        <v>63</v>
      </c>
      <c r="D668" s="87"/>
      <c r="E668" s="328"/>
      <c r="F668" s="87"/>
      <c r="G668" s="87"/>
      <c r="H668" s="87"/>
      <c r="I668" s="87"/>
    </row>
    <row r="669" spans="1:9">
      <c r="A669" s="315" t="s">
        <v>1448</v>
      </c>
      <c r="B669" s="295">
        <f t="shared" si="2"/>
        <v>303</v>
      </c>
      <c r="C669" s="316">
        <v>62</v>
      </c>
      <c r="D669" s="87"/>
      <c r="E669" s="328"/>
      <c r="F669" s="87"/>
      <c r="G669" s="87"/>
      <c r="H669" s="87"/>
      <c r="I669" s="87"/>
    </row>
    <row r="670" spans="1:9">
      <c r="A670" s="313" t="s">
        <v>1449</v>
      </c>
      <c r="B670" s="298">
        <f t="shared" si="2"/>
        <v>304</v>
      </c>
      <c r="C670" s="314">
        <v>61</v>
      </c>
      <c r="D670" s="87"/>
      <c r="E670" s="328"/>
      <c r="F670" s="87"/>
      <c r="G670" s="87"/>
      <c r="H670" s="87"/>
      <c r="I670" s="87"/>
    </row>
    <row r="671" spans="1:9">
      <c r="A671" s="315" t="s">
        <v>1450</v>
      </c>
      <c r="B671" s="295">
        <f t="shared" si="2"/>
        <v>305</v>
      </c>
      <c r="C671" s="316">
        <v>60</v>
      </c>
      <c r="D671" s="87"/>
      <c r="E671" s="328"/>
      <c r="F671" s="87"/>
      <c r="G671" s="87"/>
      <c r="H671" s="87"/>
      <c r="I671" s="87"/>
    </row>
    <row r="672" spans="1:9">
      <c r="A672" s="313" t="s">
        <v>1451</v>
      </c>
      <c r="B672" s="298">
        <f t="shared" si="2"/>
        <v>306</v>
      </c>
      <c r="C672" s="314">
        <v>59</v>
      </c>
      <c r="D672" s="87"/>
      <c r="E672" s="328"/>
      <c r="F672" s="87"/>
      <c r="G672" s="87"/>
      <c r="H672" s="87"/>
      <c r="I672" s="87"/>
    </row>
    <row r="673" spans="1:9">
      <c r="A673" s="315" t="s">
        <v>1452</v>
      </c>
      <c r="B673" s="295">
        <f t="shared" si="2"/>
        <v>307</v>
      </c>
      <c r="C673" s="316">
        <v>58</v>
      </c>
      <c r="D673" s="87"/>
      <c r="E673" s="328"/>
      <c r="F673" s="87"/>
      <c r="G673" s="87"/>
      <c r="H673" s="87"/>
      <c r="I673" s="87"/>
    </row>
    <row r="674" spans="1:9">
      <c r="A674" s="313" t="s">
        <v>1453</v>
      </c>
      <c r="B674" s="298">
        <f t="shared" si="2"/>
        <v>308</v>
      </c>
      <c r="C674" s="314">
        <v>57</v>
      </c>
      <c r="D674" s="87"/>
      <c r="E674" s="328"/>
      <c r="F674" s="87"/>
      <c r="G674" s="87"/>
      <c r="H674" s="87"/>
      <c r="I674" s="87"/>
    </row>
    <row r="675" spans="1:9">
      <c r="A675" s="315" t="s">
        <v>1454</v>
      </c>
      <c r="B675" s="295">
        <f t="shared" si="2"/>
        <v>309</v>
      </c>
      <c r="C675" s="316">
        <v>56</v>
      </c>
      <c r="D675" s="87"/>
      <c r="E675" s="328"/>
      <c r="F675" s="87"/>
      <c r="G675" s="87"/>
      <c r="H675" s="87"/>
      <c r="I675" s="87"/>
    </row>
    <row r="676" spans="1:9">
      <c r="A676" s="313" t="s">
        <v>1455</v>
      </c>
      <c r="B676" s="298">
        <f t="shared" si="2"/>
        <v>310</v>
      </c>
      <c r="C676" s="314">
        <v>55</v>
      </c>
      <c r="D676" s="87"/>
      <c r="E676" s="328"/>
      <c r="F676" s="87"/>
      <c r="G676" s="87"/>
      <c r="H676" s="87"/>
      <c r="I676" s="87"/>
    </row>
    <row r="677" spans="1:9">
      <c r="A677" s="315" t="s">
        <v>1456</v>
      </c>
      <c r="B677" s="295">
        <f t="shared" si="2"/>
        <v>311</v>
      </c>
      <c r="C677" s="316">
        <v>54</v>
      </c>
      <c r="D677" s="87"/>
      <c r="E677" s="328"/>
      <c r="F677" s="87"/>
      <c r="G677" s="87"/>
      <c r="H677" s="87"/>
      <c r="I677" s="87"/>
    </row>
    <row r="678" spans="1:9">
      <c r="A678" s="313" t="s">
        <v>1457</v>
      </c>
      <c r="B678" s="298">
        <f t="shared" si="2"/>
        <v>312</v>
      </c>
      <c r="C678" s="314">
        <v>53</v>
      </c>
      <c r="D678" s="87"/>
      <c r="E678" s="328"/>
      <c r="F678" s="87"/>
      <c r="G678" s="87"/>
      <c r="H678" s="87"/>
      <c r="I678" s="87"/>
    </row>
    <row r="679" spans="1:9">
      <c r="A679" s="315" t="s">
        <v>1458</v>
      </c>
      <c r="B679" s="295">
        <f t="shared" si="2"/>
        <v>313</v>
      </c>
      <c r="C679" s="316">
        <v>52</v>
      </c>
      <c r="D679" s="87"/>
      <c r="E679" s="328"/>
      <c r="F679" s="87"/>
      <c r="G679" s="87"/>
      <c r="H679" s="87"/>
      <c r="I679" s="87"/>
    </row>
    <row r="680" spans="1:9">
      <c r="A680" s="313" t="s">
        <v>1459</v>
      </c>
      <c r="B680" s="298">
        <f t="shared" si="2"/>
        <v>314</v>
      </c>
      <c r="C680" s="314">
        <v>51</v>
      </c>
      <c r="D680" s="87"/>
      <c r="E680" s="328"/>
      <c r="F680" s="87"/>
      <c r="G680" s="87"/>
      <c r="H680" s="87"/>
      <c r="I680" s="87"/>
    </row>
    <row r="681" spans="1:9">
      <c r="A681" s="313" t="s">
        <v>1460</v>
      </c>
      <c r="B681" s="298">
        <f t="shared" si="2"/>
        <v>315</v>
      </c>
      <c r="C681" s="314">
        <v>50</v>
      </c>
      <c r="D681" s="87"/>
      <c r="E681" s="328"/>
      <c r="F681" s="87"/>
      <c r="G681" s="87"/>
      <c r="H681" s="87"/>
      <c r="I681" s="87"/>
    </row>
    <row r="682" spans="1:9">
      <c r="A682" s="315" t="s">
        <v>1461</v>
      </c>
      <c r="B682" s="295">
        <f t="shared" si="2"/>
        <v>316</v>
      </c>
      <c r="C682" s="316">
        <v>49</v>
      </c>
      <c r="D682" s="87"/>
      <c r="E682" s="328"/>
      <c r="F682" s="87"/>
      <c r="G682" s="87"/>
      <c r="H682" s="87"/>
      <c r="I682" s="87"/>
    </row>
    <row r="683" spans="1:9">
      <c r="A683" s="313" t="s">
        <v>1462</v>
      </c>
      <c r="B683" s="298">
        <f t="shared" si="2"/>
        <v>317</v>
      </c>
      <c r="C683" s="314">
        <v>48</v>
      </c>
      <c r="D683" s="87"/>
      <c r="E683" s="328"/>
      <c r="F683" s="87"/>
      <c r="G683" s="87"/>
      <c r="H683" s="87"/>
      <c r="I683" s="87"/>
    </row>
    <row r="684" spans="1:9">
      <c r="A684" s="315" t="s">
        <v>1463</v>
      </c>
      <c r="B684" s="295">
        <f t="shared" si="2"/>
        <v>318</v>
      </c>
      <c r="C684" s="316">
        <v>47</v>
      </c>
      <c r="D684" s="87"/>
      <c r="E684" s="328"/>
      <c r="F684" s="87"/>
      <c r="G684" s="87"/>
      <c r="H684" s="87"/>
      <c r="I684" s="87"/>
    </row>
    <row r="685" spans="1:9">
      <c r="A685" s="313" t="s">
        <v>1464</v>
      </c>
      <c r="B685" s="298">
        <f t="shared" si="2"/>
        <v>319</v>
      </c>
      <c r="C685" s="314">
        <v>46</v>
      </c>
      <c r="D685" s="87"/>
      <c r="E685" s="328"/>
      <c r="F685" s="87"/>
      <c r="G685" s="87"/>
      <c r="H685" s="87"/>
      <c r="I685" s="87"/>
    </row>
    <row r="686" spans="1:9">
      <c r="A686" s="315" t="s">
        <v>1465</v>
      </c>
      <c r="B686" s="295">
        <f t="shared" si="2"/>
        <v>320</v>
      </c>
      <c r="C686" s="316">
        <v>45</v>
      </c>
      <c r="D686" s="87"/>
      <c r="E686" s="328"/>
      <c r="F686" s="87"/>
      <c r="G686" s="87"/>
      <c r="H686" s="87"/>
      <c r="I686" s="87"/>
    </row>
    <row r="687" spans="1:9">
      <c r="A687" s="313" t="s">
        <v>1466</v>
      </c>
      <c r="B687" s="298">
        <f t="shared" si="2"/>
        <v>321</v>
      </c>
      <c r="C687" s="314">
        <v>44</v>
      </c>
      <c r="D687" s="87"/>
      <c r="E687" s="328"/>
      <c r="F687" s="87"/>
      <c r="G687" s="87"/>
      <c r="H687" s="87"/>
      <c r="I687" s="87"/>
    </row>
    <row r="688" spans="1:9">
      <c r="A688" s="313" t="s">
        <v>1467</v>
      </c>
      <c r="B688" s="298">
        <f t="shared" si="2"/>
        <v>322</v>
      </c>
      <c r="C688" s="314">
        <v>43</v>
      </c>
      <c r="D688" s="87"/>
      <c r="E688" s="328"/>
      <c r="F688" s="87"/>
      <c r="G688" s="87"/>
      <c r="H688" s="87"/>
      <c r="I688" s="87"/>
    </row>
    <row r="689" spans="1:9">
      <c r="A689" s="315" t="s">
        <v>1468</v>
      </c>
      <c r="B689" s="295">
        <f t="shared" si="2"/>
        <v>323</v>
      </c>
      <c r="C689" s="316">
        <v>42</v>
      </c>
      <c r="D689" s="87"/>
      <c r="E689" s="328"/>
      <c r="F689" s="87"/>
      <c r="G689" s="87"/>
      <c r="H689" s="87"/>
      <c r="I689" s="87"/>
    </row>
    <row r="690" spans="1:9">
      <c r="A690" s="313" t="s">
        <v>1469</v>
      </c>
      <c r="B690" s="298">
        <f t="shared" si="2"/>
        <v>324</v>
      </c>
      <c r="C690" s="314">
        <v>41</v>
      </c>
      <c r="D690" s="87"/>
      <c r="E690" s="328"/>
      <c r="F690" s="87"/>
      <c r="G690" s="87"/>
      <c r="H690" s="87"/>
      <c r="I690" s="87"/>
    </row>
    <row r="691" spans="1:9">
      <c r="A691" s="315" t="s">
        <v>1470</v>
      </c>
      <c r="B691" s="295">
        <f t="shared" si="2"/>
        <v>325</v>
      </c>
      <c r="C691" s="316">
        <v>40</v>
      </c>
      <c r="D691" s="87"/>
      <c r="E691" s="328"/>
      <c r="F691" s="87"/>
      <c r="G691" s="87"/>
      <c r="H691" s="87"/>
      <c r="I691" s="87"/>
    </row>
    <row r="692" spans="1:9">
      <c r="A692" s="313" t="s">
        <v>1471</v>
      </c>
      <c r="B692" s="298">
        <f t="shared" si="2"/>
        <v>326</v>
      </c>
      <c r="C692" s="314">
        <v>39</v>
      </c>
      <c r="D692" s="87"/>
      <c r="E692" s="328"/>
      <c r="F692" s="87"/>
      <c r="G692" s="87"/>
      <c r="H692" s="87"/>
      <c r="I692" s="87"/>
    </row>
    <row r="693" spans="1:9">
      <c r="A693" s="315" t="s">
        <v>1472</v>
      </c>
      <c r="B693" s="295">
        <f t="shared" si="2"/>
        <v>327</v>
      </c>
      <c r="C693" s="316">
        <v>38</v>
      </c>
      <c r="D693" s="87"/>
      <c r="E693" s="328"/>
      <c r="F693" s="87"/>
      <c r="G693" s="87"/>
      <c r="H693" s="87"/>
      <c r="I693" s="87"/>
    </row>
    <row r="694" spans="1:9">
      <c r="A694" s="313" t="s">
        <v>1473</v>
      </c>
      <c r="B694" s="298">
        <f t="shared" si="2"/>
        <v>328</v>
      </c>
      <c r="C694" s="314">
        <v>37</v>
      </c>
      <c r="D694" s="87"/>
      <c r="E694" s="328"/>
      <c r="F694" s="87"/>
      <c r="G694" s="87"/>
      <c r="H694" s="87"/>
      <c r="I694" s="87"/>
    </row>
    <row r="695" spans="1:9">
      <c r="A695" s="313" t="s">
        <v>1474</v>
      </c>
      <c r="B695" s="298">
        <f t="shared" si="2"/>
        <v>329</v>
      </c>
      <c r="C695" s="314">
        <v>36</v>
      </c>
      <c r="D695" s="87"/>
      <c r="E695" s="328"/>
      <c r="F695" s="87"/>
      <c r="G695" s="87"/>
      <c r="H695" s="87"/>
      <c r="I695" s="87"/>
    </row>
    <row r="696" spans="1:9">
      <c r="A696" s="315" t="s">
        <v>1475</v>
      </c>
      <c r="B696" s="295">
        <f t="shared" si="2"/>
        <v>330</v>
      </c>
      <c r="C696" s="316">
        <v>35</v>
      </c>
      <c r="D696" s="87"/>
      <c r="E696" s="328"/>
      <c r="F696" s="87"/>
      <c r="G696" s="87"/>
      <c r="H696" s="87"/>
      <c r="I696" s="87"/>
    </row>
    <row r="697" spans="1:9">
      <c r="A697" s="313" t="s">
        <v>1476</v>
      </c>
      <c r="B697" s="298">
        <f t="shared" si="2"/>
        <v>331</v>
      </c>
      <c r="C697" s="314">
        <v>34</v>
      </c>
      <c r="D697" s="87"/>
      <c r="E697" s="328"/>
      <c r="F697" s="87"/>
      <c r="G697" s="87"/>
      <c r="H697" s="87"/>
      <c r="I697" s="87"/>
    </row>
    <row r="698" spans="1:9">
      <c r="A698" s="315" t="s">
        <v>1477</v>
      </c>
      <c r="B698" s="295">
        <f t="shared" si="2"/>
        <v>332</v>
      </c>
      <c r="C698" s="316">
        <v>33</v>
      </c>
      <c r="D698" s="87"/>
      <c r="E698" s="328"/>
      <c r="F698" s="87"/>
      <c r="G698" s="87"/>
      <c r="H698" s="87"/>
      <c r="I698" s="87"/>
    </row>
    <row r="699" spans="1:9">
      <c r="A699" s="313" t="s">
        <v>1478</v>
      </c>
      <c r="B699" s="298">
        <f t="shared" si="2"/>
        <v>333</v>
      </c>
      <c r="C699" s="314">
        <v>32</v>
      </c>
      <c r="D699" s="87"/>
      <c r="E699" s="328"/>
      <c r="F699" s="87"/>
      <c r="G699" s="87"/>
      <c r="H699" s="87"/>
      <c r="I699" s="87"/>
    </row>
    <row r="700" spans="1:9">
      <c r="A700" s="315" t="s">
        <v>1479</v>
      </c>
      <c r="B700" s="295">
        <f t="shared" si="2"/>
        <v>334</v>
      </c>
      <c r="C700" s="316">
        <v>31</v>
      </c>
      <c r="D700" s="87"/>
      <c r="E700" s="328"/>
      <c r="F700" s="87"/>
      <c r="G700" s="87"/>
      <c r="H700" s="87"/>
      <c r="I700" s="87"/>
    </row>
    <row r="701" spans="1:9">
      <c r="A701" s="313" t="s">
        <v>1480</v>
      </c>
      <c r="B701" s="298">
        <f t="shared" si="2"/>
        <v>335</v>
      </c>
      <c r="C701" s="314">
        <v>30</v>
      </c>
      <c r="D701" s="87"/>
      <c r="E701" s="328"/>
      <c r="F701" s="87"/>
      <c r="G701" s="87"/>
      <c r="H701" s="87"/>
      <c r="I701" s="87"/>
    </row>
    <row r="702" spans="1:9">
      <c r="A702" s="315" t="s">
        <v>1481</v>
      </c>
      <c r="B702" s="295">
        <f t="shared" si="2"/>
        <v>336</v>
      </c>
      <c r="C702" s="316">
        <v>29</v>
      </c>
      <c r="D702" s="87"/>
      <c r="E702" s="328"/>
      <c r="F702" s="87"/>
      <c r="G702" s="87"/>
      <c r="H702" s="87"/>
      <c r="I702" s="87"/>
    </row>
    <row r="703" spans="1:9">
      <c r="A703" s="313" t="s">
        <v>1482</v>
      </c>
      <c r="B703" s="298">
        <f t="shared" si="2"/>
        <v>337</v>
      </c>
      <c r="C703" s="314">
        <v>28</v>
      </c>
      <c r="D703" s="87"/>
      <c r="E703" s="328"/>
      <c r="F703" s="87"/>
      <c r="G703" s="87"/>
      <c r="H703" s="87"/>
      <c r="I703" s="87"/>
    </row>
    <row r="704" spans="1:9">
      <c r="A704" s="315" t="s">
        <v>1483</v>
      </c>
      <c r="B704" s="295">
        <f t="shared" si="2"/>
        <v>338</v>
      </c>
      <c r="C704" s="316">
        <v>27</v>
      </c>
      <c r="D704" s="87"/>
      <c r="E704" s="328"/>
      <c r="F704" s="87"/>
      <c r="G704" s="87"/>
      <c r="H704" s="87"/>
      <c r="I704" s="87"/>
    </row>
    <row r="705" spans="1:9">
      <c r="A705" s="331" t="s">
        <v>1484</v>
      </c>
      <c r="B705" s="332">
        <f t="shared" si="2"/>
        <v>339</v>
      </c>
      <c r="C705" s="333">
        <v>26</v>
      </c>
      <c r="D705" s="87"/>
      <c r="E705" s="329"/>
      <c r="F705" s="87"/>
      <c r="G705" s="87"/>
      <c r="H705" s="87"/>
      <c r="I705" s="87"/>
    </row>
    <row r="706" spans="1:9">
      <c r="A706" s="331" t="s">
        <v>1485</v>
      </c>
      <c r="B706" s="332">
        <f t="shared" si="2"/>
        <v>340</v>
      </c>
      <c r="C706" s="333">
        <v>25</v>
      </c>
      <c r="D706" s="87"/>
      <c r="E706" s="329"/>
      <c r="F706" s="87"/>
      <c r="G706" s="87"/>
      <c r="H706" s="87"/>
      <c r="I706" s="87"/>
    </row>
    <row r="707" spans="1:9">
      <c r="A707" s="331" t="s">
        <v>1486</v>
      </c>
      <c r="B707" s="332">
        <f t="shared" si="2"/>
        <v>341</v>
      </c>
      <c r="C707" s="333">
        <v>24</v>
      </c>
      <c r="D707" s="87"/>
      <c r="E707" s="329"/>
      <c r="F707" s="87"/>
      <c r="G707" s="87"/>
      <c r="H707" s="87"/>
      <c r="I707" s="87"/>
    </row>
    <row r="708" spans="1:9">
      <c r="A708" s="331" t="s">
        <v>1487</v>
      </c>
      <c r="B708" s="332">
        <f t="shared" si="2"/>
        <v>342</v>
      </c>
      <c r="C708" s="333">
        <v>23</v>
      </c>
      <c r="D708" s="87"/>
      <c r="E708" s="329"/>
      <c r="F708" s="87"/>
      <c r="G708" s="87"/>
      <c r="H708" s="87"/>
      <c r="I708" s="87"/>
    </row>
    <row r="709" spans="1:9">
      <c r="A709" s="331" t="s">
        <v>1488</v>
      </c>
      <c r="B709" s="332">
        <f t="shared" si="2"/>
        <v>343</v>
      </c>
      <c r="C709" s="333">
        <v>22</v>
      </c>
      <c r="D709" s="87"/>
      <c r="E709" s="329"/>
      <c r="F709" s="87"/>
      <c r="G709" s="87"/>
      <c r="H709" s="87"/>
      <c r="I709" s="87"/>
    </row>
    <row r="710" spans="1:9">
      <c r="A710" s="331" t="s">
        <v>1489</v>
      </c>
      <c r="B710" s="332">
        <f t="shared" si="2"/>
        <v>344</v>
      </c>
      <c r="C710" s="333">
        <v>21</v>
      </c>
      <c r="D710" s="87"/>
      <c r="E710" s="329"/>
      <c r="F710" s="87"/>
      <c r="G710" s="87"/>
      <c r="H710" s="87"/>
      <c r="I710" s="87"/>
    </row>
    <row r="711" spans="1:9">
      <c r="A711" s="331" t="s">
        <v>1490</v>
      </c>
      <c r="B711" s="332">
        <f t="shared" si="2"/>
        <v>345</v>
      </c>
      <c r="C711" s="333">
        <v>20</v>
      </c>
      <c r="D711" s="87"/>
      <c r="E711" s="329"/>
      <c r="F711" s="87"/>
      <c r="G711" s="87"/>
      <c r="H711" s="87"/>
      <c r="I711" s="87"/>
    </row>
    <row r="712" spans="1:9">
      <c r="A712" s="331" t="s">
        <v>1491</v>
      </c>
      <c r="B712" s="332">
        <f t="shared" si="2"/>
        <v>346</v>
      </c>
      <c r="C712" s="333">
        <v>19</v>
      </c>
      <c r="D712" s="87"/>
      <c r="E712" s="329"/>
      <c r="F712" s="87"/>
      <c r="G712" s="87"/>
      <c r="H712" s="87"/>
      <c r="I712" s="87"/>
    </row>
    <row r="713" spans="1:9">
      <c r="A713" s="331" t="s">
        <v>1492</v>
      </c>
      <c r="B713" s="332">
        <f t="shared" si="2"/>
        <v>347</v>
      </c>
      <c r="C713" s="333">
        <v>18</v>
      </c>
      <c r="D713" s="87"/>
      <c r="E713" s="329"/>
      <c r="F713" s="87"/>
      <c r="G713" s="87"/>
      <c r="H713" s="87"/>
      <c r="I713" s="87"/>
    </row>
    <row r="714" spans="1:9">
      <c r="A714" s="331" t="s">
        <v>1493</v>
      </c>
      <c r="B714" s="332">
        <f t="shared" si="2"/>
        <v>348</v>
      </c>
      <c r="C714" s="333">
        <v>17</v>
      </c>
      <c r="D714" s="304">
        <f>B714-B705+1</f>
        <v>10</v>
      </c>
      <c r="E714" s="330">
        <f>C705-C714+1</f>
        <v>10</v>
      </c>
      <c r="F714" s="87"/>
      <c r="G714" s="87"/>
      <c r="H714" s="87"/>
      <c r="I714" s="87"/>
    </row>
    <row r="715" spans="1:9">
      <c r="A715" s="315" t="s">
        <v>1494</v>
      </c>
      <c r="B715" s="295">
        <f t="shared" si="2"/>
        <v>349</v>
      </c>
      <c r="C715" s="316">
        <v>16</v>
      </c>
      <c r="D715" s="87"/>
      <c r="E715" s="328"/>
      <c r="F715" s="87"/>
      <c r="G715" s="87"/>
      <c r="H715" s="87"/>
      <c r="I715" s="87"/>
    </row>
    <row r="716" spans="1:9">
      <c r="A716" s="313" t="s">
        <v>1495</v>
      </c>
      <c r="B716" s="298">
        <f t="shared" si="2"/>
        <v>350</v>
      </c>
      <c r="C716" s="314">
        <v>15</v>
      </c>
      <c r="D716" s="87"/>
      <c r="E716" s="328"/>
      <c r="F716" s="87"/>
      <c r="G716" s="87"/>
      <c r="H716" s="87"/>
      <c r="I716" s="87"/>
    </row>
    <row r="717" spans="1:9">
      <c r="A717" s="315" t="s">
        <v>1496</v>
      </c>
      <c r="B717" s="295">
        <f t="shared" si="2"/>
        <v>351</v>
      </c>
      <c r="C717" s="316">
        <v>14</v>
      </c>
      <c r="D717" s="87"/>
      <c r="E717" s="328"/>
      <c r="F717" s="87"/>
      <c r="G717" s="87"/>
      <c r="H717" s="87"/>
      <c r="I717" s="87"/>
    </row>
    <row r="718" spans="1:9">
      <c r="A718" s="313" t="s">
        <v>1497</v>
      </c>
      <c r="B718" s="298">
        <f t="shared" si="2"/>
        <v>352</v>
      </c>
      <c r="C718" s="314">
        <v>13</v>
      </c>
      <c r="D718" s="87"/>
      <c r="E718" s="328"/>
      <c r="F718" s="87"/>
      <c r="G718" s="87"/>
      <c r="H718" s="87"/>
      <c r="I718" s="87"/>
    </row>
    <row r="719" spans="1:9">
      <c r="A719" s="315" t="s">
        <v>1498</v>
      </c>
      <c r="B719" s="295">
        <f t="shared" si="2"/>
        <v>353</v>
      </c>
      <c r="C719" s="316">
        <v>12</v>
      </c>
      <c r="D719" s="87"/>
      <c r="E719" s="328"/>
      <c r="F719" s="87"/>
      <c r="G719" s="87"/>
      <c r="H719" s="87"/>
      <c r="I719" s="87"/>
    </row>
    <row r="720" spans="1:9">
      <c r="A720" s="313" t="s">
        <v>1499</v>
      </c>
      <c r="B720" s="298">
        <f t="shared" si="2"/>
        <v>354</v>
      </c>
      <c r="C720" s="314">
        <v>11</v>
      </c>
      <c r="D720" s="87"/>
      <c r="E720" s="328"/>
      <c r="F720" s="87"/>
      <c r="G720" s="87"/>
      <c r="H720" s="87"/>
      <c r="I720" s="87"/>
    </row>
    <row r="721" spans="1:10">
      <c r="A721" s="315" t="s">
        <v>1500</v>
      </c>
      <c r="B721" s="295">
        <f t="shared" si="2"/>
        <v>355</v>
      </c>
      <c r="C721" s="316">
        <v>10</v>
      </c>
      <c r="D721" s="87"/>
      <c r="E721" s="328"/>
      <c r="F721" s="87"/>
      <c r="G721" s="87"/>
      <c r="H721" s="87"/>
      <c r="I721" s="87"/>
    </row>
    <row r="722" spans="1:10">
      <c r="A722" s="313" t="s">
        <v>1501</v>
      </c>
      <c r="B722" s="298">
        <f t="shared" si="2"/>
        <v>356</v>
      </c>
      <c r="C722" s="314">
        <v>9</v>
      </c>
      <c r="D722" s="87"/>
      <c r="E722" s="328"/>
      <c r="F722" s="87"/>
      <c r="G722" s="87"/>
      <c r="H722" s="87"/>
      <c r="I722" s="87"/>
    </row>
    <row r="723" spans="1:10">
      <c r="A723" s="315" t="s">
        <v>1502</v>
      </c>
      <c r="B723" s="295">
        <f t="shared" si="2"/>
        <v>357</v>
      </c>
      <c r="C723" s="316">
        <v>8</v>
      </c>
      <c r="D723" s="87"/>
      <c r="E723" s="328"/>
      <c r="F723" s="87"/>
      <c r="G723" s="87"/>
      <c r="H723" s="87"/>
      <c r="I723" s="87"/>
    </row>
    <row r="724" spans="1:10">
      <c r="A724" s="313" t="s">
        <v>1503</v>
      </c>
      <c r="B724" s="298">
        <f t="shared" si="2"/>
        <v>358</v>
      </c>
      <c r="C724" s="314">
        <v>7</v>
      </c>
      <c r="D724" s="87"/>
      <c r="E724" s="328"/>
      <c r="F724" s="87"/>
      <c r="G724" s="87"/>
      <c r="H724" s="87"/>
      <c r="I724" s="87"/>
    </row>
    <row r="725" spans="1:10">
      <c r="A725" s="315" t="s">
        <v>1504</v>
      </c>
      <c r="B725" s="295">
        <f t="shared" si="2"/>
        <v>359</v>
      </c>
      <c r="C725" s="316">
        <v>6</v>
      </c>
      <c r="D725" s="87"/>
      <c r="E725" s="328"/>
      <c r="F725" s="87"/>
      <c r="G725" s="87"/>
      <c r="H725" s="87"/>
      <c r="I725" s="87"/>
    </row>
    <row r="726" spans="1:10">
      <c r="A726" s="313" t="s">
        <v>1505</v>
      </c>
      <c r="B726" s="298">
        <f t="shared" si="2"/>
        <v>360</v>
      </c>
      <c r="C726" s="314">
        <v>5</v>
      </c>
      <c r="D726" s="87"/>
      <c r="E726" s="328"/>
      <c r="F726" s="87"/>
      <c r="G726" s="87"/>
      <c r="H726" s="87"/>
      <c r="I726" s="87"/>
    </row>
    <row r="727" spans="1:10">
      <c r="A727" s="315" t="s">
        <v>1506</v>
      </c>
      <c r="B727" s="295">
        <f t="shared" si="2"/>
        <v>361</v>
      </c>
      <c r="C727" s="316">
        <v>4</v>
      </c>
      <c r="D727" s="87"/>
      <c r="E727" s="328"/>
      <c r="F727" s="87"/>
      <c r="G727" s="87"/>
      <c r="H727" s="87"/>
      <c r="I727" s="87"/>
    </row>
    <row r="728" spans="1:10">
      <c r="A728" s="313" t="s">
        <v>1507</v>
      </c>
      <c r="B728" s="298">
        <f t="shared" si="2"/>
        <v>362</v>
      </c>
      <c r="C728" s="314">
        <v>3</v>
      </c>
      <c r="D728" s="87"/>
      <c r="E728" s="328"/>
      <c r="F728" s="87"/>
      <c r="G728" s="87"/>
      <c r="H728" s="87"/>
      <c r="I728" s="87"/>
    </row>
    <row r="729" spans="1:10">
      <c r="A729" s="315" t="s">
        <v>1508</v>
      </c>
      <c r="B729" s="295">
        <f t="shared" si="2"/>
        <v>363</v>
      </c>
      <c r="C729" s="316">
        <v>2</v>
      </c>
      <c r="D729" s="87"/>
      <c r="E729" s="328"/>
      <c r="F729" s="87"/>
      <c r="G729" s="87"/>
      <c r="H729" s="87"/>
      <c r="I729" s="87"/>
    </row>
    <row r="730" spans="1:10">
      <c r="A730" s="313" t="s">
        <v>1509</v>
      </c>
      <c r="B730" s="298">
        <f t="shared" si="2"/>
        <v>364</v>
      </c>
      <c r="C730" s="314">
        <v>1</v>
      </c>
      <c r="D730" s="87"/>
      <c r="E730" s="328"/>
      <c r="F730" s="87"/>
      <c r="G730" s="87"/>
      <c r="H730" s="87"/>
      <c r="I730" s="87"/>
    </row>
    <row r="731" spans="1:10">
      <c r="A731" s="334" t="s">
        <v>1510</v>
      </c>
      <c r="B731" s="308">
        <f t="shared" si="2"/>
        <v>365</v>
      </c>
      <c r="C731" s="335">
        <v>0</v>
      </c>
      <c r="D731" s="309"/>
      <c r="E731" s="336"/>
      <c r="F731" s="309" t="e">
        <f>#REF!</f>
        <v>#REF!</v>
      </c>
      <c r="G731" s="309"/>
      <c r="H731" s="309"/>
      <c r="I731" s="309"/>
      <c r="J731" s="91"/>
    </row>
    <row r="732" spans="1:10">
      <c r="A732" s="337" t="s">
        <v>1511</v>
      </c>
      <c r="B732" s="311">
        <f t="shared" si="2"/>
        <v>1</v>
      </c>
      <c r="C732" s="338">
        <v>364</v>
      </c>
      <c r="D732" s="87"/>
      <c r="E732" s="328"/>
      <c r="F732" s="87"/>
      <c r="G732" s="87"/>
      <c r="H732" s="87"/>
      <c r="I732" s="87"/>
    </row>
    <row r="733" spans="1:10">
      <c r="A733" s="339" t="s">
        <v>1512</v>
      </c>
      <c r="B733" s="298">
        <f t="shared" si="2"/>
        <v>2</v>
      </c>
      <c r="C733" s="340">
        <v>363</v>
      </c>
      <c r="D733" s="87"/>
      <c r="E733" s="328"/>
      <c r="F733" s="87"/>
      <c r="G733" s="87"/>
      <c r="H733" s="87"/>
      <c r="I733" s="87"/>
    </row>
    <row r="734" spans="1:10">
      <c r="A734" s="341" t="s">
        <v>1513</v>
      </c>
      <c r="B734" s="295">
        <f t="shared" si="2"/>
        <v>3</v>
      </c>
      <c r="C734" s="342">
        <v>362</v>
      </c>
      <c r="D734" s="87"/>
      <c r="E734" s="328"/>
      <c r="F734" s="87"/>
      <c r="G734" s="87"/>
      <c r="H734" s="87"/>
      <c r="I734" s="87"/>
    </row>
    <row r="735" spans="1:10">
      <c r="A735" s="339" t="s">
        <v>1514</v>
      </c>
      <c r="B735" s="298">
        <f t="shared" si="2"/>
        <v>4</v>
      </c>
      <c r="C735" s="340">
        <v>361</v>
      </c>
      <c r="D735" s="87"/>
      <c r="E735" s="328"/>
      <c r="F735" s="87"/>
      <c r="G735" s="87"/>
      <c r="H735" s="87"/>
      <c r="I735" s="87"/>
    </row>
    <row r="736" spans="1:10">
      <c r="A736" s="341" t="s">
        <v>1515</v>
      </c>
      <c r="B736" s="295">
        <f t="shared" si="2"/>
        <v>5</v>
      </c>
      <c r="C736" s="342">
        <v>360</v>
      </c>
      <c r="D736" s="87"/>
      <c r="E736" s="328"/>
      <c r="F736" s="87"/>
      <c r="G736" s="87"/>
      <c r="H736" s="87"/>
      <c r="I736" s="87"/>
    </row>
    <row r="737" spans="1:9">
      <c r="A737" s="339" t="s">
        <v>1516</v>
      </c>
      <c r="B737" s="298">
        <f t="shared" si="2"/>
        <v>6</v>
      </c>
      <c r="C737" s="340">
        <v>359</v>
      </c>
      <c r="D737" s="87"/>
      <c r="E737" s="328"/>
      <c r="F737" s="87"/>
      <c r="G737" s="87"/>
      <c r="H737" s="87"/>
      <c r="I737" s="87"/>
    </row>
    <row r="738" spans="1:9">
      <c r="A738" s="341" t="s">
        <v>1517</v>
      </c>
      <c r="B738" s="295">
        <f t="shared" si="2"/>
        <v>7</v>
      </c>
      <c r="C738" s="342">
        <v>358</v>
      </c>
      <c r="D738" s="87"/>
      <c r="E738" s="328"/>
      <c r="F738" s="87"/>
      <c r="G738" s="87"/>
      <c r="H738" s="87"/>
      <c r="I738" s="87"/>
    </row>
    <row r="739" spans="1:9">
      <c r="A739" s="339" t="s">
        <v>1518</v>
      </c>
      <c r="B739" s="298">
        <f t="shared" si="2"/>
        <v>8</v>
      </c>
      <c r="C739" s="340">
        <v>357</v>
      </c>
      <c r="D739" s="87"/>
      <c r="E739" s="328"/>
      <c r="F739" s="87"/>
      <c r="G739" s="87"/>
      <c r="H739" s="87"/>
      <c r="I739" s="87"/>
    </row>
    <row r="740" spans="1:9">
      <c r="A740" s="341" t="s">
        <v>1519</v>
      </c>
      <c r="B740" s="295">
        <f t="shared" si="2"/>
        <v>9</v>
      </c>
      <c r="C740" s="342">
        <v>356</v>
      </c>
      <c r="D740" s="87"/>
      <c r="E740" s="328"/>
      <c r="F740" s="87"/>
      <c r="G740" s="87"/>
      <c r="H740" s="87"/>
      <c r="I740" s="87"/>
    </row>
    <row r="741" spans="1:9">
      <c r="A741" s="339" t="s">
        <v>1520</v>
      </c>
      <c r="B741" s="298">
        <f t="shared" si="2"/>
        <v>10</v>
      </c>
      <c r="C741" s="340">
        <v>355</v>
      </c>
      <c r="D741" s="87"/>
      <c r="E741" s="328"/>
      <c r="F741" s="87"/>
      <c r="G741" s="87"/>
      <c r="H741" s="87"/>
      <c r="I741" s="87"/>
    </row>
    <row r="742" spans="1:9">
      <c r="A742" s="341" t="s">
        <v>1521</v>
      </c>
      <c r="B742" s="295">
        <f t="shared" si="2"/>
        <v>11</v>
      </c>
      <c r="C742" s="342">
        <v>354</v>
      </c>
      <c r="D742" s="87"/>
      <c r="E742" s="328"/>
      <c r="F742" s="87"/>
      <c r="G742" s="87"/>
      <c r="H742" s="87"/>
      <c r="I742" s="87"/>
    </row>
    <row r="743" spans="1:9">
      <c r="A743" s="339" t="s">
        <v>1522</v>
      </c>
      <c r="B743" s="298">
        <f t="shared" si="2"/>
        <v>12</v>
      </c>
      <c r="C743" s="340">
        <v>353</v>
      </c>
      <c r="D743" s="87"/>
      <c r="E743" s="328"/>
      <c r="F743" s="87"/>
      <c r="G743" s="87"/>
      <c r="H743" s="87"/>
      <c r="I743" s="87"/>
    </row>
    <row r="744" spans="1:9">
      <c r="A744" s="341" t="s">
        <v>1523</v>
      </c>
      <c r="B744" s="295">
        <f t="shared" si="2"/>
        <v>13</v>
      </c>
      <c r="C744" s="342">
        <v>352</v>
      </c>
      <c r="D744" s="87"/>
      <c r="E744" s="328"/>
      <c r="F744" s="87"/>
      <c r="G744" s="87"/>
      <c r="H744" s="87"/>
      <c r="I744" s="87"/>
    </row>
    <row r="745" spans="1:9">
      <c r="A745" s="339" t="s">
        <v>1524</v>
      </c>
      <c r="B745" s="298">
        <f t="shared" si="2"/>
        <v>14</v>
      </c>
      <c r="C745" s="340">
        <v>351</v>
      </c>
      <c r="D745" s="87"/>
      <c r="E745" s="328"/>
      <c r="F745" s="87"/>
      <c r="G745" s="87"/>
      <c r="H745" s="87"/>
      <c r="I745" s="87"/>
    </row>
    <row r="746" spans="1:9">
      <c r="A746" s="341" t="s">
        <v>1525</v>
      </c>
      <c r="B746" s="295">
        <f t="shared" si="2"/>
        <v>15</v>
      </c>
      <c r="C746" s="342">
        <v>350</v>
      </c>
      <c r="D746" s="87"/>
      <c r="E746" s="328"/>
      <c r="F746" s="87"/>
      <c r="G746" s="87"/>
      <c r="H746" s="87"/>
      <c r="I746" s="87"/>
    </row>
    <row r="747" spans="1:9">
      <c r="A747" s="339" t="s">
        <v>1526</v>
      </c>
      <c r="B747" s="298">
        <f t="shared" si="2"/>
        <v>16</v>
      </c>
      <c r="C747" s="340">
        <v>349</v>
      </c>
      <c r="D747" s="87"/>
      <c r="E747" s="328"/>
      <c r="F747" s="87"/>
      <c r="G747" s="87"/>
      <c r="H747" s="87"/>
      <c r="I747" s="87"/>
    </row>
    <row r="748" spans="1:9">
      <c r="A748" s="341" t="s">
        <v>1527</v>
      </c>
      <c r="B748" s="295">
        <f t="shared" si="2"/>
        <v>17</v>
      </c>
      <c r="C748" s="343">
        <v>348</v>
      </c>
      <c r="D748" s="87"/>
      <c r="E748" s="328"/>
      <c r="F748" s="87"/>
      <c r="G748" s="87"/>
      <c r="H748" s="87"/>
      <c r="I748" s="87"/>
    </row>
    <row r="749" spans="1:9">
      <c r="A749" s="339" t="s">
        <v>1528</v>
      </c>
      <c r="B749" s="298">
        <f t="shared" si="2"/>
        <v>18</v>
      </c>
      <c r="C749" s="343">
        <v>347</v>
      </c>
      <c r="D749" s="87"/>
      <c r="E749" s="328"/>
      <c r="F749" s="87"/>
      <c r="G749" s="87"/>
      <c r="H749" s="87"/>
      <c r="I749" s="87"/>
    </row>
    <row r="750" spans="1:9">
      <c r="A750" s="341" t="s">
        <v>1529</v>
      </c>
      <c r="B750" s="295">
        <f t="shared" si="2"/>
        <v>19</v>
      </c>
      <c r="C750" s="343">
        <v>346</v>
      </c>
      <c r="D750" s="87"/>
      <c r="E750" s="328"/>
      <c r="F750" s="87"/>
      <c r="G750" s="87"/>
      <c r="H750" s="87"/>
      <c r="I750" s="87"/>
    </row>
    <row r="751" spans="1:9">
      <c r="A751" s="339" t="s">
        <v>1530</v>
      </c>
      <c r="B751" s="298">
        <f t="shared" si="2"/>
        <v>20</v>
      </c>
      <c r="C751" s="343">
        <v>345</v>
      </c>
      <c r="D751" s="87"/>
      <c r="E751" s="328"/>
      <c r="F751" s="87"/>
      <c r="G751" s="87"/>
      <c r="H751" s="87"/>
      <c r="I751" s="87"/>
    </row>
    <row r="752" spans="1:9">
      <c r="A752" s="341" t="s">
        <v>1531</v>
      </c>
      <c r="B752" s="295">
        <f t="shared" si="2"/>
        <v>21</v>
      </c>
      <c r="C752" s="343">
        <v>344</v>
      </c>
      <c r="D752" s="87"/>
      <c r="E752" s="328"/>
      <c r="F752" s="87"/>
      <c r="G752" s="87"/>
      <c r="H752" s="87"/>
      <c r="I752" s="87"/>
    </row>
    <row r="753" spans="1:9">
      <c r="A753" s="339" t="s">
        <v>1532</v>
      </c>
      <c r="B753" s="298">
        <f t="shared" si="2"/>
        <v>22</v>
      </c>
      <c r="C753" s="343">
        <v>343</v>
      </c>
      <c r="D753" s="87"/>
      <c r="E753" s="328"/>
      <c r="F753" s="87"/>
      <c r="G753" s="87"/>
      <c r="H753" s="87"/>
      <c r="I753" s="87"/>
    </row>
    <row r="754" spans="1:9">
      <c r="A754" s="341" t="s">
        <v>1533</v>
      </c>
      <c r="B754" s="295">
        <f t="shared" si="2"/>
        <v>23</v>
      </c>
      <c r="C754" s="343">
        <v>342</v>
      </c>
      <c r="D754" s="87"/>
      <c r="E754" s="328"/>
      <c r="F754" s="87"/>
      <c r="G754" s="87"/>
      <c r="H754" s="87"/>
      <c r="I754" s="87"/>
    </row>
    <row r="755" spans="1:9">
      <c r="A755" s="339" t="s">
        <v>1534</v>
      </c>
      <c r="B755" s="298">
        <f t="shared" si="2"/>
        <v>24</v>
      </c>
      <c r="C755" s="343">
        <v>341</v>
      </c>
      <c r="D755" s="87"/>
      <c r="E755" s="328"/>
      <c r="F755" s="87"/>
      <c r="G755" s="87"/>
      <c r="H755" s="87"/>
      <c r="I755" s="87"/>
    </row>
    <row r="756" spans="1:9">
      <c r="A756" s="341" t="s">
        <v>1535</v>
      </c>
      <c r="B756" s="295">
        <f t="shared" si="2"/>
        <v>25</v>
      </c>
      <c r="C756" s="343">
        <v>340</v>
      </c>
      <c r="D756" s="87"/>
      <c r="E756" s="328"/>
      <c r="F756" s="87"/>
      <c r="G756" s="87"/>
      <c r="H756" s="87"/>
      <c r="I756" s="87"/>
    </row>
    <row r="757" spans="1:9">
      <c r="A757" s="339" t="s">
        <v>1536</v>
      </c>
      <c r="B757" s="298">
        <f t="shared" si="2"/>
        <v>26</v>
      </c>
      <c r="C757" s="343">
        <v>339</v>
      </c>
      <c r="D757" s="87"/>
      <c r="E757" s="328"/>
      <c r="F757" s="87"/>
      <c r="G757" s="87"/>
      <c r="H757" s="87"/>
      <c r="I757" s="87"/>
    </row>
    <row r="758" spans="1:9">
      <c r="A758" s="341" t="s">
        <v>1537</v>
      </c>
      <c r="B758" s="295">
        <f t="shared" si="2"/>
        <v>27</v>
      </c>
      <c r="C758" s="343">
        <v>338</v>
      </c>
      <c r="D758" s="87"/>
      <c r="E758" s="328"/>
      <c r="F758" s="87"/>
      <c r="G758" s="87"/>
      <c r="H758" s="87"/>
      <c r="I758" s="87"/>
    </row>
    <row r="759" spans="1:9">
      <c r="A759" s="339" t="s">
        <v>1538</v>
      </c>
      <c r="B759" s="298">
        <f t="shared" si="2"/>
        <v>28</v>
      </c>
      <c r="C759" s="343">
        <v>337</v>
      </c>
      <c r="D759" s="87"/>
      <c r="E759" s="328"/>
      <c r="F759" s="87"/>
      <c r="G759" s="87"/>
      <c r="H759" s="87"/>
      <c r="I759" s="87"/>
    </row>
    <row r="760" spans="1:9">
      <c r="A760" s="341" t="s">
        <v>1539</v>
      </c>
      <c r="B760" s="295">
        <f t="shared" si="2"/>
        <v>29</v>
      </c>
      <c r="C760" s="343">
        <v>336</v>
      </c>
      <c r="D760" s="87"/>
      <c r="E760" s="328"/>
      <c r="F760" s="87"/>
      <c r="G760" s="87"/>
      <c r="H760" s="87"/>
      <c r="I760" s="87"/>
    </row>
    <row r="761" spans="1:9">
      <c r="A761" s="339" t="s">
        <v>1540</v>
      </c>
      <c r="B761" s="298">
        <f t="shared" si="2"/>
        <v>30</v>
      </c>
      <c r="C761" s="343">
        <v>335</v>
      </c>
      <c r="D761" s="87"/>
      <c r="E761" s="328"/>
      <c r="F761" s="87"/>
      <c r="G761" s="87"/>
      <c r="H761" s="87"/>
      <c r="I761" s="87"/>
    </row>
    <row r="762" spans="1:9">
      <c r="A762" s="341" t="s">
        <v>1541</v>
      </c>
      <c r="B762" s="295">
        <f t="shared" si="2"/>
        <v>31</v>
      </c>
      <c r="C762" s="343">
        <v>334</v>
      </c>
      <c r="D762" s="87"/>
      <c r="E762" s="328"/>
      <c r="F762" s="87"/>
      <c r="G762" s="87"/>
      <c r="H762" s="87"/>
      <c r="I762" s="87"/>
    </row>
    <row r="763" spans="1:9">
      <c r="A763" s="339" t="s">
        <v>1542</v>
      </c>
      <c r="B763" s="298">
        <f t="shared" si="2"/>
        <v>32</v>
      </c>
      <c r="C763" s="343">
        <v>333</v>
      </c>
      <c r="D763" s="87"/>
      <c r="E763" s="328"/>
      <c r="F763" s="87"/>
      <c r="G763" s="87"/>
      <c r="H763" s="87"/>
      <c r="I763" s="87"/>
    </row>
    <row r="764" spans="1:9">
      <c r="A764" s="341" t="s">
        <v>1543</v>
      </c>
      <c r="B764" s="295">
        <f t="shared" si="2"/>
        <v>33</v>
      </c>
      <c r="C764" s="343">
        <v>332</v>
      </c>
      <c r="D764" s="87"/>
      <c r="E764" s="328"/>
      <c r="F764" s="87"/>
      <c r="G764" s="87"/>
      <c r="H764" s="87"/>
      <c r="I764" s="87"/>
    </row>
    <row r="765" spans="1:9">
      <c r="A765" s="339" t="s">
        <v>1544</v>
      </c>
      <c r="B765" s="298">
        <f t="shared" si="2"/>
        <v>34</v>
      </c>
      <c r="C765" s="343">
        <v>331</v>
      </c>
      <c r="D765" s="87"/>
      <c r="E765" s="328"/>
      <c r="F765" s="87"/>
      <c r="G765" s="87"/>
      <c r="H765" s="87"/>
      <c r="I765" s="87"/>
    </row>
    <row r="766" spans="1:9">
      <c r="A766" s="341" t="s">
        <v>1545</v>
      </c>
      <c r="B766" s="295">
        <f t="shared" si="2"/>
        <v>35</v>
      </c>
      <c r="C766" s="343">
        <v>330</v>
      </c>
      <c r="D766" s="87"/>
      <c r="E766" s="328"/>
      <c r="F766" s="87"/>
      <c r="G766" s="87"/>
      <c r="H766" s="87"/>
      <c r="I766" s="87"/>
    </row>
    <row r="767" spans="1:9">
      <c r="A767" s="339" t="s">
        <v>1546</v>
      </c>
      <c r="B767" s="298">
        <f t="shared" ref="B767:B1021" si="3">365-C767</f>
        <v>36</v>
      </c>
      <c r="C767" s="343">
        <v>329</v>
      </c>
      <c r="D767" s="87"/>
      <c r="E767" s="328"/>
      <c r="F767" s="87"/>
      <c r="G767" s="87"/>
      <c r="H767" s="87"/>
      <c r="I767" s="87"/>
    </row>
    <row r="768" spans="1:9">
      <c r="A768" s="341" t="s">
        <v>1547</v>
      </c>
      <c r="B768" s="295">
        <f t="shared" si="3"/>
        <v>37</v>
      </c>
      <c r="C768" s="343">
        <v>328</v>
      </c>
      <c r="D768" s="87"/>
      <c r="E768" s="328"/>
      <c r="F768" s="87"/>
      <c r="G768" s="87"/>
      <c r="H768" s="87"/>
      <c r="I768" s="87"/>
    </row>
    <row r="769" spans="1:9">
      <c r="A769" s="339" t="s">
        <v>1548</v>
      </c>
      <c r="B769" s="298">
        <f t="shared" si="3"/>
        <v>38</v>
      </c>
      <c r="C769" s="343">
        <v>327</v>
      </c>
      <c r="D769" s="87"/>
      <c r="E769" s="328"/>
      <c r="F769" s="87"/>
      <c r="G769" s="87"/>
      <c r="H769" s="87"/>
      <c r="I769" s="87"/>
    </row>
    <row r="770" spans="1:9">
      <c r="A770" s="341" t="s">
        <v>1549</v>
      </c>
      <c r="B770" s="295">
        <f t="shared" si="3"/>
        <v>39</v>
      </c>
      <c r="C770" s="343">
        <v>326</v>
      </c>
      <c r="D770" s="87"/>
      <c r="E770" s="328">
        <f>C748-C770+1</f>
        <v>23</v>
      </c>
      <c r="F770" s="87"/>
      <c r="G770" s="87"/>
      <c r="H770" s="87"/>
      <c r="I770" s="87"/>
    </row>
    <row r="771" spans="1:9">
      <c r="A771" s="339" t="s">
        <v>1550</v>
      </c>
      <c r="B771" s="298">
        <f t="shared" si="3"/>
        <v>40</v>
      </c>
      <c r="C771" s="340">
        <v>325</v>
      </c>
      <c r="D771" s="87"/>
      <c r="E771" s="328"/>
      <c r="F771" s="87"/>
      <c r="G771" s="87"/>
      <c r="H771" s="87"/>
      <c r="I771" s="87"/>
    </row>
    <row r="772" spans="1:9">
      <c r="A772" s="341" t="s">
        <v>1551</v>
      </c>
      <c r="B772" s="295">
        <f t="shared" si="3"/>
        <v>41</v>
      </c>
      <c r="C772" s="342">
        <v>324</v>
      </c>
      <c r="D772" s="87"/>
      <c r="E772" s="328"/>
      <c r="F772" s="87"/>
      <c r="G772" s="87"/>
      <c r="H772" s="87"/>
      <c r="I772" s="87"/>
    </row>
    <row r="773" spans="1:9">
      <c r="A773" s="339" t="s">
        <v>1552</v>
      </c>
      <c r="B773" s="298">
        <f t="shared" si="3"/>
        <v>42</v>
      </c>
      <c r="C773" s="340">
        <v>323</v>
      </c>
      <c r="D773" s="87"/>
      <c r="E773" s="328"/>
      <c r="F773" s="87"/>
      <c r="G773" s="87"/>
      <c r="H773" s="87"/>
      <c r="I773" s="87"/>
    </row>
    <row r="774" spans="1:9">
      <c r="A774" s="341" t="s">
        <v>1553</v>
      </c>
      <c r="B774" s="295">
        <f t="shared" si="3"/>
        <v>43</v>
      </c>
      <c r="C774" s="342">
        <v>322</v>
      </c>
      <c r="D774" s="87"/>
      <c r="E774" s="328"/>
      <c r="F774" s="87"/>
      <c r="G774" s="87"/>
      <c r="H774" s="87"/>
      <c r="I774" s="87"/>
    </row>
    <row r="775" spans="1:9">
      <c r="A775" s="339" t="s">
        <v>1554</v>
      </c>
      <c r="B775" s="298">
        <f t="shared" si="3"/>
        <v>44</v>
      </c>
      <c r="C775" s="340">
        <v>321</v>
      </c>
      <c r="D775" s="87"/>
      <c r="E775" s="328"/>
      <c r="F775" s="87"/>
      <c r="G775" s="87"/>
      <c r="H775" s="87"/>
      <c r="I775" s="87"/>
    </row>
    <row r="776" spans="1:9">
      <c r="A776" s="341" t="s">
        <v>1555</v>
      </c>
      <c r="B776" s="295">
        <f t="shared" si="3"/>
        <v>45</v>
      </c>
      <c r="C776" s="342">
        <v>320</v>
      </c>
      <c r="D776" s="87"/>
      <c r="E776" s="328"/>
      <c r="F776" s="87"/>
      <c r="G776" s="87"/>
      <c r="H776" s="87"/>
      <c r="I776" s="87"/>
    </row>
    <row r="777" spans="1:9">
      <c r="A777" s="339" t="s">
        <v>1556</v>
      </c>
      <c r="B777" s="298">
        <f t="shared" si="3"/>
        <v>46</v>
      </c>
      <c r="C777" s="340">
        <v>319</v>
      </c>
      <c r="D777" s="87"/>
      <c r="E777" s="328"/>
      <c r="F777" s="87"/>
      <c r="G777" s="87"/>
      <c r="H777" s="87"/>
      <c r="I777" s="87"/>
    </row>
    <row r="778" spans="1:9">
      <c r="A778" s="341" t="s">
        <v>1557</v>
      </c>
      <c r="B778" s="295">
        <f t="shared" si="3"/>
        <v>47</v>
      </c>
      <c r="C778" s="342">
        <v>318</v>
      </c>
      <c r="D778" s="87"/>
      <c r="E778" s="328"/>
      <c r="F778" s="87"/>
      <c r="G778" s="87"/>
      <c r="H778" s="87"/>
      <c r="I778" s="87"/>
    </row>
    <row r="779" spans="1:9">
      <c r="A779" s="339" t="s">
        <v>1558</v>
      </c>
      <c r="B779" s="298">
        <f t="shared" si="3"/>
        <v>48</v>
      </c>
      <c r="C779" s="340">
        <v>317</v>
      </c>
      <c r="D779" s="87"/>
      <c r="E779" s="328"/>
      <c r="F779" s="87"/>
      <c r="G779" s="87"/>
      <c r="H779" s="87"/>
      <c r="I779" s="87"/>
    </row>
    <row r="780" spans="1:9">
      <c r="A780" s="341" t="s">
        <v>1559</v>
      </c>
      <c r="B780" s="295">
        <f t="shared" si="3"/>
        <v>49</v>
      </c>
      <c r="C780" s="342">
        <v>316</v>
      </c>
      <c r="D780" s="87"/>
      <c r="E780" s="328"/>
      <c r="F780" s="87"/>
      <c r="G780" s="87"/>
      <c r="H780" s="87"/>
      <c r="I780" s="87"/>
    </row>
    <row r="781" spans="1:9">
      <c r="A781" s="339" t="s">
        <v>1560</v>
      </c>
      <c r="B781" s="298">
        <f t="shared" si="3"/>
        <v>50</v>
      </c>
      <c r="C781" s="340">
        <v>315</v>
      </c>
      <c r="D781" s="87"/>
      <c r="E781" s="328"/>
      <c r="F781" s="87"/>
      <c r="G781" s="87"/>
      <c r="H781" s="87"/>
      <c r="I781" s="87"/>
    </row>
    <row r="782" spans="1:9">
      <c r="A782" s="341" t="s">
        <v>1561</v>
      </c>
      <c r="B782" s="295">
        <f t="shared" si="3"/>
        <v>51</v>
      </c>
      <c r="C782" s="342">
        <v>314</v>
      </c>
      <c r="D782" s="87"/>
      <c r="E782" s="328"/>
      <c r="F782" s="87"/>
      <c r="G782" s="87"/>
      <c r="H782" s="87"/>
      <c r="I782" s="87"/>
    </row>
    <row r="783" spans="1:9">
      <c r="A783" s="339" t="s">
        <v>1562</v>
      </c>
      <c r="B783" s="298">
        <f t="shared" si="3"/>
        <v>52</v>
      </c>
      <c r="C783" s="340">
        <v>313</v>
      </c>
      <c r="D783" s="87"/>
      <c r="E783" s="328"/>
      <c r="F783" s="87"/>
      <c r="G783" s="87"/>
      <c r="H783" s="87"/>
      <c r="I783" s="87"/>
    </row>
    <row r="784" spans="1:9">
      <c r="A784" s="341" t="s">
        <v>1563</v>
      </c>
      <c r="B784" s="295">
        <f t="shared" si="3"/>
        <v>53</v>
      </c>
      <c r="C784" s="342">
        <v>312</v>
      </c>
      <c r="D784" s="87"/>
      <c r="E784" s="328"/>
      <c r="F784" s="87"/>
      <c r="G784" s="87"/>
      <c r="H784" s="87"/>
      <c r="I784" s="87"/>
    </row>
    <row r="785" spans="1:9">
      <c r="A785" s="339" t="s">
        <v>1564</v>
      </c>
      <c r="B785" s="298">
        <f t="shared" si="3"/>
        <v>54</v>
      </c>
      <c r="C785" s="340">
        <v>311</v>
      </c>
      <c r="D785" s="87"/>
      <c r="E785" s="328"/>
      <c r="F785" s="87"/>
      <c r="G785" s="87"/>
      <c r="H785" s="87"/>
      <c r="I785" s="87"/>
    </row>
    <row r="786" spans="1:9">
      <c r="A786" s="341" t="s">
        <v>1565</v>
      </c>
      <c r="B786" s="295">
        <f t="shared" si="3"/>
        <v>55</v>
      </c>
      <c r="C786" s="342">
        <v>310</v>
      </c>
      <c r="D786" s="87"/>
      <c r="E786" s="328"/>
      <c r="F786" s="87"/>
      <c r="G786" s="87"/>
      <c r="H786" s="87"/>
      <c r="I786" s="87"/>
    </row>
    <row r="787" spans="1:9">
      <c r="A787" s="339" t="s">
        <v>1566</v>
      </c>
      <c r="B787" s="298">
        <f t="shared" si="3"/>
        <v>56</v>
      </c>
      <c r="C787" s="340">
        <v>309</v>
      </c>
      <c r="D787" s="87"/>
      <c r="E787" s="328"/>
      <c r="F787" s="87"/>
      <c r="G787" s="87"/>
      <c r="H787" s="87"/>
      <c r="I787" s="87"/>
    </row>
    <row r="788" spans="1:9">
      <c r="A788" s="341" t="s">
        <v>1567</v>
      </c>
      <c r="B788" s="295">
        <f t="shared" si="3"/>
        <v>57</v>
      </c>
      <c r="C788" s="342">
        <v>308</v>
      </c>
      <c r="D788" s="87"/>
      <c r="E788" s="328"/>
      <c r="F788" s="87"/>
      <c r="G788" s="87"/>
      <c r="H788" s="87"/>
      <c r="I788" s="87"/>
    </row>
    <row r="789" spans="1:9">
      <c r="A789" s="339" t="s">
        <v>1568</v>
      </c>
      <c r="B789" s="298">
        <f t="shared" si="3"/>
        <v>58</v>
      </c>
      <c r="C789" s="340">
        <v>307</v>
      </c>
      <c r="D789" s="87"/>
      <c r="E789" s="328"/>
      <c r="F789" s="87"/>
      <c r="G789" s="87"/>
      <c r="H789" s="87"/>
      <c r="I789" s="87"/>
    </row>
    <row r="790" spans="1:9">
      <c r="A790" s="341" t="s">
        <v>1569</v>
      </c>
      <c r="B790" s="295">
        <f t="shared" si="3"/>
        <v>59</v>
      </c>
      <c r="C790" s="342">
        <v>306</v>
      </c>
      <c r="D790" s="87"/>
      <c r="E790" s="328"/>
      <c r="F790" s="87"/>
      <c r="G790" s="87"/>
      <c r="H790" s="87"/>
      <c r="I790" s="87"/>
    </row>
    <row r="791" spans="1:9">
      <c r="A791" s="339" t="s">
        <v>1570</v>
      </c>
      <c r="B791" s="298">
        <f t="shared" si="3"/>
        <v>60</v>
      </c>
      <c r="C791" s="340">
        <v>305</v>
      </c>
      <c r="D791" s="87"/>
      <c r="E791" s="328"/>
      <c r="F791" s="87"/>
      <c r="G791" s="87"/>
      <c r="H791" s="87"/>
      <c r="I791" s="87"/>
    </row>
    <row r="792" spans="1:9">
      <c r="A792" s="341" t="s">
        <v>1571</v>
      </c>
      <c r="B792" s="295">
        <f t="shared" si="3"/>
        <v>61</v>
      </c>
      <c r="C792" s="343">
        <v>304</v>
      </c>
      <c r="D792" s="87"/>
      <c r="E792" s="328"/>
      <c r="F792" s="87"/>
      <c r="G792" s="87"/>
      <c r="H792" s="87"/>
      <c r="I792" s="87"/>
    </row>
    <row r="793" spans="1:9">
      <c r="A793" s="339" t="s">
        <v>1572</v>
      </c>
      <c r="B793" s="298">
        <f t="shared" si="3"/>
        <v>62</v>
      </c>
      <c r="C793" s="343">
        <v>303</v>
      </c>
      <c r="D793" s="87"/>
      <c r="E793" s="328"/>
      <c r="F793" s="87"/>
      <c r="G793" s="87"/>
      <c r="H793" s="87"/>
      <c r="I793" s="87"/>
    </row>
    <row r="794" spans="1:9">
      <c r="A794" s="341" t="s">
        <v>1573</v>
      </c>
      <c r="B794" s="295">
        <f t="shared" si="3"/>
        <v>63</v>
      </c>
      <c r="C794" s="343">
        <v>302</v>
      </c>
      <c r="D794" s="87"/>
      <c r="E794" s="328"/>
      <c r="F794" s="87"/>
      <c r="G794" s="87"/>
      <c r="H794" s="87"/>
      <c r="I794" s="87"/>
    </row>
    <row r="795" spans="1:9">
      <c r="A795" s="339" t="s">
        <v>1574</v>
      </c>
      <c r="B795" s="298">
        <f t="shared" si="3"/>
        <v>64</v>
      </c>
      <c r="C795" s="343">
        <v>301</v>
      </c>
      <c r="D795" s="87"/>
      <c r="E795" s="328"/>
      <c r="F795" s="87"/>
      <c r="G795" s="87"/>
      <c r="H795" s="87"/>
      <c r="I795" s="87"/>
    </row>
    <row r="796" spans="1:9">
      <c r="A796" s="341" t="s">
        <v>1575</v>
      </c>
      <c r="B796" s="295">
        <f t="shared" si="3"/>
        <v>65</v>
      </c>
      <c r="C796" s="343">
        <v>300</v>
      </c>
      <c r="D796" s="87"/>
      <c r="E796" s="328"/>
      <c r="F796" s="87"/>
      <c r="G796" s="87"/>
      <c r="H796" s="87"/>
      <c r="I796" s="87"/>
    </row>
    <row r="797" spans="1:9">
      <c r="A797" s="339" t="s">
        <v>1576</v>
      </c>
      <c r="B797" s="298">
        <f t="shared" si="3"/>
        <v>66</v>
      </c>
      <c r="C797" s="343">
        <v>299</v>
      </c>
      <c r="D797" s="87"/>
      <c r="E797" s="328"/>
      <c r="F797" s="87"/>
      <c r="G797" s="87"/>
      <c r="H797" s="87"/>
      <c r="I797" s="87"/>
    </row>
    <row r="798" spans="1:9">
      <c r="A798" s="341" t="s">
        <v>1577</v>
      </c>
      <c r="B798" s="295">
        <f t="shared" si="3"/>
        <v>67</v>
      </c>
      <c r="C798" s="343">
        <v>298</v>
      </c>
      <c r="D798" s="87"/>
      <c r="E798" s="328"/>
      <c r="F798" s="87"/>
      <c r="G798" s="87"/>
      <c r="H798" s="87"/>
      <c r="I798" s="87"/>
    </row>
    <row r="799" spans="1:9">
      <c r="A799" s="339" t="s">
        <v>1578</v>
      </c>
      <c r="B799" s="298">
        <f t="shared" si="3"/>
        <v>68</v>
      </c>
      <c r="C799" s="343">
        <v>297</v>
      </c>
      <c r="D799" s="87"/>
      <c r="E799" s="328"/>
      <c r="F799" s="87"/>
      <c r="G799" s="87"/>
      <c r="H799" s="87"/>
      <c r="I799" s="87"/>
    </row>
    <row r="800" spans="1:9">
      <c r="A800" s="341" t="s">
        <v>1579</v>
      </c>
      <c r="B800" s="295">
        <f t="shared" si="3"/>
        <v>69</v>
      </c>
      <c r="C800" s="343">
        <v>296</v>
      </c>
      <c r="D800" s="87"/>
      <c r="E800" s="328"/>
      <c r="F800" s="87"/>
      <c r="G800" s="87"/>
      <c r="H800" s="87"/>
      <c r="I800" s="87"/>
    </row>
    <row r="801" spans="1:9">
      <c r="A801" s="339" t="s">
        <v>1580</v>
      </c>
      <c r="B801" s="298">
        <f t="shared" si="3"/>
        <v>70</v>
      </c>
      <c r="C801" s="343">
        <v>295</v>
      </c>
      <c r="D801" s="87"/>
      <c r="E801" s="328"/>
      <c r="F801" s="87"/>
      <c r="G801" s="87"/>
      <c r="H801" s="87"/>
      <c r="I801" s="87"/>
    </row>
    <row r="802" spans="1:9">
      <c r="A802" s="341" t="s">
        <v>1581</v>
      </c>
      <c r="B802" s="295">
        <f t="shared" si="3"/>
        <v>71</v>
      </c>
      <c r="C802" s="343">
        <v>294</v>
      </c>
      <c r="D802" s="87"/>
      <c r="E802" s="328"/>
      <c r="F802" s="87"/>
      <c r="G802" s="87"/>
      <c r="H802" s="87"/>
      <c r="I802" s="87"/>
    </row>
    <row r="803" spans="1:9">
      <c r="A803" s="339" t="s">
        <v>1582</v>
      </c>
      <c r="B803" s="298">
        <f t="shared" si="3"/>
        <v>72</v>
      </c>
      <c r="C803" s="343">
        <v>293</v>
      </c>
      <c r="D803" s="87"/>
      <c r="E803" s="328"/>
      <c r="F803" s="87"/>
      <c r="G803" s="87"/>
      <c r="H803" s="87"/>
      <c r="I803" s="87"/>
    </row>
    <row r="804" spans="1:9">
      <c r="A804" s="341" t="s">
        <v>1583</v>
      </c>
      <c r="B804" s="295">
        <f t="shared" si="3"/>
        <v>73</v>
      </c>
      <c r="C804" s="343">
        <v>292</v>
      </c>
      <c r="D804" s="87"/>
      <c r="E804" s="328"/>
      <c r="F804" s="87"/>
      <c r="G804" s="87"/>
      <c r="H804" s="87"/>
      <c r="I804" s="87"/>
    </row>
    <row r="805" spans="1:9">
      <c r="A805" s="339" t="s">
        <v>1584</v>
      </c>
      <c r="B805" s="298">
        <f t="shared" si="3"/>
        <v>74</v>
      </c>
      <c r="C805" s="343">
        <v>291</v>
      </c>
      <c r="D805" s="87"/>
      <c r="E805" s="328"/>
      <c r="F805" s="87"/>
      <c r="G805" s="87"/>
      <c r="H805" s="87"/>
      <c r="I805" s="87"/>
    </row>
    <row r="806" spans="1:9">
      <c r="A806" s="341" t="s">
        <v>1585</v>
      </c>
      <c r="B806" s="295">
        <f t="shared" si="3"/>
        <v>75</v>
      </c>
      <c r="C806" s="343">
        <v>290</v>
      </c>
      <c r="D806" s="87"/>
      <c r="E806" s="328"/>
      <c r="F806" s="87"/>
      <c r="G806" s="87"/>
      <c r="H806" s="87"/>
      <c r="I806" s="87"/>
    </row>
    <row r="807" spans="1:9">
      <c r="A807" s="339" t="s">
        <v>1586</v>
      </c>
      <c r="B807" s="298">
        <f t="shared" si="3"/>
        <v>76</v>
      </c>
      <c r="C807" s="343">
        <v>289</v>
      </c>
      <c r="D807" s="87"/>
      <c r="E807" s="328"/>
      <c r="F807" s="87"/>
      <c r="G807" s="87"/>
      <c r="H807" s="87"/>
      <c r="I807" s="87"/>
    </row>
    <row r="808" spans="1:9">
      <c r="A808" s="341" t="s">
        <v>1587</v>
      </c>
      <c r="B808" s="295">
        <f t="shared" si="3"/>
        <v>77</v>
      </c>
      <c r="C808" s="343">
        <v>288</v>
      </c>
      <c r="D808" s="87"/>
      <c r="E808" s="328"/>
      <c r="F808" s="87"/>
      <c r="G808" s="87"/>
      <c r="H808" s="87"/>
      <c r="I808" s="87"/>
    </row>
    <row r="809" spans="1:9">
      <c r="A809" s="339" t="s">
        <v>1588</v>
      </c>
      <c r="B809" s="298">
        <f t="shared" si="3"/>
        <v>78</v>
      </c>
      <c r="C809" s="343">
        <v>287</v>
      </c>
      <c r="D809" s="87"/>
      <c r="E809" s="328"/>
      <c r="F809" s="87"/>
      <c r="G809" s="87"/>
      <c r="H809" s="87"/>
      <c r="I809" s="87"/>
    </row>
    <row r="810" spans="1:9">
      <c r="A810" s="341" t="s">
        <v>1589</v>
      </c>
      <c r="B810" s="295">
        <f t="shared" si="3"/>
        <v>79</v>
      </c>
      <c r="C810" s="343">
        <v>286</v>
      </c>
      <c r="D810" s="87"/>
      <c r="E810" s="328"/>
      <c r="F810" s="87"/>
      <c r="G810" s="87"/>
      <c r="H810" s="87"/>
      <c r="I810" s="87"/>
    </row>
    <row r="811" spans="1:9">
      <c r="A811" s="339" t="s">
        <v>1590</v>
      </c>
      <c r="B811" s="298">
        <f t="shared" si="3"/>
        <v>80</v>
      </c>
      <c r="C811" s="343">
        <v>285</v>
      </c>
      <c r="D811" s="87"/>
      <c r="E811" s="328"/>
      <c r="F811" s="87"/>
      <c r="G811" s="87"/>
      <c r="H811" s="87"/>
      <c r="I811" s="87"/>
    </row>
    <row r="812" spans="1:9">
      <c r="A812" s="341" t="s">
        <v>1591</v>
      </c>
      <c r="B812" s="295">
        <f t="shared" si="3"/>
        <v>81</v>
      </c>
      <c r="C812" s="343">
        <v>284</v>
      </c>
      <c r="D812" s="87"/>
      <c r="E812" s="344">
        <f>C792-C812+1</f>
        <v>21</v>
      </c>
      <c r="F812" s="87"/>
      <c r="G812" s="87"/>
      <c r="H812" s="87"/>
      <c r="I812" s="87"/>
    </row>
    <row r="813" spans="1:9">
      <c r="A813" s="339" t="s">
        <v>1592</v>
      </c>
      <c r="B813" s="298">
        <f t="shared" si="3"/>
        <v>82</v>
      </c>
      <c r="C813" s="340">
        <v>283</v>
      </c>
      <c r="D813" s="87"/>
      <c r="E813" s="328"/>
      <c r="F813" s="87"/>
      <c r="G813" s="87"/>
      <c r="H813" s="87"/>
      <c r="I813" s="87"/>
    </row>
    <row r="814" spans="1:9">
      <c r="A814" s="341" t="s">
        <v>1593</v>
      </c>
      <c r="B814" s="295">
        <f t="shared" si="3"/>
        <v>83</v>
      </c>
      <c r="C814" s="342">
        <v>282</v>
      </c>
      <c r="D814" s="87"/>
      <c r="E814" s="328"/>
      <c r="F814" s="87"/>
      <c r="G814" s="87"/>
      <c r="H814" s="87"/>
      <c r="I814" s="87"/>
    </row>
    <row r="815" spans="1:9">
      <c r="A815" s="339" t="s">
        <v>1594</v>
      </c>
      <c r="B815" s="298">
        <f t="shared" si="3"/>
        <v>84</v>
      </c>
      <c r="C815" s="340">
        <v>281</v>
      </c>
      <c r="D815" s="87"/>
      <c r="E815" s="328"/>
      <c r="F815" s="87"/>
      <c r="G815" s="87"/>
      <c r="H815" s="87"/>
      <c r="I815" s="87"/>
    </row>
    <row r="816" spans="1:9">
      <c r="A816" s="341" t="s">
        <v>1595</v>
      </c>
      <c r="B816" s="295">
        <f t="shared" si="3"/>
        <v>85</v>
      </c>
      <c r="C816" s="342">
        <v>280</v>
      </c>
      <c r="D816" s="87"/>
      <c r="E816" s="328"/>
      <c r="F816" s="87"/>
      <c r="G816" s="87"/>
      <c r="H816" s="87"/>
      <c r="I816" s="87"/>
    </row>
    <row r="817" spans="1:9">
      <c r="A817" s="339" t="s">
        <v>1596</v>
      </c>
      <c r="B817" s="298">
        <f t="shared" si="3"/>
        <v>86</v>
      </c>
      <c r="C817" s="340">
        <v>279</v>
      </c>
      <c r="D817" s="87"/>
      <c r="E817" s="328"/>
      <c r="F817" s="87"/>
      <c r="G817" s="87"/>
      <c r="H817" s="87"/>
      <c r="I817" s="87"/>
    </row>
    <row r="818" spans="1:9">
      <c r="A818" s="341" t="s">
        <v>1597</v>
      </c>
      <c r="B818" s="295">
        <f t="shared" si="3"/>
        <v>87</v>
      </c>
      <c r="C818" s="342">
        <v>278</v>
      </c>
      <c r="D818" s="87"/>
      <c r="E818" s="328"/>
      <c r="F818" s="87"/>
      <c r="G818" s="87"/>
      <c r="H818" s="87"/>
      <c r="I818" s="87"/>
    </row>
    <row r="819" spans="1:9">
      <c r="A819" s="339" t="s">
        <v>1598</v>
      </c>
      <c r="B819" s="298">
        <f t="shared" si="3"/>
        <v>88</v>
      </c>
      <c r="C819" s="340">
        <v>277</v>
      </c>
      <c r="D819" s="87"/>
      <c r="E819" s="328"/>
      <c r="F819" s="87"/>
      <c r="G819" s="87"/>
      <c r="H819" s="87"/>
      <c r="I819" s="87"/>
    </row>
    <row r="820" spans="1:9">
      <c r="A820" s="341" t="s">
        <v>1599</v>
      </c>
      <c r="B820" s="295">
        <f t="shared" si="3"/>
        <v>89</v>
      </c>
      <c r="C820" s="342">
        <v>276</v>
      </c>
      <c r="D820" s="87"/>
      <c r="E820" s="328"/>
      <c r="F820" s="87"/>
      <c r="G820" s="87"/>
      <c r="H820" s="87"/>
      <c r="I820" s="87"/>
    </row>
    <row r="821" spans="1:9">
      <c r="A821" s="339" t="s">
        <v>1600</v>
      </c>
      <c r="B821" s="298">
        <f t="shared" si="3"/>
        <v>90</v>
      </c>
      <c r="C821" s="340">
        <v>275</v>
      </c>
      <c r="D821" s="87"/>
      <c r="E821" s="328"/>
      <c r="F821" s="87"/>
      <c r="G821" s="87"/>
      <c r="H821" s="87"/>
      <c r="I821" s="87"/>
    </row>
    <row r="822" spans="1:9">
      <c r="A822" s="341" t="s">
        <v>1601</v>
      </c>
      <c r="B822" s="295">
        <f t="shared" si="3"/>
        <v>91</v>
      </c>
      <c r="C822" s="342">
        <v>274</v>
      </c>
      <c r="D822" s="87"/>
      <c r="E822" s="328"/>
      <c r="F822" s="87"/>
      <c r="G822" s="87"/>
      <c r="H822" s="87"/>
      <c r="I822" s="87"/>
    </row>
    <row r="823" spans="1:9">
      <c r="A823" s="339" t="s">
        <v>1602</v>
      </c>
      <c r="B823" s="298">
        <f t="shared" si="3"/>
        <v>92</v>
      </c>
      <c r="C823" s="340">
        <v>273</v>
      </c>
      <c r="D823" s="87"/>
      <c r="E823" s="328"/>
      <c r="F823" s="87"/>
      <c r="G823" s="87"/>
      <c r="H823" s="87"/>
      <c r="I823" s="87"/>
    </row>
    <row r="824" spans="1:9">
      <c r="A824" s="341" t="s">
        <v>1603</v>
      </c>
      <c r="B824" s="295">
        <f t="shared" si="3"/>
        <v>93</v>
      </c>
      <c r="C824" s="342">
        <v>272</v>
      </c>
      <c r="D824" s="87"/>
      <c r="E824" s="328"/>
      <c r="F824" s="87"/>
      <c r="G824" s="87"/>
      <c r="H824" s="87"/>
      <c r="I824" s="87"/>
    </row>
    <row r="825" spans="1:9">
      <c r="A825" s="339" t="s">
        <v>1604</v>
      </c>
      <c r="B825" s="298">
        <f t="shared" si="3"/>
        <v>94</v>
      </c>
      <c r="C825" s="340">
        <v>271</v>
      </c>
      <c r="D825" s="87"/>
      <c r="E825" s="328"/>
      <c r="F825" s="87"/>
      <c r="G825" s="87"/>
      <c r="H825" s="87"/>
      <c r="I825" s="87"/>
    </row>
    <row r="826" spans="1:9">
      <c r="A826" s="345" t="s">
        <v>1605</v>
      </c>
      <c r="B826" s="346">
        <f t="shared" si="3"/>
        <v>95</v>
      </c>
      <c r="C826" s="347">
        <v>270</v>
      </c>
      <c r="D826" s="87"/>
      <c r="E826" s="348">
        <f t="shared" ref="E826:F826" si="4">SUM(E462:E825)</f>
        <v>158</v>
      </c>
      <c r="F826" s="349" t="e">
        <f t="shared" si="4"/>
        <v>#REF!</v>
      </c>
      <c r="G826" s="87"/>
      <c r="H826" s="87"/>
      <c r="I826" s="87"/>
    </row>
    <row r="827" spans="1:9">
      <c r="A827" s="350" t="s">
        <v>1606</v>
      </c>
      <c r="B827" s="351">
        <f t="shared" si="3"/>
        <v>96</v>
      </c>
      <c r="C827" s="352">
        <v>269</v>
      </c>
      <c r="D827" s="87"/>
      <c r="E827" s="87"/>
      <c r="F827" s="87"/>
      <c r="G827" s="87"/>
      <c r="H827" s="87"/>
      <c r="I827" s="87"/>
    </row>
    <row r="828" spans="1:9">
      <c r="A828" s="299" t="s">
        <v>1607</v>
      </c>
      <c r="B828" s="295">
        <f t="shared" si="3"/>
        <v>97</v>
      </c>
      <c r="C828" s="353">
        <v>268</v>
      </c>
      <c r="D828" s="87"/>
      <c r="E828" s="87"/>
      <c r="F828" s="87"/>
      <c r="G828" s="87"/>
      <c r="H828" s="87"/>
      <c r="I828" s="87"/>
    </row>
    <row r="829" spans="1:9">
      <c r="A829" s="297" t="s">
        <v>1608</v>
      </c>
      <c r="B829" s="298">
        <f t="shared" si="3"/>
        <v>98</v>
      </c>
      <c r="C829" s="353">
        <v>267</v>
      </c>
      <c r="D829" s="87"/>
      <c r="E829" s="87"/>
      <c r="F829" s="87"/>
      <c r="G829" s="87"/>
      <c r="H829" s="87"/>
      <c r="I829" s="87"/>
    </row>
    <row r="830" spans="1:9">
      <c r="A830" s="299" t="s">
        <v>1609</v>
      </c>
      <c r="B830" s="295">
        <f t="shared" si="3"/>
        <v>99</v>
      </c>
      <c r="C830" s="353">
        <v>266</v>
      </c>
      <c r="D830" s="87"/>
      <c r="E830" s="87"/>
      <c r="F830" s="87"/>
      <c r="G830" s="87"/>
      <c r="H830" s="87"/>
      <c r="I830" s="87"/>
    </row>
    <row r="831" spans="1:9">
      <c r="A831" s="297" t="s">
        <v>1610</v>
      </c>
      <c r="B831" s="298">
        <f t="shared" si="3"/>
        <v>100</v>
      </c>
      <c r="C831" s="353">
        <v>265</v>
      </c>
      <c r="D831" s="87"/>
      <c r="E831" s="87"/>
      <c r="F831" s="87"/>
      <c r="G831" s="87"/>
      <c r="H831" s="87"/>
      <c r="I831" s="87"/>
    </row>
    <row r="832" spans="1:9">
      <c r="A832" s="299" t="s">
        <v>1611</v>
      </c>
      <c r="B832" s="295">
        <f t="shared" si="3"/>
        <v>101</v>
      </c>
      <c r="C832" s="353">
        <v>264</v>
      </c>
      <c r="D832" s="87"/>
      <c r="E832" s="87"/>
      <c r="F832" s="87"/>
      <c r="G832" s="87"/>
      <c r="H832" s="87"/>
      <c r="I832" s="87"/>
    </row>
    <row r="833" spans="1:9">
      <c r="A833" s="297" t="s">
        <v>1612</v>
      </c>
      <c r="B833" s="298">
        <f t="shared" si="3"/>
        <v>102</v>
      </c>
      <c r="C833" s="353">
        <v>263</v>
      </c>
      <c r="D833" s="87"/>
      <c r="E833" s="87"/>
      <c r="F833" s="87"/>
      <c r="G833" s="87"/>
      <c r="H833" s="87"/>
      <c r="I833" s="87"/>
    </row>
    <row r="834" spans="1:9">
      <c r="A834" s="299" t="s">
        <v>1613</v>
      </c>
      <c r="B834" s="295">
        <f t="shared" si="3"/>
        <v>103</v>
      </c>
      <c r="C834" s="353">
        <v>262</v>
      </c>
      <c r="D834" s="87"/>
      <c r="E834" s="87"/>
      <c r="F834" s="87"/>
      <c r="G834" s="87"/>
      <c r="H834" s="87"/>
      <c r="I834" s="87"/>
    </row>
    <row r="835" spans="1:9">
      <c r="A835" s="297" t="s">
        <v>1614</v>
      </c>
      <c r="B835" s="298">
        <f t="shared" si="3"/>
        <v>104</v>
      </c>
      <c r="C835" s="353">
        <v>261</v>
      </c>
      <c r="D835" s="87"/>
      <c r="E835" s="87"/>
      <c r="F835" s="87"/>
      <c r="G835" s="87"/>
      <c r="H835" s="87"/>
      <c r="I835" s="87"/>
    </row>
    <row r="836" spans="1:9">
      <c r="A836" s="299" t="s">
        <v>1615</v>
      </c>
      <c r="B836" s="295">
        <f t="shared" si="3"/>
        <v>105</v>
      </c>
      <c r="C836" s="353">
        <v>260</v>
      </c>
      <c r="D836" s="87"/>
      <c r="E836" s="87"/>
      <c r="F836" s="87"/>
      <c r="G836" s="87"/>
      <c r="H836" s="87"/>
      <c r="I836" s="87"/>
    </row>
    <row r="837" spans="1:9">
      <c r="A837" s="297" t="s">
        <v>1616</v>
      </c>
      <c r="B837" s="298">
        <f t="shared" si="3"/>
        <v>106</v>
      </c>
      <c r="C837" s="353">
        <v>259</v>
      </c>
      <c r="D837" s="87"/>
      <c r="E837" s="87"/>
      <c r="F837" s="87"/>
      <c r="G837" s="87"/>
      <c r="H837" s="87"/>
      <c r="I837" s="87"/>
    </row>
    <row r="838" spans="1:9">
      <c r="A838" s="299" t="s">
        <v>1617</v>
      </c>
      <c r="B838" s="295">
        <f t="shared" si="3"/>
        <v>107</v>
      </c>
      <c r="C838" s="353">
        <v>258</v>
      </c>
      <c r="D838" s="87"/>
      <c r="E838" s="87"/>
      <c r="F838" s="87"/>
      <c r="G838" s="87"/>
      <c r="H838" s="87"/>
      <c r="I838" s="87"/>
    </row>
    <row r="839" spans="1:9">
      <c r="A839" s="297" t="s">
        <v>1618</v>
      </c>
      <c r="B839" s="298">
        <f t="shared" si="3"/>
        <v>108</v>
      </c>
      <c r="C839" s="353">
        <v>257</v>
      </c>
      <c r="D839" s="87"/>
      <c r="E839" s="87"/>
      <c r="F839" s="87"/>
      <c r="G839" s="87"/>
      <c r="H839" s="87"/>
      <c r="I839" s="87"/>
    </row>
    <row r="840" spans="1:9">
      <c r="A840" s="299" t="s">
        <v>1619</v>
      </c>
      <c r="B840" s="295">
        <f t="shared" si="3"/>
        <v>109</v>
      </c>
      <c r="C840" s="353">
        <v>256</v>
      </c>
      <c r="D840" s="87"/>
      <c r="E840" s="87"/>
      <c r="F840" s="87"/>
      <c r="G840" s="87"/>
      <c r="H840" s="87"/>
      <c r="I840" s="87"/>
    </row>
    <row r="841" spans="1:9">
      <c r="A841" s="297" t="s">
        <v>1620</v>
      </c>
      <c r="B841" s="298">
        <f t="shared" si="3"/>
        <v>110</v>
      </c>
      <c r="C841" s="353">
        <v>255</v>
      </c>
      <c r="D841" s="87"/>
      <c r="E841" s="87"/>
      <c r="F841" s="87"/>
      <c r="G841" s="87"/>
      <c r="H841" s="87"/>
      <c r="I841" s="87"/>
    </row>
    <row r="842" spans="1:9">
      <c r="A842" s="299" t="s">
        <v>1621</v>
      </c>
      <c r="B842" s="295">
        <f t="shared" si="3"/>
        <v>111</v>
      </c>
      <c r="C842" s="353">
        <v>254</v>
      </c>
      <c r="D842" s="87"/>
      <c r="E842" s="87"/>
      <c r="F842" s="87"/>
      <c r="G842" s="87"/>
      <c r="H842" s="87"/>
      <c r="I842" s="87"/>
    </row>
    <row r="843" spans="1:9">
      <c r="A843" s="297" t="s">
        <v>1622</v>
      </c>
      <c r="B843" s="298">
        <f t="shared" si="3"/>
        <v>112</v>
      </c>
      <c r="C843" s="353">
        <v>253</v>
      </c>
      <c r="D843" s="87"/>
      <c r="E843" s="87"/>
      <c r="F843" s="87"/>
      <c r="G843" s="87"/>
      <c r="H843" s="87"/>
      <c r="I843" s="87"/>
    </row>
    <row r="844" spans="1:9">
      <c r="A844" s="299" t="s">
        <v>1623</v>
      </c>
      <c r="B844" s="295">
        <f t="shared" si="3"/>
        <v>113</v>
      </c>
      <c r="C844" s="353">
        <v>252</v>
      </c>
      <c r="D844" s="87"/>
      <c r="E844" s="87"/>
      <c r="F844" s="87"/>
      <c r="G844" s="87"/>
      <c r="H844" s="87"/>
      <c r="I844" s="87"/>
    </row>
    <row r="845" spans="1:9">
      <c r="A845" s="297" t="s">
        <v>1624</v>
      </c>
      <c r="B845" s="298">
        <f t="shared" si="3"/>
        <v>114</v>
      </c>
      <c r="C845" s="353">
        <v>251</v>
      </c>
      <c r="D845" s="87"/>
      <c r="E845" s="87"/>
      <c r="F845" s="87"/>
      <c r="G845" s="87"/>
      <c r="H845" s="87"/>
      <c r="I845" s="87"/>
    </row>
    <row r="846" spans="1:9">
      <c r="A846" s="299" t="s">
        <v>1625</v>
      </c>
      <c r="B846" s="295">
        <f t="shared" si="3"/>
        <v>115</v>
      </c>
      <c r="C846" s="353">
        <v>250</v>
      </c>
      <c r="D846" s="87"/>
      <c r="E846" s="87"/>
      <c r="F846" s="87"/>
      <c r="G846" s="87"/>
      <c r="H846" s="87"/>
      <c r="I846" s="87"/>
    </row>
    <row r="847" spans="1:9">
      <c r="A847" s="297" t="s">
        <v>1626</v>
      </c>
      <c r="B847" s="298">
        <f t="shared" si="3"/>
        <v>116</v>
      </c>
      <c r="C847" s="353">
        <v>249</v>
      </c>
      <c r="D847" s="87"/>
      <c r="E847" s="87"/>
      <c r="F847" s="87"/>
      <c r="G847" s="87"/>
      <c r="H847" s="87"/>
      <c r="I847" s="87"/>
    </row>
    <row r="848" spans="1:9">
      <c r="A848" s="299" t="s">
        <v>1627</v>
      </c>
      <c r="B848" s="295">
        <f t="shared" si="3"/>
        <v>117</v>
      </c>
      <c r="C848" s="353">
        <v>248</v>
      </c>
      <c r="D848" s="87"/>
      <c r="E848" s="87"/>
      <c r="F848" s="87"/>
      <c r="G848" s="87"/>
      <c r="H848" s="87"/>
      <c r="I848" s="87"/>
    </row>
    <row r="849" spans="1:9">
      <c r="A849" s="297" t="s">
        <v>1628</v>
      </c>
      <c r="B849" s="298">
        <f t="shared" si="3"/>
        <v>118</v>
      </c>
      <c r="C849" s="298">
        <v>247</v>
      </c>
      <c r="D849" s="87"/>
      <c r="E849" s="87"/>
      <c r="F849" s="87"/>
      <c r="G849" s="87"/>
      <c r="H849" s="87"/>
      <c r="I849" s="87"/>
    </row>
    <row r="850" spans="1:9">
      <c r="A850" s="299" t="s">
        <v>1629</v>
      </c>
      <c r="B850" s="295">
        <f t="shared" si="3"/>
        <v>119</v>
      </c>
      <c r="C850" s="295">
        <v>246</v>
      </c>
      <c r="D850" s="87"/>
      <c r="E850" s="87"/>
      <c r="F850" s="87"/>
      <c r="G850" s="87"/>
      <c r="H850" s="87"/>
      <c r="I850" s="87"/>
    </row>
    <row r="851" spans="1:9">
      <c r="A851" s="297" t="s">
        <v>1630</v>
      </c>
      <c r="B851" s="298">
        <f t="shared" si="3"/>
        <v>120</v>
      </c>
      <c r="C851" s="298">
        <v>245</v>
      </c>
      <c r="D851" s="87"/>
      <c r="E851" s="87"/>
      <c r="F851" s="87"/>
      <c r="G851" s="87"/>
      <c r="H851" s="87"/>
      <c r="I851" s="87"/>
    </row>
    <row r="852" spans="1:9">
      <c r="A852" s="299" t="s">
        <v>1631</v>
      </c>
      <c r="B852" s="295">
        <f t="shared" si="3"/>
        <v>121</v>
      </c>
      <c r="C852" s="295">
        <v>244</v>
      </c>
      <c r="D852" s="87"/>
      <c r="E852" s="87"/>
      <c r="F852" s="87"/>
      <c r="G852" s="87"/>
      <c r="H852" s="87"/>
      <c r="I852" s="87"/>
    </row>
    <row r="853" spans="1:9">
      <c r="A853" s="297" t="s">
        <v>1632</v>
      </c>
      <c r="B853" s="298">
        <f t="shared" si="3"/>
        <v>122</v>
      </c>
      <c r="C853" s="298">
        <v>243</v>
      </c>
      <c r="D853" s="87"/>
      <c r="E853" s="87"/>
      <c r="F853" s="87"/>
      <c r="G853" s="87"/>
      <c r="H853" s="87"/>
      <c r="I853" s="87"/>
    </row>
    <row r="854" spans="1:9">
      <c r="A854" s="299" t="s">
        <v>1633</v>
      </c>
      <c r="B854" s="295">
        <f t="shared" si="3"/>
        <v>123</v>
      </c>
      <c r="C854" s="295">
        <v>242</v>
      </c>
      <c r="D854" s="87"/>
      <c r="E854" s="87"/>
      <c r="F854" s="87"/>
      <c r="G854" s="87"/>
      <c r="H854" s="87"/>
      <c r="I854" s="87"/>
    </row>
    <row r="855" spans="1:9">
      <c r="A855" s="297" t="s">
        <v>1634</v>
      </c>
      <c r="B855" s="298">
        <f t="shared" si="3"/>
        <v>124</v>
      </c>
      <c r="C855" s="298">
        <v>241</v>
      </c>
      <c r="D855" s="87"/>
      <c r="E855" s="87"/>
      <c r="F855" s="87"/>
      <c r="G855" s="87"/>
      <c r="H855" s="87"/>
      <c r="I855" s="87"/>
    </row>
    <row r="856" spans="1:9">
      <c r="A856" s="299" t="s">
        <v>1635</v>
      </c>
      <c r="B856" s="295">
        <f t="shared" si="3"/>
        <v>125</v>
      </c>
      <c r="C856" s="295">
        <v>240</v>
      </c>
      <c r="D856" s="87"/>
      <c r="E856" s="87"/>
      <c r="F856" s="87"/>
      <c r="G856" s="87"/>
      <c r="H856" s="87"/>
      <c r="I856" s="87"/>
    </row>
    <row r="857" spans="1:9">
      <c r="A857" s="297" t="s">
        <v>1636</v>
      </c>
      <c r="B857" s="298">
        <f t="shared" si="3"/>
        <v>126</v>
      </c>
      <c r="C857" s="298">
        <v>239</v>
      </c>
      <c r="D857" s="87"/>
      <c r="E857" s="87"/>
      <c r="F857" s="87"/>
      <c r="G857" s="87"/>
      <c r="H857" s="87"/>
      <c r="I857" s="87"/>
    </row>
    <row r="858" spans="1:9">
      <c r="A858" s="299" t="s">
        <v>1637</v>
      </c>
      <c r="B858" s="295">
        <f t="shared" si="3"/>
        <v>127</v>
      </c>
      <c r="C858" s="295">
        <v>238</v>
      </c>
      <c r="D858" s="87"/>
      <c r="E858" s="87"/>
      <c r="F858" s="87"/>
      <c r="G858" s="87"/>
      <c r="H858" s="87"/>
      <c r="I858" s="87"/>
    </row>
    <row r="859" spans="1:9">
      <c r="A859" s="297" t="s">
        <v>1638</v>
      </c>
      <c r="B859" s="298">
        <f t="shared" si="3"/>
        <v>128</v>
      </c>
      <c r="C859" s="298">
        <v>237</v>
      </c>
      <c r="D859" s="87"/>
      <c r="E859" s="87"/>
      <c r="F859" s="87"/>
      <c r="G859" s="87"/>
      <c r="H859" s="87"/>
      <c r="I859" s="87"/>
    </row>
    <row r="860" spans="1:9">
      <c r="A860" s="299" t="s">
        <v>1639</v>
      </c>
      <c r="B860" s="295">
        <f t="shared" si="3"/>
        <v>129</v>
      </c>
      <c r="C860" s="295">
        <v>236</v>
      </c>
      <c r="D860" s="87"/>
      <c r="E860" s="87"/>
      <c r="F860" s="87"/>
      <c r="G860" s="87"/>
      <c r="H860" s="87"/>
      <c r="I860" s="87"/>
    </row>
    <row r="861" spans="1:9">
      <c r="A861" s="297" t="s">
        <v>1640</v>
      </c>
      <c r="B861" s="298">
        <f t="shared" si="3"/>
        <v>130</v>
      </c>
      <c r="C861" s="298">
        <v>235</v>
      </c>
      <c r="D861" s="87"/>
      <c r="E861" s="87"/>
      <c r="F861" s="87"/>
      <c r="G861" s="87"/>
      <c r="H861" s="87"/>
      <c r="I861" s="87"/>
    </row>
    <row r="862" spans="1:9">
      <c r="A862" s="299" t="s">
        <v>1641</v>
      </c>
      <c r="B862" s="295">
        <f t="shared" si="3"/>
        <v>131</v>
      </c>
      <c r="C862" s="295">
        <v>234</v>
      </c>
      <c r="D862" s="87"/>
      <c r="E862" s="87"/>
      <c r="F862" s="87"/>
      <c r="G862" s="87"/>
      <c r="H862" s="87"/>
      <c r="I862" s="87"/>
    </row>
    <row r="863" spans="1:9">
      <c r="A863" s="297" t="s">
        <v>1642</v>
      </c>
      <c r="B863" s="298">
        <f t="shared" si="3"/>
        <v>132</v>
      </c>
      <c r="C863" s="298">
        <v>233</v>
      </c>
      <c r="D863" s="87"/>
      <c r="E863" s="87"/>
      <c r="F863" s="87"/>
      <c r="G863" s="87"/>
      <c r="H863" s="87"/>
      <c r="I863" s="87"/>
    </row>
    <row r="864" spans="1:9">
      <c r="A864" s="299" t="s">
        <v>1643</v>
      </c>
      <c r="B864" s="295">
        <f t="shared" si="3"/>
        <v>133</v>
      </c>
      <c r="C864" s="295">
        <v>232</v>
      </c>
      <c r="D864" s="87"/>
      <c r="E864" s="87"/>
      <c r="F864" s="87"/>
      <c r="G864" s="87"/>
      <c r="H864" s="87"/>
      <c r="I864" s="87"/>
    </row>
    <row r="865" spans="1:9">
      <c r="A865" s="297" t="s">
        <v>1644</v>
      </c>
      <c r="B865" s="298">
        <f t="shared" si="3"/>
        <v>134</v>
      </c>
      <c r="C865" s="298">
        <v>231</v>
      </c>
      <c r="D865" s="87"/>
      <c r="E865" s="87"/>
      <c r="F865" s="87"/>
      <c r="G865" s="87"/>
      <c r="H865" s="87"/>
      <c r="I865" s="87"/>
    </row>
    <row r="866" spans="1:9">
      <c r="A866" s="299" t="s">
        <v>1645</v>
      </c>
      <c r="B866" s="295">
        <f t="shared" si="3"/>
        <v>135</v>
      </c>
      <c r="C866" s="295">
        <v>230</v>
      </c>
      <c r="D866" s="87"/>
      <c r="E866" s="87"/>
      <c r="F866" s="87"/>
      <c r="G866" s="87"/>
      <c r="H866" s="87"/>
      <c r="I866" s="87"/>
    </row>
    <row r="867" spans="1:9">
      <c r="A867" s="297" t="s">
        <v>1646</v>
      </c>
      <c r="B867" s="298">
        <f t="shared" si="3"/>
        <v>136</v>
      </c>
      <c r="C867" s="298">
        <v>229</v>
      </c>
      <c r="D867" s="87"/>
      <c r="E867" s="87"/>
      <c r="F867" s="87"/>
      <c r="G867" s="87"/>
      <c r="H867" s="87"/>
      <c r="I867" s="87"/>
    </row>
    <row r="868" spans="1:9">
      <c r="A868" s="299" t="s">
        <v>1647</v>
      </c>
      <c r="B868" s="295">
        <f t="shared" si="3"/>
        <v>137</v>
      </c>
      <c r="C868" s="295">
        <v>228</v>
      </c>
      <c r="D868" s="87"/>
      <c r="E868" s="87"/>
      <c r="F868" s="87"/>
      <c r="G868" s="87"/>
      <c r="H868" s="87"/>
      <c r="I868" s="87"/>
    </row>
    <row r="869" spans="1:9">
      <c r="A869" s="297" t="s">
        <v>1648</v>
      </c>
      <c r="B869" s="298">
        <f t="shared" si="3"/>
        <v>138</v>
      </c>
      <c r="C869" s="298">
        <v>227</v>
      </c>
      <c r="D869" s="87"/>
      <c r="E869" s="87"/>
      <c r="F869" s="87"/>
      <c r="G869" s="87"/>
      <c r="H869" s="87"/>
      <c r="I869" s="87"/>
    </row>
    <row r="870" spans="1:9">
      <c r="A870" s="299" t="s">
        <v>1649</v>
      </c>
      <c r="B870" s="295">
        <f t="shared" si="3"/>
        <v>139</v>
      </c>
      <c r="C870" s="295">
        <v>226</v>
      </c>
      <c r="D870" s="87"/>
      <c r="E870" s="87"/>
      <c r="F870" s="87"/>
      <c r="G870" s="87"/>
      <c r="H870" s="87"/>
      <c r="I870" s="87"/>
    </row>
    <row r="871" spans="1:9">
      <c r="A871" s="297" t="s">
        <v>1650</v>
      </c>
      <c r="B871" s="298">
        <f t="shared" si="3"/>
        <v>140</v>
      </c>
      <c r="C871" s="298">
        <v>225</v>
      </c>
      <c r="D871" s="87"/>
      <c r="E871" s="87"/>
      <c r="F871" s="87"/>
      <c r="G871" s="87"/>
      <c r="H871" s="87"/>
      <c r="I871" s="87"/>
    </row>
    <row r="872" spans="1:9">
      <c r="A872" s="299" t="s">
        <v>1651</v>
      </c>
      <c r="B872" s="295">
        <f t="shared" si="3"/>
        <v>141</v>
      </c>
      <c r="C872" s="295">
        <v>224</v>
      </c>
      <c r="D872" s="87"/>
      <c r="E872" s="87"/>
      <c r="F872" s="87"/>
      <c r="G872" s="87"/>
      <c r="H872" s="87"/>
      <c r="I872" s="87"/>
    </row>
    <row r="873" spans="1:9">
      <c r="A873" s="297" t="s">
        <v>1652</v>
      </c>
      <c r="B873" s="298">
        <f t="shared" si="3"/>
        <v>142</v>
      </c>
      <c r="C873" s="298">
        <v>223</v>
      </c>
      <c r="D873" s="87"/>
      <c r="E873" s="87"/>
      <c r="F873" s="87"/>
      <c r="G873" s="87"/>
      <c r="H873" s="87"/>
      <c r="I873" s="87"/>
    </row>
    <row r="874" spans="1:9">
      <c r="A874" s="299" t="s">
        <v>1653</v>
      </c>
      <c r="B874" s="295">
        <f t="shared" si="3"/>
        <v>143</v>
      </c>
      <c r="C874" s="295">
        <v>222</v>
      </c>
      <c r="D874" s="87"/>
      <c r="E874" s="87"/>
      <c r="F874" s="87"/>
      <c r="G874" s="87"/>
      <c r="H874" s="87"/>
      <c r="I874" s="87"/>
    </row>
    <row r="875" spans="1:9">
      <c r="A875" s="297" t="s">
        <v>1654</v>
      </c>
      <c r="B875" s="298">
        <f t="shared" si="3"/>
        <v>144</v>
      </c>
      <c r="C875" s="298">
        <v>221</v>
      </c>
      <c r="D875" s="87"/>
      <c r="E875" s="87"/>
      <c r="F875" s="87"/>
      <c r="G875" s="87"/>
      <c r="H875" s="87"/>
      <c r="I875" s="87"/>
    </row>
    <row r="876" spans="1:9">
      <c r="A876" s="299" t="s">
        <v>1655</v>
      </c>
      <c r="B876" s="295">
        <f t="shared" si="3"/>
        <v>145</v>
      </c>
      <c r="C876" s="295">
        <v>220</v>
      </c>
      <c r="D876" s="87"/>
      <c r="E876" s="87"/>
      <c r="F876" s="87"/>
      <c r="G876" s="87"/>
      <c r="H876" s="87"/>
      <c r="I876" s="87"/>
    </row>
    <row r="877" spans="1:9">
      <c r="A877" s="297" t="s">
        <v>1656</v>
      </c>
      <c r="B877" s="298">
        <f t="shared" si="3"/>
        <v>146</v>
      </c>
      <c r="C877" s="298">
        <v>219</v>
      </c>
      <c r="D877" s="87"/>
      <c r="E877" s="87"/>
      <c r="F877" s="87"/>
      <c r="G877" s="87"/>
      <c r="H877" s="87"/>
      <c r="I877" s="87"/>
    </row>
    <row r="878" spans="1:9">
      <c r="A878" s="299" t="s">
        <v>1657</v>
      </c>
      <c r="B878" s="295">
        <f t="shared" si="3"/>
        <v>147</v>
      </c>
      <c r="C878" s="295">
        <v>218</v>
      </c>
      <c r="D878" s="87"/>
      <c r="E878" s="87"/>
      <c r="F878" s="87"/>
      <c r="G878" s="87"/>
      <c r="H878" s="87"/>
      <c r="I878" s="87"/>
    </row>
    <row r="879" spans="1:9">
      <c r="A879" s="297" t="s">
        <v>1658</v>
      </c>
      <c r="B879" s="298">
        <f t="shared" si="3"/>
        <v>148</v>
      </c>
      <c r="C879" s="298">
        <v>217</v>
      </c>
      <c r="D879" s="87"/>
      <c r="E879" s="87"/>
      <c r="F879" s="87"/>
      <c r="G879" s="87"/>
      <c r="H879" s="87"/>
      <c r="I879" s="87"/>
    </row>
    <row r="880" spans="1:9">
      <c r="A880" s="299" t="s">
        <v>1659</v>
      </c>
      <c r="B880" s="295">
        <f t="shared" si="3"/>
        <v>149</v>
      </c>
      <c r="C880" s="295">
        <v>216</v>
      </c>
      <c r="D880" s="87"/>
      <c r="E880" s="87"/>
      <c r="F880" s="87"/>
      <c r="G880" s="87"/>
      <c r="H880" s="87"/>
      <c r="I880" s="87"/>
    </row>
    <row r="881" spans="1:9">
      <c r="A881" s="297" t="s">
        <v>1660</v>
      </c>
      <c r="B881" s="298">
        <f t="shared" si="3"/>
        <v>150</v>
      </c>
      <c r="C881" s="298">
        <v>215</v>
      </c>
      <c r="D881" s="87"/>
      <c r="E881" s="87"/>
      <c r="F881" s="87"/>
      <c r="G881" s="87"/>
      <c r="H881" s="87"/>
      <c r="I881" s="87"/>
    </row>
    <row r="882" spans="1:9">
      <c r="A882" s="299" t="s">
        <v>1661</v>
      </c>
      <c r="B882" s="295">
        <f t="shared" si="3"/>
        <v>151</v>
      </c>
      <c r="C882" s="295">
        <v>214</v>
      </c>
      <c r="D882" s="87"/>
      <c r="E882" s="87"/>
      <c r="F882" s="87"/>
      <c r="G882" s="87"/>
      <c r="H882" s="87"/>
      <c r="I882" s="87"/>
    </row>
    <row r="883" spans="1:9">
      <c r="A883" s="297" t="s">
        <v>1662</v>
      </c>
      <c r="B883" s="298">
        <f t="shared" si="3"/>
        <v>152</v>
      </c>
      <c r="C883" s="298">
        <v>213</v>
      </c>
      <c r="D883" s="87"/>
      <c r="E883" s="87"/>
      <c r="F883" s="87"/>
      <c r="G883" s="87"/>
      <c r="H883" s="87"/>
      <c r="I883" s="87"/>
    </row>
    <row r="884" spans="1:9">
      <c r="A884" s="299" t="s">
        <v>1663</v>
      </c>
      <c r="B884" s="295">
        <f t="shared" si="3"/>
        <v>153</v>
      </c>
      <c r="C884" s="295">
        <v>212</v>
      </c>
      <c r="D884" s="87"/>
      <c r="E884" s="87"/>
      <c r="F884" s="87"/>
      <c r="G884" s="87"/>
      <c r="H884" s="87"/>
      <c r="I884" s="87"/>
    </row>
    <row r="885" spans="1:9">
      <c r="A885" s="297" t="s">
        <v>1664</v>
      </c>
      <c r="B885" s="298">
        <f t="shared" si="3"/>
        <v>154</v>
      </c>
      <c r="C885" s="298">
        <v>211</v>
      </c>
      <c r="D885" s="87"/>
      <c r="E885" s="87"/>
      <c r="F885" s="87"/>
      <c r="G885" s="87"/>
      <c r="H885" s="87"/>
      <c r="I885" s="87"/>
    </row>
    <row r="886" spans="1:9">
      <c r="A886" s="299" t="s">
        <v>1665</v>
      </c>
      <c r="B886" s="295">
        <f t="shared" si="3"/>
        <v>155</v>
      </c>
      <c r="C886" s="295">
        <v>210</v>
      </c>
      <c r="D886" s="87"/>
      <c r="E886" s="87"/>
      <c r="F886" s="87"/>
      <c r="G886" s="87"/>
      <c r="H886" s="87"/>
      <c r="I886" s="87"/>
    </row>
    <row r="887" spans="1:9">
      <c r="A887" s="297" t="s">
        <v>1666</v>
      </c>
      <c r="B887" s="298">
        <f t="shared" si="3"/>
        <v>156</v>
      </c>
      <c r="C887" s="298">
        <v>209</v>
      </c>
      <c r="D887" s="87"/>
      <c r="E887" s="87"/>
      <c r="F887" s="87"/>
      <c r="G887" s="87"/>
      <c r="H887" s="87"/>
      <c r="I887" s="87"/>
    </row>
    <row r="888" spans="1:9">
      <c r="A888" s="299" t="s">
        <v>1667</v>
      </c>
      <c r="B888" s="295">
        <f t="shared" si="3"/>
        <v>157</v>
      </c>
      <c r="C888" s="295">
        <v>208</v>
      </c>
      <c r="D888" s="87"/>
      <c r="E888" s="87"/>
      <c r="F888" s="87"/>
      <c r="G888" s="87"/>
      <c r="H888" s="87"/>
      <c r="I888" s="87"/>
    </row>
    <row r="889" spans="1:9">
      <c r="A889" s="297" t="s">
        <v>1668</v>
      </c>
      <c r="B889" s="298">
        <f t="shared" si="3"/>
        <v>158</v>
      </c>
      <c r="C889" s="298">
        <v>207</v>
      </c>
      <c r="D889" s="87"/>
      <c r="E889" s="87"/>
      <c r="F889" s="87"/>
      <c r="G889" s="87"/>
      <c r="H889" s="87"/>
      <c r="I889" s="87"/>
    </row>
    <row r="890" spans="1:9">
      <c r="A890" s="299" t="s">
        <v>1669</v>
      </c>
      <c r="B890" s="295">
        <f t="shared" si="3"/>
        <v>159</v>
      </c>
      <c r="C890" s="295">
        <v>206</v>
      </c>
      <c r="D890" s="87"/>
      <c r="E890" s="87"/>
      <c r="F890" s="87"/>
      <c r="G890" s="87"/>
      <c r="H890" s="87"/>
      <c r="I890" s="87"/>
    </row>
    <row r="891" spans="1:9">
      <c r="A891" s="297" t="s">
        <v>1670</v>
      </c>
      <c r="B891" s="298">
        <f t="shared" si="3"/>
        <v>160</v>
      </c>
      <c r="C891" s="298">
        <v>205</v>
      </c>
      <c r="D891" s="87"/>
      <c r="E891" s="87"/>
      <c r="F891" s="87"/>
      <c r="G891" s="87"/>
      <c r="H891" s="87"/>
      <c r="I891" s="87"/>
    </row>
    <row r="892" spans="1:9">
      <c r="A892" s="299" t="s">
        <v>1671</v>
      </c>
      <c r="B892" s="295">
        <f t="shared" si="3"/>
        <v>161</v>
      </c>
      <c r="C892" s="295">
        <v>204</v>
      </c>
      <c r="D892" s="87"/>
      <c r="E892" s="87"/>
      <c r="F892" s="87"/>
      <c r="G892" s="87"/>
      <c r="H892" s="87"/>
      <c r="I892" s="87"/>
    </row>
    <row r="893" spans="1:9">
      <c r="A893" s="297" t="s">
        <v>1672</v>
      </c>
      <c r="B893" s="298">
        <f t="shared" si="3"/>
        <v>162</v>
      </c>
      <c r="C893" s="298">
        <v>203</v>
      </c>
      <c r="D893" s="87"/>
      <c r="E893" s="87"/>
      <c r="F893" s="87"/>
      <c r="G893" s="87"/>
      <c r="H893" s="87"/>
      <c r="I893" s="87"/>
    </row>
    <row r="894" spans="1:9">
      <c r="A894" s="299" t="s">
        <v>1673</v>
      </c>
      <c r="B894" s="295">
        <f t="shared" si="3"/>
        <v>163</v>
      </c>
      <c r="C894" s="295">
        <v>202</v>
      </c>
      <c r="D894" s="87"/>
      <c r="E894" s="87"/>
      <c r="F894" s="87"/>
      <c r="G894" s="87"/>
      <c r="H894" s="87"/>
      <c r="I894" s="87"/>
    </row>
    <row r="895" spans="1:9">
      <c r="A895" s="297" t="s">
        <v>1674</v>
      </c>
      <c r="B895" s="298">
        <f t="shared" si="3"/>
        <v>164</v>
      </c>
      <c r="C895" s="298">
        <v>201</v>
      </c>
      <c r="D895" s="87"/>
      <c r="E895" s="87"/>
      <c r="F895" s="87"/>
      <c r="G895" s="87"/>
      <c r="H895" s="87"/>
      <c r="I895" s="87"/>
    </row>
    <row r="896" spans="1:9">
      <c r="A896" s="299" t="s">
        <v>1675</v>
      </c>
      <c r="B896" s="295">
        <f t="shared" si="3"/>
        <v>165</v>
      </c>
      <c r="C896" s="295">
        <v>200</v>
      </c>
      <c r="D896" s="87"/>
      <c r="E896" s="87"/>
      <c r="F896" s="87"/>
      <c r="G896" s="87"/>
      <c r="H896" s="87"/>
      <c r="I896" s="87"/>
    </row>
    <row r="897" spans="1:9">
      <c r="A897" s="297" t="s">
        <v>1676</v>
      </c>
      <c r="B897" s="298">
        <f t="shared" si="3"/>
        <v>166</v>
      </c>
      <c r="C897" s="298">
        <v>199</v>
      </c>
      <c r="D897" s="87"/>
      <c r="E897" s="87"/>
      <c r="F897" s="87"/>
      <c r="G897" s="87"/>
      <c r="H897" s="87"/>
      <c r="I897" s="87"/>
    </row>
    <row r="898" spans="1:9">
      <c r="A898" s="299" t="s">
        <v>1677</v>
      </c>
      <c r="B898" s="295">
        <f t="shared" si="3"/>
        <v>167</v>
      </c>
      <c r="C898" s="295">
        <v>198</v>
      </c>
      <c r="D898" s="87"/>
      <c r="E898" s="87"/>
      <c r="F898" s="87"/>
      <c r="G898" s="87"/>
      <c r="H898" s="87"/>
      <c r="I898" s="87"/>
    </row>
    <row r="899" spans="1:9">
      <c r="A899" s="297" t="s">
        <v>1678</v>
      </c>
      <c r="B899" s="298">
        <f t="shared" si="3"/>
        <v>168</v>
      </c>
      <c r="C899" s="298">
        <v>197</v>
      </c>
      <c r="D899" s="87"/>
      <c r="E899" s="87"/>
      <c r="F899" s="87"/>
      <c r="G899" s="87"/>
      <c r="H899" s="87"/>
      <c r="I899" s="87"/>
    </row>
    <row r="900" spans="1:9">
      <c r="A900" s="299" t="s">
        <v>1679</v>
      </c>
      <c r="B900" s="295">
        <f t="shared" si="3"/>
        <v>169</v>
      </c>
      <c r="C900" s="295">
        <v>196</v>
      </c>
      <c r="D900" s="87"/>
      <c r="E900" s="87"/>
      <c r="F900" s="87"/>
      <c r="G900" s="87"/>
      <c r="H900" s="87"/>
      <c r="I900" s="87"/>
    </row>
    <row r="901" spans="1:9">
      <c r="A901" s="297" t="s">
        <v>1680</v>
      </c>
      <c r="B901" s="298">
        <f t="shared" si="3"/>
        <v>170</v>
      </c>
      <c r="C901" s="298">
        <v>195</v>
      </c>
      <c r="D901" s="87"/>
      <c r="E901" s="87"/>
      <c r="F901" s="87"/>
      <c r="G901" s="87"/>
      <c r="H901" s="87"/>
      <c r="I901" s="87"/>
    </row>
    <row r="902" spans="1:9">
      <c r="A902" s="299" t="s">
        <v>1681</v>
      </c>
      <c r="B902" s="295">
        <f t="shared" si="3"/>
        <v>171</v>
      </c>
      <c r="C902" s="295">
        <v>194</v>
      </c>
      <c r="D902" s="87"/>
      <c r="E902" s="87"/>
      <c r="F902" s="87"/>
      <c r="G902" s="87"/>
      <c r="H902" s="87"/>
      <c r="I902" s="87"/>
    </row>
    <row r="903" spans="1:9">
      <c r="A903" s="297" t="s">
        <v>1682</v>
      </c>
      <c r="B903" s="298">
        <f t="shared" si="3"/>
        <v>172</v>
      </c>
      <c r="C903" s="298">
        <v>193</v>
      </c>
      <c r="D903" s="87"/>
      <c r="E903" s="87"/>
      <c r="F903" s="87"/>
      <c r="G903" s="87"/>
      <c r="H903" s="87"/>
      <c r="I903" s="87"/>
    </row>
    <row r="904" spans="1:9">
      <c r="A904" s="299" t="s">
        <v>1683</v>
      </c>
      <c r="B904" s="295">
        <f t="shared" si="3"/>
        <v>173</v>
      </c>
      <c r="C904" s="295">
        <v>192</v>
      </c>
      <c r="D904" s="87"/>
      <c r="E904" s="87"/>
      <c r="F904" s="87"/>
      <c r="G904" s="87"/>
      <c r="H904" s="87"/>
      <c r="I904" s="87"/>
    </row>
    <row r="905" spans="1:9">
      <c r="A905" s="297" t="s">
        <v>1684</v>
      </c>
      <c r="B905" s="298">
        <f t="shared" si="3"/>
        <v>174</v>
      </c>
      <c r="C905" s="298">
        <v>191</v>
      </c>
      <c r="D905" s="87"/>
      <c r="E905" s="87"/>
      <c r="F905" s="87"/>
      <c r="G905" s="87"/>
      <c r="H905" s="87"/>
      <c r="I905" s="87"/>
    </row>
    <row r="906" spans="1:9">
      <c r="A906" s="299" t="s">
        <v>1685</v>
      </c>
      <c r="B906" s="295">
        <f t="shared" si="3"/>
        <v>175</v>
      </c>
      <c r="C906" s="295">
        <v>190</v>
      </c>
      <c r="D906" s="87"/>
      <c r="E906" s="87"/>
      <c r="F906" s="87"/>
      <c r="G906" s="87"/>
      <c r="H906" s="87"/>
      <c r="I906" s="87"/>
    </row>
    <row r="907" spans="1:9">
      <c r="A907" s="297" t="s">
        <v>1686</v>
      </c>
      <c r="B907" s="298">
        <f t="shared" si="3"/>
        <v>176</v>
      </c>
      <c r="C907" s="298">
        <v>189</v>
      </c>
      <c r="D907" s="87"/>
      <c r="E907" s="87"/>
      <c r="F907" s="87"/>
      <c r="G907" s="87"/>
      <c r="H907" s="87"/>
      <c r="I907" s="87"/>
    </row>
    <row r="908" spans="1:9">
      <c r="A908" s="299" t="s">
        <v>1687</v>
      </c>
      <c r="B908" s="295">
        <f t="shared" si="3"/>
        <v>177</v>
      </c>
      <c r="C908" s="295">
        <v>188</v>
      </c>
      <c r="D908" s="87"/>
      <c r="E908" s="87"/>
      <c r="F908" s="87"/>
      <c r="G908" s="87"/>
      <c r="H908" s="87"/>
      <c r="I908" s="87"/>
    </row>
    <row r="909" spans="1:9">
      <c r="A909" s="297" t="s">
        <v>1688</v>
      </c>
      <c r="B909" s="298">
        <f t="shared" si="3"/>
        <v>178</v>
      </c>
      <c r="C909" s="298">
        <v>187</v>
      </c>
      <c r="D909" s="87"/>
      <c r="E909" s="87"/>
      <c r="F909" s="87"/>
      <c r="G909" s="87"/>
      <c r="H909" s="87"/>
      <c r="I909" s="87"/>
    </row>
    <row r="910" spans="1:9">
      <c r="A910" s="299" t="s">
        <v>1689</v>
      </c>
      <c r="B910" s="295">
        <f t="shared" si="3"/>
        <v>179</v>
      </c>
      <c r="C910" s="295">
        <v>186</v>
      </c>
      <c r="D910" s="87"/>
      <c r="E910" s="87"/>
      <c r="F910" s="87"/>
      <c r="G910" s="87"/>
      <c r="H910" s="87"/>
      <c r="I910" s="87"/>
    </row>
    <row r="911" spans="1:9">
      <c r="A911" s="297" t="s">
        <v>1690</v>
      </c>
      <c r="B911" s="298">
        <f t="shared" si="3"/>
        <v>180</v>
      </c>
      <c r="C911" s="298">
        <v>185</v>
      </c>
      <c r="D911" s="87"/>
      <c r="E911" s="87"/>
      <c r="F911" s="87"/>
      <c r="G911" s="87"/>
      <c r="H911" s="87"/>
      <c r="I911" s="87"/>
    </row>
    <row r="912" spans="1:9">
      <c r="A912" s="299" t="s">
        <v>1691</v>
      </c>
      <c r="B912" s="295">
        <f t="shared" si="3"/>
        <v>181</v>
      </c>
      <c r="C912" s="295">
        <v>184</v>
      </c>
      <c r="D912" s="87"/>
      <c r="E912" s="87"/>
      <c r="F912" s="87"/>
      <c r="G912" s="87"/>
      <c r="H912" s="87"/>
      <c r="I912" s="87"/>
    </row>
    <row r="913" spans="1:9">
      <c r="A913" s="297" t="s">
        <v>1692</v>
      </c>
      <c r="B913" s="298">
        <f t="shared" si="3"/>
        <v>182</v>
      </c>
      <c r="C913" s="298">
        <v>183</v>
      </c>
      <c r="D913" s="87"/>
      <c r="E913" s="87"/>
      <c r="F913" s="87"/>
      <c r="G913" s="87"/>
      <c r="H913" s="87"/>
      <c r="I913" s="87"/>
    </row>
    <row r="914" spans="1:9">
      <c r="A914" s="299" t="s">
        <v>1693</v>
      </c>
      <c r="B914" s="295">
        <f t="shared" si="3"/>
        <v>183</v>
      </c>
      <c r="C914" s="295">
        <v>182</v>
      </c>
      <c r="D914" s="87"/>
      <c r="E914" s="87"/>
      <c r="F914" s="87"/>
      <c r="G914" s="87"/>
      <c r="H914" s="87"/>
      <c r="I914" s="87"/>
    </row>
    <row r="915" spans="1:9">
      <c r="A915" s="297" t="s">
        <v>1694</v>
      </c>
      <c r="B915" s="298">
        <f t="shared" si="3"/>
        <v>184</v>
      </c>
      <c r="C915" s="298">
        <v>181</v>
      </c>
      <c r="D915" s="87"/>
      <c r="E915" s="87"/>
      <c r="F915" s="87"/>
      <c r="G915" s="87"/>
      <c r="H915" s="87"/>
      <c r="I915" s="87"/>
    </row>
    <row r="916" spans="1:9">
      <c r="A916" s="299" t="s">
        <v>1695</v>
      </c>
      <c r="B916" s="295">
        <f t="shared" si="3"/>
        <v>185</v>
      </c>
      <c r="C916" s="295">
        <v>180</v>
      </c>
      <c r="D916" s="87"/>
      <c r="E916" s="87"/>
      <c r="F916" s="87"/>
      <c r="G916" s="87"/>
      <c r="H916" s="87"/>
      <c r="I916" s="87"/>
    </row>
    <row r="917" spans="1:9">
      <c r="A917" s="297" t="s">
        <v>1696</v>
      </c>
      <c r="B917" s="298">
        <f t="shared" si="3"/>
        <v>186</v>
      </c>
      <c r="C917" s="298">
        <v>179</v>
      </c>
      <c r="D917" s="87"/>
      <c r="E917" s="87"/>
      <c r="F917" s="87"/>
      <c r="G917" s="87"/>
      <c r="H917" s="87"/>
      <c r="I917" s="87"/>
    </row>
    <row r="918" spans="1:9">
      <c r="A918" s="299" t="s">
        <v>1697</v>
      </c>
      <c r="B918" s="295">
        <f t="shared" si="3"/>
        <v>187</v>
      </c>
      <c r="C918" s="295">
        <v>178</v>
      </c>
      <c r="D918" s="87"/>
      <c r="E918" s="87"/>
      <c r="F918" s="87"/>
      <c r="G918" s="87"/>
      <c r="H918" s="87"/>
      <c r="I918" s="87"/>
    </row>
    <row r="919" spans="1:9">
      <c r="A919" s="297" t="s">
        <v>1698</v>
      </c>
      <c r="B919" s="298">
        <f t="shared" si="3"/>
        <v>188</v>
      </c>
      <c r="C919" s="298">
        <v>177</v>
      </c>
      <c r="D919" s="87"/>
      <c r="E919" s="87"/>
      <c r="F919" s="87"/>
      <c r="G919" s="87"/>
      <c r="H919" s="87"/>
      <c r="I919" s="87"/>
    </row>
    <row r="920" spans="1:9">
      <c r="A920" s="299" t="s">
        <v>1699</v>
      </c>
      <c r="B920" s="295">
        <f t="shared" si="3"/>
        <v>189</v>
      </c>
      <c r="C920" s="295">
        <v>176</v>
      </c>
      <c r="D920" s="87"/>
      <c r="E920" s="87"/>
      <c r="F920" s="87"/>
      <c r="G920" s="87"/>
      <c r="H920" s="87"/>
      <c r="I920" s="87"/>
    </row>
    <row r="921" spans="1:9">
      <c r="A921" s="297" t="s">
        <v>1700</v>
      </c>
      <c r="B921" s="298">
        <f t="shared" si="3"/>
        <v>190</v>
      </c>
      <c r="C921" s="298">
        <v>175</v>
      </c>
      <c r="D921" s="87"/>
      <c r="E921" s="87"/>
      <c r="F921" s="87"/>
      <c r="G921" s="87"/>
      <c r="H921" s="87"/>
      <c r="I921" s="87"/>
    </row>
    <row r="922" spans="1:9">
      <c r="A922" s="299" t="s">
        <v>1701</v>
      </c>
      <c r="B922" s="295">
        <f t="shared" si="3"/>
        <v>191</v>
      </c>
      <c r="C922" s="295">
        <v>174</v>
      </c>
      <c r="D922" s="87"/>
      <c r="E922" s="87"/>
      <c r="F922" s="87"/>
      <c r="G922" s="87"/>
      <c r="H922" s="87"/>
      <c r="I922" s="87"/>
    </row>
    <row r="923" spans="1:9">
      <c r="A923" s="297" t="s">
        <v>1702</v>
      </c>
      <c r="B923" s="298">
        <f t="shared" si="3"/>
        <v>192</v>
      </c>
      <c r="C923" s="298">
        <v>173</v>
      </c>
      <c r="D923" s="87"/>
      <c r="E923" s="87"/>
      <c r="F923" s="87"/>
      <c r="G923" s="87"/>
      <c r="H923" s="87"/>
      <c r="I923" s="87"/>
    </row>
    <row r="924" spans="1:9">
      <c r="A924" s="299" t="s">
        <v>1703</v>
      </c>
      <c r="B924" s="295">
        <f t="shared" si="3"/>
        <v>193</v>
      </c>
      <c r="C924" s="295">
        <v>172</v>
      </c>
      <c r="D924" s="87"/>
      <c r="E924" s="87"/>
      <c r="F924" s="87"/>
      <c r="G924" s="87"/>
      <c r="H924" s="87"/>
      <c r="I924" s="87"/>
    </row>
    <row r="925" spans="1:9">
      <c r="A925" s="297" t="s">
        <v>1704</v>
      </c>
      <c r="B925" s="298">
        <f t="shared" si="3"/>
        <v>194</v>
      </c>
      <c r="C925" s="298">
        <v>171</v>
      </c>
      <c r="D925" s="87"/>
      <c r="E925" s="87"/>
      <c r="F925" s="87"/>
      <c r="G925" s="87"/>
      <c r="H925" s="87"/>
      <c r="I925" s="87"/>
    </row>
    <row r="926" spans="1:9">
      <c r="A926" s="299" t="s">
        <v>1705</v>
      </c>
      <c r="B926" s="295">
        <f t="shared" si="3"/>
        <v>195</v>
      </c>
      <c r="C926" s="295">
        <v>170</v>
      </c>
      <c r="D926" s="87"/>
      <c r="E926" s="87"/>
      <c r="F926" s="87"/>
      <c r="G926" s="87"/>
      <c r="H926" s="87"/>
      <c r="I926" s="87"/>
    </row>
    <row r="927" spans="1:9">
      <c r="A927" s="297" t="s">
        <v>1706</v>
      </c>
      <c r="B927" s="298">
        <f t="shared" si="3"/>
        <v>196</v>
      </c>
      <c r="C927" s="298">
        <v>169</v>
      </c>
      <c r="D927" s="87"/>
      <c r="E927" s="87"/>
      <c r="F927" s="87"/>
      <c r="G927" s="87"/>
      <c r="H927" s="87"/>
      <c r="I927" s="87"/>
    </row>
    <row r="928" spans="1:9">
      <c r="A928" s="299" t="s">
        <v>1707</v>
      </c>
      <c r="B928" s="295">
        <f t="shared" si="3"/>
        <v>197</v>
      </c>
      <c r="C928" s="295">
        <v>168</v>
      </c>
      <c r="D928" s="87"/>
      <c r="E928" s="87"/>
      <c r="F928" s="87"/>
      <c r="G928" s="87"/>
      <c r="H928" s="87"/>
      <c r="I928" s="87"/>
    </row>
    <row r="929" spans="1:9">
      <c r="A929" s="297" t="s">
        <v>1708</v>
      </c>
      <c r="B929" s="298">
        <f t="shared" si="3"/>
        <v>198</v>
      </c>
      <c r="C929" s="298">
        <v>167</v>
      </c>
      <c r="D929" s="87"/>
      <c r="E929" s="87"/>
      <c r="F929" s="87"/>
      <c r="G929" s="87"/>
      <c r="H929" s="87"/>
      <c r="I929" s="87"/>
    </row>
    <row r="930" spans="1:9">
      <c r="A930" s="299" t="s">
        <v>1709</v>
      </c>
      <c r="B930" s="295">
        <f t="shared" si="3"/>
        <v>199</v>
      </c>
      <c r="C930" s="295">
        <v>166</v>
      </c>
      <c r="D930" s="87"/>
      <c r="E930" s="87"/>
      <c r="F930" s="87"/>
      <c r="G930" s="87"/>
      <c r="H930" s="87"/>
      <c r="I930" s="87"/>
    </row>
    <row r="931" spans="1:9">
      <c r="A931" s="297" t="s">
        <v>1710</v>
      </c>
      <c r="B931" s="298">
        <f t="shared" si="3"/>
        <v>200</v>
      </c>
      <c r="C931" s="298">
        <v>165</v>
      </c>
      <c r="D931" s="87"/>
      <c r="E931" s="87"/>
      <c r="F931" s="87"/>
      <c r="G931" s="87"/>
      <c r="H931" s="87"/>
      <c r="I931" s="87"/>
    </row>
    <row r="932" spans="1:9">
      <c r="A932" s="299" t="s">
        <v>1711</v>
      </c>
      <c r="B932" s="295">
        <f t="shared" si="3"/>
        <v>201</v>
      </c>
      <c r="C932" s="295">
        <v>164</v>
      </c>
      <c r="D932" s="87"/>
      <c r="E932" s="87"/>
      <c r="F932" s="87"/>
      <c r="G932" s="87"/>
      <c r="H932" s="87"/>
      <c r="I932" s="87"/>
    </row>
    <row r="933" spans="1:9">
      <c r="A933" s="297" t="s">
        <v>1712</v>
      </c>
      <c r="B933" s="298">
        <f t="shared" si="3"/>
        <v>202</v>
      </c>
      <c r="C933" s="298">
        <v>163</v>
      </c>
      <c r="D933" s="87"/>
      <c r="E933" s="87"/>
      <c r="F933" s="87"/>
      <c r="G933" s="87"/>
      <c r="H933" s="87"/>
      <c r="I933" s="87"/>
    </row>
    <row r="934" spans="1:9">
      <c r="A934" s="299" t="s">
        <v>1713</v>
      </c>
      <c r="B934" s="295">
        <f t="shared" si="3"/>
        <v>203</v>
      </c>
      <c r="C934" s="295">
        <v>162</v>
      </c>
      <c r="D934" s="87"/>
      <c r="E934" s="87"/>
      <c r="F934" s="87"/>
      <c r="G934" s="87"/>
      <c r="H934" s="87"/>
      <c r="I934" s="87"/>
    </row>
    <row r="935" spans="1:9">
      <c r="A935" s="297" t="s">
        <v>1714</v>
      </c>
      <c r="B935" s="298">
        <f t="shared" si="3"/>
        <v>204</v>
      </c>
      <c r="C935" s="298">
        <v>161</v>
      </c>
      <c r="D935" s="87"/>
      <c r="E935" s="87"/>
      <c r="F935" s="87"/>
      <c r="G935" s="87"/>
      <c r="H935" s="87"/>
      <c r="I935" s="87"/>
    </row>
    <row r="936" spans="1:9">
      <c r="A936" s="299" t="s">
        <v>1715</v>
      </c>
      <c r="B936" s="295">
        <f t="shared" si="3"/>
        <v>205</v>
      </c>
      <c r="C936" s="295">
        <v>160</v>
      </c>
      <c r="D936" s="87"/>
      <c r="E936" s="87"/>
      <c r="F936" s="87"/>
      <c r="G936" s="87"/>
      <c r="H936" s="87"/>
      <c r="I936" s="87"/>
    </row>
    <row r="937" spans="1:9">
      <c r="A937" s="297" t="s">
        <v>1716</v>
      </c>
      <c r="B937" s="298">
        <f t="shared" si="3"/>
        <v>206</v>
      </c>
      <c r="C937" s="298">
        <v>159</v>
      </c>
      <c r="D937" s="87"/>
      <c r="E937" s="87"/>
      <c r="F937" s="87"/>
      <c r="G937" s="87"/>
      <c r="H937" s="87"/>
      <c r="I937" s="87"/>
    </row>
    <row r="938" spans="1:9">
      <c r="A938" s="299" t="s">
        <v>1717</v>
      </c>
      <c r="B938" s="295">
        <f t="shared" si="3"/>
        <v>207</v>
      </c>
      <c r="C938" s="295">
        <v>158</v>
      </c>
      <c r="D938" s="87"/>
      <c r="E938" s="87"/>
      <c r="F938" s="87"/>
      <c r="G938" s="87"/>
      <c r="H938" s="87"/>
      <c r="I938" s="87"/>
    </row>
    <row r="939" spans="1:9">
      <c r="A939" s="297" t="s">
        <v>1718</v>
      </c>
      <c r="B939" s="298">
        <f t="shared" si="3"/>
        <v>208</v>
      </c>
      <c r="C939" s="298">
        <v>157</v>
      </c>
      <c r="D939" s="87"/>
      <c r="E939" s="87"/>
      <c r="F939" s="87"/>
      <c r="G939" s="87"/>
      <c r="H939" s="87"/>
      <c r="I939" s="87"/>
    </row>
    <row r="940" spans="1:9">
      <c r="A940" s="299" t="s">
        <v>1719</v>
      </c>
      <c r="B940" s="295">
        <f t="shared" si="3"/>
        <v>209</v>
      </c>
      <c r="C940" s="295">
        <v>156</v>
      </c>
      <c r="D940" s="87"/>
      <c r="E940" s="87"/>
      <c r="F940" s="87"/>
      <c r="G940" s="87"/>
      <c r="H940" s="87"/>
      <c r="I940" s="87"/>
    </row>
    <row r="941" spans="1:9">
      <c r="A941" s="297" t="s">
        <v>1720</v>
      </c>
      <c r="B941" s="298">
        <f t="shared" si="3"/>
        <v>210</v>
      </c>
      <c r="C941" s="298">
        <v>155</v>
      </c>
      <c r="D941" s="87"/>
      <c r="E941" s="87"/>
      <c r="F941" s="87"/>
      <c r="G941" s="87"/>
      <c r="H941" s="87"/>
      <c r="I941" s="87"/>
    </row>
    <row r="942" spans="1:9">
      <c r="A942" s="299" t="s">
        <v>1721</v>
      </c>
      <c r="B942" s="295">
        <f t="shared" si="3"/>
        <v>211</v>
      </c>
      <c r="C942" s="295">
        <v>154</v>
      </c>
      <c r="D942" s="87"/>
      <c r="E942" s="87"/>
      <c r="F942" s="87"/>
      <c r="G942" s="87"/>
      <c r="H942" s="87"/>
      <c r="I942" s="87"/>
    </row>
    <row r="943" spans="1:9">
      <c r="A943" s="297" t="s">
        <v>1722</v>
      </c>
      <c r="B943" s="298">
        <f t="shared" si="3"/>
        <v>212</v>
      </c>
      <c r="C943" s="298">
        <v>153</v>
      </c>
      <c r="D943" s="87"/>
      <c r="E943" s="87"/>
      <c r="F943" s="87"/>
      <c r="G943" s="87"/>
      <c r="H943" s="87"/>
      <c r="I943" s="87"/>
    </row>
    <row r="944" spans="1:9">
      <c r="A944" s="299" t="s">
        <v>1723</v>
      </c>
      <c r="B944" s="295">
        <f t="shared" si="3"/>
        <v>213</v>
      </c>
      <c r="C944" s="295">
        <v>152</v>
      </c>
      <c r="D944" s="87"/>
      <c r="E944" s="87"/>
      <c r="F944" s="87"/>
      <c r="G944" s="87"/>
      <c r="H944" s="87"/>
      <c r="I944" s="87"/>
    </row>
    <row r="945" spans="1:9">
      <c r="A945" s="297" t="s">
        <v>1724</v>
      </c>
      <c r="B945" s="298">
        <f t="shared" si="3"/>
        <v>214</v>
      </c>
      <c r="C945" s="298">
        <v>151</v>
      </c>
      <c r="D945" s="87"/>
      <c r="E945" s="87"/>
      <c r="F945" s="87"/>
      <c r="G945" s="87"/>
      <c r="H945" s="87"/>
      <c r="I945" s="87"/>
    </row>
    <row r="946" spans="1:9">
      <c r="A946" s="299" t="s">
        <v>1725</v>
      </c>
      <c r="B946" s="295">
        <f t="shared" si="3"/>
        <v>215</v>
      </c>
      <c r="C946" s="295">
        <v>150</v>
      </c>
      <c r="D946" s="87"/>
      <c r="E946" s="87"/>
      <c r="F946" s="87"/>
      <c r="G946" s="87"/>
      <c r="H946" s="87"/>
      <c r="I946" s="87"/>
    </row>
    <row r="947" spans="1:9">
      <c r="A947" s="297" t="s">
        <v>1726</v>
      </c>
      <c r="B947" s="298">
        <f t="shared" si="3"/>
        <v>216</v>
      </c>
      <c r="C947" s="298">
        <v>149</v>
      </c>
      <c r="D947" s="87"/>
      <c r="E947" s="87"/>
      <c r="F947" s="87"/>
      <c r="G947" s="87"/>
      <c r="H947" s="87"/>
      <c r="I947" s="87"/>
    </row>
    <row r="948" spans="1:9">
      <c r="A948" s="299" t="s">
        <v>1727</v>
      </c>
      <c r="B948" s="295">
        <f t="shared" si="3"/>
        <v>217</v>
      </c>
      <c r="C948" s="295">
        <v>148</v>
      </c>
      <c r="D948" s="87"/>
      <c r="E948" s="87"/>
      <c r="F948" s="87"/>
      <c r="G948" s="87"/>
      <c r="H948" s="87"/>
      <c r="I948" s="87"/>
    </row>
    <row r="949" spans="1:9">
      <c r="A949" s="297" t="s">
        <v>1728</v>
      </c>
      <c r="B949" s="298">
        <f t="shared" si="3"/>
        <v>218</v>
      </c>
      <c r="C949" s="298">
        <v>147</v>
      </c>
      <c r="D949" s="87"/>
      <c r="E949" s="87"/>
      <c r="F949" s="87"/>
      <c r="G949" s="87"/>
      <c r="H949" s="87"/>
      <c r="I949" s="87"/>
    </row>
    <row r="950" spans="1:9">
      <c r="A950" s="299" t="s">
        <v>1729</v>
      </c>
      <c r="B950" s="295">
        <f t="shared" si="3"/>
        <v>219</v>
      </c>
      <c r="C950" s="295">
        <v>146</v>
      </c>
      <c r="D950" s="87"/>
      <c r="E950" s="87"/>
      <c r="F950" s="87"/>
      <c r="G950" s="87"/>
      <c r="H950" s="87"/>
      <c r="I950" s="87"/>
    </row>
    <row r="951" spans="1:9">
      <c r="A951" s="297" t="s">
        <v>1730</v>
      </c>
      <c r="B951" s="298">
        <f t="shared" si="3"/>
        <v>220</v>
      </c>
      <c r="C951" s="298">
        <v>145</v>
      </c>
      <c r="D951" s="87"/>
      <c r="E951" s="87"/>
      <c r="F951" s="87"/>
      <c r="G951" s="87"/>
      <c r="H951" s="87"/>
      <c r="I951" s="87"/>
    </row>
    <row r="952" spans="1:9">
      <c r="A952" s="299" t="s">
        <v>1731</v>
      </c>
      <c r="B952" s="295">
        <f t="shared" si="3"/>
        <v>221</v>
      </c>
      <c r="C952" s="295">
        <v>144</v>
      </c>
      <c r="D952" s="87"/>
      <c r="E952" s="87"/>
      <c r="F952" s="87"/>
      <c r="G952" s="87"/>
      <c r="H952" s="87"/>
      <c r="I952" s="87"/>
    </row>
    <row r="953" spans="1:9">
      <c r="A953" s="297" t="s">
        <v>1732</v>
      </c>
      <c r="B953" s="298">
        <f t="shared" si="3"/>
        <v>222</v>
      </c>
      <c r="C953" s="298">
        <v>143</v>
      </c>
      <c r="D953" s="87"/>
      <c r="E953" s="87"/>
      <c r="F953" s="87"/>
      <c r="G953" s="87"/>
      <c r="H953" s="87"/>
      <c r="I953" s="87"/>
    </row>
    <row r="954" spans="1:9">
      <c r="A954" s="299" t="s">
        <v>1733</v>
      </c>
      <c r="B954" s="295">
        <f t="shared" si="3"/>
        <v>223</v>
      </c>
      <c r="C954" s="295">
        <v>142</v>
      </c>
      <c r="D954" s="87"/>
      <c r="E954" s="87"/>
      <c r="F954" s="87"/>
      <c r="G954" s="87"/>
      <c r="H954" s="87"/>
      <c r="I954" s="87"/>
    </row>
    <row r="955" spans="1:9">
      <c r="A955" s="297" t="s">
        <v>1734</v>
      </c>
      <c r="B955" s="298">
        <f t="shared" si="3"/>
        <v>224</v>
      </c>
      <c r="C955" s="298">
        <v>141</v>
      </c>
      <c r="D955" s="87"/>
      <c r="E955" s="87"/>
      <c r="F955" s="87"/>
      <c r="G955" s="87"/>
      <c r="H955" s="87"/>
      <c r="I955" s="87"/>
    </row>
    <row r="956" spans="1:9">
      <c r="A956" s="299" t="s">
        <v>1735</v>
      </c>
      <c r="B956" s="295">
        <f t="shared" si="3"/>
        <v>225</v>
      </c>
      <c r="C956" s="295">
        <v>140</v>
      </c>
      <c r="D956" s="87"/>
      <c r="E956" s="87"/>
      <c r="F956" s="87"/>
      <c r="G956" s="87"/>
      <c r="H956" s="87"/>
      <c r="I956" s="87"/>
    </row>
    <row r="957" spans="1:9">
      <c r="A957" s="297" t="s">
        <v>1736</v>
      </c>
      <c r="B957" s="298">
        <f t="shared" si="3"/>
        <v>226</v>
      </c>
      <c r="C957" s="298">
        <v>139</v>
      </c>
      <c r="D957" s="87"/>
      <c r="E957" s="87"/>
      <c r="F957" s="87"/>
      <c r="G957" s="87"/>
      <c r="H957" s="87"/>
      <c r="I957" s="87"/>
    </row>
    <row r="958" spans="1:9">
      <c r="A958" s="299" t="s">
        <v>1737</v>
      </c>
      <c r="B958" s="295">
        <f t="shared" si="3"/>
        <v>227</v>
      </c>
      <c r="C958" s="295">
        <v>138</v>
      </c>
      <c r="D958" s="87"/>
      <c r="E958" s="87"/>
      <c r="F958" s="87"/>
      <c r="G958" s="87"/>
      <c r="H958" s="87"/>
      <c r="I958" s="87"/>
    </row>
    <row r="959" spans="1:9">
      <c r="A959" s="297" t="s">
        <v>1738</v>
      </c>
      <c r="B959" s="298">
        <f t="shared" si="3"/>
        <v>228</v>
      </c>
      <c r="C959" s="298">
        <v>137</v>
      </c>
      <c r="D959" s="87"/>
      <c r="E959" s="87"/>
      <c r="F959" s="87"/>
      <c r="G959" s="87"/>
      <c r="H959" s="87"/>
      <c r="I959" s="87"/>
    </row>
    <row r="960" spans="1:9">
      <c r="A960" s="299" t="s">
        <v>1739</v>
      </c>
      <c r="B960" s="295">
        <f t="shared" si="3"/>
        <v>229</v>
      </c>
      <c r="C960" s="295">
        <v>136</v>
      </c>
      <c r="D960" s="87"/>
      <c r="E960" s="87"/>
      <c r="F960" s="87"/>
      <c r="G960" s="87"/>
      <c r="H960" s="87"/>
      <c r="I960" s="87"/>
    </row>
    <row r="961" spans="1:9">
      <c r="A961" s="297" t="s">
        <v>1740</v>
      </c>
      <c r="B961" s="298">
        <f t="shared" si="3"/>
        <v>230</v>
      </c>
      <c r="C961" s="298">
        <v>135</v>
      </c>
      <c r="D961" s="87"/>
      <c r="E961" s="87"/>
      <c r="F961" s="87"/>
      <c r="G961" s="87"/>
      <c r="H961" s="87"/>
      <c r="I961" s="87"/>
    </row>
    <row r="962" spans="1:9">
      <c r="A962" s="299" t="s">
        <v>1741</v>
      </c>
      <c r="B962" s="295">
        <f t="shared" si="3"/>
        <v>231</v>
      </c>
      <c r="C962" s="295">
        <v>134</v>
      </c>
      <c r="D962" s="87"/>
      <c r="E962" s="87"/>
      <c r="F962" s="87"/>
      <c r="G962" s="87"/>
      <c r="H962" s="87"/>
      <c r="I962" s="87"/>
    </row>
    <row r="963" spans="1:9">
      <c r="A963" s="297" t="s">
        <v>1742</v>
      </c>
      <c r="B963" s="298">
        <f t="shared" si="3"/>
        <v>232</v>
      </c>
      <c r="C963" s="298">
        <v>133</v>
      </c>
      <c r="D963" s="87"/>
      <c r="E963" s="87"/>
      <c r="F963" s="87"/>
      <c r="G963" s="87"/>
      <c r="H963" s="87"/>
      <c r="I963" s="87"/>
    </row>
    <row r="964" spans="1:9">
      <c r="A964" s="299" t="s">
        <v>1743</v>
      </c>
      <c r="B964" s="295">
        <f t="shared" si="3"/>
        <v>233</v>
      </c>
      <c r="C964" s="295">
        <v>132</v>
      </c>
      <c r="D964" s="87"/>
      <c r="E964" s="87"/>
      <c r="F964" s="87"/>
      <c r="G964" s="87"/>
      <c r="H964" s="87"/>
      <c r="I964" s="87"/>
    </row>
    <row r="965" spans="1:9">
      <c r="A965" s="297" t="s">
        <v>1744</v>
      </c>
      <c r="B965" s="298">
        <f t="shared" si="3"/>
        <v>234</v>
      </c>
      <c r="C965" s="298">
        <v>131</v>
      </c>
      <c r="D965" s="87"/>
      <c r="E965" s="87"/>
      <c r="F965" s="87"/>
      <c r="G965" s="87"/>
      <c r="H965" s="87"/>
      <c r="I965" s="87"/>
    </row>
    <row r="966" spans="1:9">
      <c r="A966" s="299" t="s">
        <v>1745</v>
      </c>
      <c r="B966" s="295">
        <f t="shared" si="3"/>
        <v>235</v>
      </c>
      <c r="C966" s="295">
        <v>130</v>
      </c>
      <c r="D966" s="87"/>
      <c r="E966" s="87"/>
      <c r="F966" s="87"/>
      <c r="G966" s="87"/>
      <c r="H966" s="87"/>
      <c r="I966" s="87"/>
    </row>
    <row r="967" spans="1:9">
      <c r="A967" s="297" t="s">
        <v>1746</v>
      </c>
      <c r="B967" s="298">
        <f t="shared" si="3"/>
        <v>236</v>
      </c>
      <c r="C967" s="298">
        <v>129</v>
      </c>
      <c r="D967" s="87"/>
      <c r="E967" s="87"/>
      <c r="F967" s="87"/>
      <c r="G967" s="87"/>
      <c r="H967" s="87"/>
      <c r="I967" s="87"/>
    </row>
    <row r="968" spans="1:9">
      <c r="A968" s="299" t="s">
        <v>1747</v>
      </c>
      <c r="B968" s="295">
        <f t="shared" si="3"/>
        <v>237</v>
      </c>
      <c r="C968" s="295">
        <v>128</v>
      </c>
      <c r="D968" s="87"/>
      <c r="E968" s="87"/>
      <c r="F968" s="87"/>
      <c r="G968" s="87"/>
      <c r="H968" s="87"/>
      <c r="I968" s="87"/>
    </row>
    <row r="969" spans="1:9">
      <c r="A969" s="297" t="s">
        <v>1748</v>
      </c>
      <c r="B969" s="298">
        <f t="shared" si="3"/>
        <v>238</v>
      </c>
      <c r="C969" s="298">
        <v>127</v>
      </c>
      <c r="D969" s="87"/>
      <c r="E969" s="87"/>
      <c r="F969" s="87"/>
      <c r="G969" s="87"/>
      <c r="H969" s="87"/>
      <c r="I969" s="87"/>
    </row>
    <row r="970" spans="1:9">
      <c r="A970" s="299" t="s">
        <v>1749</v>
      </c>
      <c r="B970" s="295">
        <f t="shared" si="3"/>
        <v>239</v>
      </c>
      <c r="C970" s="295">
        <v>126</v>
      </c>
      <c r="D970" s="87"/>
      <c r="E970" s="87"/>
      <c r="F970" s="87"/>
      <c r="G970" s="87"/>
      <c r="H970" s="87"/>
      <c r="I970" s="87"/>
    </row>
    <row r="971" spans="1:9">
      <c r="A971" s="297" t="s">
        <v>1750</v>
      </c>
      <c r="B971" s="298">
        <f t="shared" si="3"/>
        <v>240</v>
      </c>
      <c r="C971" s="298">
        <v>125</v>
      </c>
      <c r="D971" s="87"/>
      <c r="E971" s="87"/>
      <c r="F971" s="87"/>
      <c r="G971" s="87"/>
      <c r="H971" s="87"/>
      <c r="I971" s="87"/>
    </row>
    <row r="972" spans="1:9">
      <c r="A972" s="299" t="s">
        <v>1751</v>
      </c>
      <c r="B972" s="295">
        <f t="shared" si="3"/>
        <v>241</v>
      </c>
      <c r="C972" s="295">
        <v>124</v>
      </c>
      <c r="D972" s="87"/>
      <c r="E972" s="87"/>
      <c r="F972" s="87"/>
      <c r="G972" s="87"/>
      <c r="H972" s="87"/>
      <c r="I972" s="87"/>
    </row>
    <row r="973" spans="1:9">
      <c r="A973" s="297" t="s">
        <v>1752</v>
      </c>
      <c r="B973" s="298">
        <f t="shared" si="3"/>
        <v>242</v>
      </c>
      <c r="C973" s="298">
        <v>123</v>
      </c>
      <c r="D973" s="87"/>
      <c r="E973" s="87"/>
      <c r="F973" s="87"/>
      <c r="G973" s="87"/>
      <c r="H973" s="87"/>
      <c r="I973" s="87"/>
    </row>
    <row r="974" spans="1:9">
      <c r="A974" s="299" t="s">
        <v>1753</v>
      </c>
      <c r="B974" s="295">
        <f t="shared" si="3"/>
        <v>243</v>
      </c>
      <c r="C974" s="295">
        <v>122</v>
      </c>
      <c r="D974" s="87"/>
      <c r="E974" s="87"/>
      <c r="F974" s="87"/>
      <c r="G974" s="87"/>
      <c r="H974" s="87"/>
      <c r="I974" s="87"/>
    </row>
    <row r="975" spans="1:9">
      <c r="A975" s="297" t="s">
        <v>1754</v>
      </c>
      <c r="B975" s="298">
        <f t="shared" si="3"/>
        <v>244</v>
      </c>
      <c r="C975" s="298">
        <v>121</v>
      </c>
      <c r="D975" s="87"/>
      <c r="E975" s="87"/>
      <c r="F975" s="87"/>
      <c r="G975" s="87"/>
      <c r="H975" s="87"/>
      <c r="I975" s="87"/>
    </row>
    <row r="976" spans="1:9">
      <c r="A976" s="299" t="s">
        <v>1755</v>
      </c>
      <c r="B976" s="295">
        <f t="shared" si="3"/>
        <v>245</v>
      </c>
      <c r="C976" s="295">
        <v>120</v>
      </c>
      <c r="D976" s="87"/>
      <c r="E976" s="87"/>
      <c r="F976" s="87"/>
      <c r="G976" s="87"/>
      <c r="H976" s="87"/>
      <c r="I976" s="87"/>
    </row>
    <row r="977" spans="1:9">
      <c r="A977" s="297" t="s">
        <v>1756</v>
      </c>
      <c r="B977" s="298">
        <f t="shared" si="3"/>
        <v>246</v>
      </c>
      <c r="C977" s="298">
        <v>119</v>
      </c>
      <c r="D977" s="87"/>
      <c r="E977" s="87"/>
      <c r="F977" s="87"/>
      <c r="G977" s="87"/>
      <c r="H977" s="87"/>
      <c r="I977" s="87"/>
    </row>
    <row r="978" spans="1:9">
      <c r="A978" s="299" t="s">
        <v>1757</v>
      </c>
      <c r="B978" s="295">
        <f t="shared" si="3"/>
        <v>247</v>
      </c>
      <c r="C978" s="295">
        <v>118</v>
      </c>
      <c r="D978" s="87"/>
      <c r="E978" s="87"/>
      <c r="F978" s="87"/>
      <c r="G978" s="87"/>
      <c r="H978" s="87"/>
      <c r="I978" s="87"/>
    </row>
    <row r="979" spans="1:9">
      <c r="A979" s="297" t="s">
        <v>1758</v>
      </c>
      <c r="B979" s="298">
        <f t="shared" si="3"/>
        <v>248</v>
      </c>
      <c r="C979" s="298">
        <v>117</v>
      </c>
      <c r="D979" s="87"/>
      <c r="E979" s="87"/>
      <c r="F979" s="87"/>
      <c r="G979" s="87"/>
      <c r="H979" s="87"/>
      <c r="I979" s="87"/>
    </row>
    <row r="980" spans="1:9">
      <c r="A980" s="299" t="s">
        <v>1759</v>
      </c>
      <c r="B980" s="295">
        <f t="shared" si="3"/>
        <v>249</v>
      </c>
      <c r="C980" s="295">
        <v>116</v>
      </c>
      <c r="D980" s="87"/>
      <c r="E980" s="87"/>
      <c r="F980" s="87"/>
      <c r="G980" s="87"/>
      <c r="H980" s="87"/>
      <c r="I980" s="87"/>
    </row>
    <row r="981" spans="1:9">
      <c r="A981" s="297" t="s">
        <v>1760</v>
      </c>
      <c r="B981" s="298">
        <f t="shared" si="3"/>
        <v>250</v>
      </c>
      <c r="C981" s="298">
        <v>115</v>
      </c>
      <c r="D981" s="87"/>
      <c r="E981" s="87"/>
      <c r="F981" s="87"/>
      <c r="G981" s="87"/>
      <c r="H981" s="87"/>
      <c r="I981" s="87"/>
    </row>
    <row r="982" spans="1:9">
      <c r="A982" s="299" t="s">
        <v>1761</v>
      </c>
      <c r="B982" s="295">
        <f t="shared" si="3"/>
        <v>251</v>
      </c>
      <c r="C982" s="295">
        <v>114</v>
      </c>
      <c r="D982" s="87"/>
      <c r="E982" s="87"/>
      <c r="F982" s="87"/>
      <c r="G982" s="87"/>
      <c r="H982" s="87"/>
      <c r="I982" s="87"/>
    </row>
    <row r="983" spans="1:9">
      <c r="A983" s="297" t="s">
        <v>1762</v>
      </c>
      <c r="B983" s="298">
        <f t="shared" si="3"/>
        <v>252</v>
      </c>
      <c r="C983" s="298">
        <v>113</v>
      </c>
      <c r="D983" s="87"/>
      <c r="E983" s="87"/>
      <c r="F983" s="87"/>
      <c r="G983" s="87"/>
      <c r="H983" s="87"/>
      <c r="I983" s="87"/>
    </row>
    <row r="984" spans="1:9">
      <c r="A984" s="299" t="s">
        <v>1763</v>
      </c>
      <c r="B984" s="295">
        <f t="shared" si="3"/>
        <v>253</v>
      </c>
      <c r="C984" s="295">
        <v>112</v>
      </c>
      <c r="D984" s="87"/>
      <c r="E984" s="87"/>
      <c r="F984" s="87"/>
      <c r="G984" s="87"/>
      <c r="H984" s="87"/>
      <c r="I984" s="87"/>
    </row>
    <row r="985" spans="1:9">
      <c r="A985" s="297" t="s">
        <v>1764</v>
      </c>
      <c r="B985" s="298">
        <f t="shared" si="3"/>
        <v>254</v>
      </c>
      <c r="C985" s="298">
        <v>111</v>
      </c>
      <c r="D985" s="87"/>
      <c r="E985" s="87"/>
      <c r="F985" s="87"/>
      <c r="G985" s="87"/>
      <c r="H985" s="87"/>
      <c r="I985" s="87"/>
    </row>
    <row r="986" spans="1:9">
      <c r="A986" s="299" t="s">
        <v>1765</v>
      </c>
      <c r="B986" s="295">
        <f t="shared" si="3"/>
        <v>255</v>
      </c>
      <c r="C986" s="295">
        <v>110</v>
      </c>
      <c r="D986" s="87"/>
      <c r="E986" s="87"/>
      <c r="F986" s="87"/>
      <c r="G986" s="87"/>
      <c r="H986" s="87"/>
      <c r="I986" s="87"/>
    </row>
    <row r="987" spans="1:9">
      <c r="A987" s="297" t="s">
        <v>1766</v>
      </c>
      <c r="B987" s="298">
        <f t="shared" si="3"/>
        <v>256</v>
      </c>
      <c r="C987" s="298">
        <v>109</v>
      </c>
      <c r="D987" s="87"/>
      <c r="E987" s="87"/>
      <c r="F987" s="87"/>
      <c r="G987" s="87"/>
      <c r="H987" s="87"/>
      <c r="I987" s="87"/>
    </row>
    <row r="988" spans="1:9">
      <c r="A988" s="299" t="s">
        <v>1767</v>
      </c>
      <c r="B988" s="295">
        <f t="shared" si="3"/>
        <v>257</v>
      </c>
      <c r="C988" s="295">
        <v>108</v>
      </c>
      <c r="D988" s="87"/>
      <c r="E988" s="87"/>
      <c r="F988" s="87"/>
      <c r="G988" s="87"/>
      <c r="H988" s="87"/>
      <c r="I988" s="87"/>
    </row>
    <row r="989" spans="1:9">
      <c r="A989" s="297" t="s">
        <v>1768</v>
      </c>
      <c r="B989" s="298">
        <f t="shared" si="3"/>
        <v>258</v>
      </c>
      <c r="C989" s="298">
        <v>107</v>
      </c>
      <c r="D989" s="87"/>
      <c r="E989" s="87"/>
      <c r="F989" s="87"/>
      <c r="G989" s="87"/>
      <c r="H989" s="87"/>
      <c r="I989" s="87"/>
    </row>
    <row r="990" spans="1:9">
      <c r="A990" s="299" t="s">
        <v>1769</v>
      </c>
      <c r="B990" s="295">
        <f t="shared" si="3"/>
        <v>259</v>
      </c>
      <c r="C990" s="295">
        <v>106</v>
      </c>
      <c r="D990" s="87"/>
      <c r="E990" s="87"/>
      <c r="F990" s="87"/>
      <c r="G990" s="87"/>
      <c r="H990" s="87"/>
      <c r="I990" s="87"/>
    </row>
    <row r="991" spans="1:9">
      <c r="A991" s="297" t="s">
        <v>1770</v>
      </c>
      <c r="B991" s="298">
        <f t="shared" si="3"/>
        <v>260</v>
      </c>
      <c r="C991" s="298">
        <v>105</v>
      </c>
      <c r="D991" s="87"/>
      <c r="E991" s="87"/>
      <c r="F991" s="87"/>
      <c r="G991" s="87"/>
      <c r="H991" s="87"/>
      <c r="I991" s="87"/>
    </row>
    <row r="992" spans="1:9">
      <c r="A992" s="299" t="s">
        <v>1771</v>
      </c>
      <c r="B992" s="295">
        <f t="shared" si="3"/>
        <v>261</v>
      </c>
      <c r="C992" s="295">
        <v>104</v>
      </c>
      <c r="D992" s="87"/>
      <c r="E992" s="87"/>
      <c r="F992" s="87"/>
      <c r="G992" s="87"/>
      <c r="H992" s="87"/>
      <c r="I992" s="87"/>
    </row>
    <row r="993" spans="1:9">
      <c r="A993" s="297" t="s">
        <v>1772</v>
      </c>
      <c r="B993" s="298">
        <f t="shared" si="3"/>
        <v>262</v>
      </c>
      <c r="C993" s="298">
        <v>103</v>
      </c>
      <c r="D993" s="87"/>
      <c r="E993" s="87"/>
      <c r="F993" s="87"/>
      <c r="G993" s="87"/>
      <c r="H993" s="87"/>
      <c r="I993" s="87"/>
    </row>
    <row r="994" spans="1:9">
      <c r="A994" s="299" t="s">
        <v>1773</v>
      </c>
      <c r="B994" s="295">
        <f t="shared" si="3"/>
        <v>263</v>
      </c>
      <c r="C994" s="295">
        <v>102</v>
      </c>
      <c r="D994" s="87"/>
      <c r="E994" s="87"/>
      <c r="F994" s="87"/>
      <c r="G994" s="87"/>
      <c r="H994" s="87"/>
      <c r="I994" s="87"/>
    </row>
    <row r="995" spans="1:9">
      <c r="A995" s="297" t="s">
        <v>1774</v>
      </c>
      <c r="B995" s="298">
        <f t="shared" si="3"/>
        <v>264</v>
      </c>
      <c r="C995" s="298">
        <v>101</v>
      </c>
      <c r="D995" s="87"/>
      <c r="E995" s="87"/>
      <c r="F995" s="87"/>
      <c r="G995" s="87"/>
      <c r="H995" s="87"/>
      <c r="I995" s="87"/>
    </row>
    <row r="996" spans="1:9">
      <c r="A996" s="299" t="s">
        <v>1775</v>
      </c>
      <c r="B996" s="295">
        <f t="shared" si="3"/>
        <v>265</v>
      </c>
      <c r="C996" s="295">
        <v>100</v>
      </c>
      <c r="D996" s="87"/>
      <c r="E996" s="87"/>
      <c r="F996" s="87"/>
      <c r="G996" s="87"/>
      <c r="H996" s="87"/>
      <c r="I996" s="87"/>
    </row>
    <row r="997" spans="1:9">
      <c r="A997" s="297" t="s">
        <v>1776</v>
      </c>
      <c r="B997" s="298">
        <f t="shared" si="3"/>
        <v>266</v>
      </c>
      <c r="C997" s="298">
        <v>99</v>
      </c>
      <c r="D997" s="87"/>
      <c r="E997" s="87"/>
      <c r="F997" s="87"/>
      <c r="G997" s="87"/>
      <c r="H997" s="87"/>
      <c r="I997" s="87"/>
    </row>
    <row r="998" spans="1:9">
      <c r="A998" s="299" t="s">
        <v>1777</v>
      </c>
      <c r="B998" s="295">
        <f t="shared" si="3"/>
        <v>267</v>
      </c>
      <c r="C998" s="295">
        <v>98</v>
      </c>
      <c r="D998" s="87"/>
      <c r="E998" s="87"/>
      <c r="F998" s="87"/>
      <c r="G998" s="87"/>
      <c r="H998" s="87"/>
      <c r="I998" s="87"/>
    </row>
    <row r="999" spans="1:9">
      <c r="A999" s="297" t="s">
        <v>1778</v>
      </c>
      <c r="B999" s="298">
        <f t="shared" si="3"/>
        <v>268</v>
      </c>
      <c r="C999" s="298">
        <v>97</v>
      </c>
      <c r="D999" s="87"/>
      <c r="E999" s="87"/>
      <c r="F999" s="87"/>
      <c r="G999" s="87"/>
      <c r="H999" s="87"/>
      <c r="I999" s="87"/>
    </row>
    <row r="1000" spans="1:9">
      <c r="A1000" s="299" t="s">
        <v>1779</v>
      </c>
      <c r="B1000" s="295">
        <f t="shared" si="3"/>
        <v>269</v>
      </c>
      <c r="C1000" s="295">
        <v>96</v>
      </c>
      <c r="D1000" s="87"/>
      <c r="E1000" s="87"/>
      <c r="F1000" s="87"/>
      <c r="G1000" s="87"/>
      <c r="H1000" s="87"/>
      <c r="I1000" s="87"/>
    </row>
    <row r="1001" spans="1:9">
      <c r="A1001" s="297" t="s">
        <v>1780</v>
      </c>
      <c r="B1001" s="298">
        <f t="shared" si="3"/>
        <v>270</v>
      </c>
      <c r="C1001" s="298">
        <v>95</v>
      </c>
      <c r="D1001" s="87"/>
      <c r="E1001" s="87"/>
      <c r="F1001" s="87"/>
      <c r="G1001" s="87"/>
      <c r="H1001" s="87"/>
      <c r="I1001" s="87"/>
    </row>
    <row r="1002" spans="1:9">
      <c r="A1002" s="299" t="s">
        <v>1781</v>
      </c>
      <c r="B1002" s="295">
        <f t="shared" si="3"/>
        <v>271</v>
      </c>
      <c r="C1002" s="295">
        <v>94</v>
      </c>
      <c r="D1002" s="87"/>
      <c r="E1002" s="87"/>
      <c r="F1002" s="87"/>
      <c r="G1002" s="87"/>
      <c r="H1002" s="87"/>
      <c r="I1002" s="87"/>
    </row>
    <row r="1003" spans="1:9">
      <c r="A1003" s="297" t="s">
        <v>1782</v>
      </c>
      <c r="B1003" s="298">
        <f t="shared" si="3"/>
        <v>272</v>
      </c>
      <c r="C1003" s="298">
        <v>93</v>
      </c>
      <c r="D1003" s="87"/>
      <c r="E1003" s="87"/>
      <c r="F1003" s="87"/>
      <c r="G1003" s="87"/>
      <c r="H1003" s="87"/>
      <c r="I1003" s="87"/>
    </row>
    <row r="1004" spans="1:9">
      <c r="A1004" s="299" t="s">
        <v>1783</v>
      </c>
      <c r="B1004" s="295">
        <f t="shared" si="3"/>
        <v>273</v>
      </c>
      <c r="C1004" s="295">
        <v>92</v>
      </c>
      <c r="D1004" s="87"/>
      <c r="E1004" s="87"/>
      <c r="F1004" s="87"/>
      <c r="G1004" s="87"/>
      <c r="H1004" s="87"/>
      <c r="I1004" s="87"/>
    </row>
    <row r="1005" spans="1:9">
      <c r="A1005" s="297" t="s">
        <v>1784</v>
      </c>
      <c r="B1005" s="298">
        <f t="shared" si="3"/>
        <v>274</v>
      </c>
      <c r="C1005" s="298">
        <v>91</v>
      </c>
      <c r="D1005" s="87"/>
      <c r="E1005" s="87"/>
      <c r="F1005" s="87"/>
      <c r="G1005" s="87"/>
      <c r="H1005" s="87"/>
      <c r="I1005" s="87"/>
    </row>
    <row r="1006" spans="1:9">
      <c r="A1006" s="299" t="s">
        <v>1785</v>
      </c>
      <c r="B1006" s="295">
        <f t="shared" si="3"/>
        <v>275</v>
      </c>
      <c r="C1006" s="295">
        <v>90</v>
      </c>
      <c r="D1006" s="87"/>
      <c r="E1006" s="87"/>
      <c r="F1006" s="87"/>
      <c r="G1006" s="87"/>
      <c r="H1006" s="87"/>
      <c r="I1006" s="87"/>
    </row>
    <row r="1007" spans="1:9">
      <c r="A1007" s="297" t="s">
        <v>1786</v>
      </c>
      <c r="B1007" s="298">
        <f t="shared" si="3"/>
        <v>276</v>
      </c>
      <c r="C1007" s="298">
        <v>89</v>
      </c>
      <c r="D1007" s="87"/>
      <c r="E1007" s="87"/>
      <c r="F1007" s="87"/>
      <c r="G1007" s="87"/>
      <c r="H1007" s="87"/>
      <c r="I1007" s="87"/>
    </row>
    <row r="1008" spans="1:9">
      <c r="A1008" s="299" t="s">
        <v>1787</v>
      </c>
      <c r="B1008" s="295">
        <f t="shared" si="3"/>
        <v>277</v>
      </c>
      <c r="C1008" s="295">
        <v>88</v>
      </c>
      <c r="D1008" s="87"/>
      <c r="E1008" s="87"/>
      <c r="F1008" s="87"/>
      <c r="G1008" s="87"/>
      <c r="H1008" s="87"/>
      <c r="I1008" s="87"/>
    </row>
    <row r="1009" spans="1:9">
      <c r="A1009" s="297" t="s">
        <v>1788</v>
      </c>
      <c r="B1009" s="298">
        <f t="shared" si="3"/>
        <v>278</v>
      </c>
      <c r="C1009" s="298">
        <v>87</v>
      </c>
      <c r="D1009" s="87"/>
      <c r="E1009" s="87"/>
      <c r="F1009" s="87"/>
      <c r="G1009" s="87"/>
      <c r="H1009" s="87"/>
      <c r="I1009" s="87"/>
    </row>
    <row r="1010" spans="1:9">
      <c r="A1010" s="299" t="s">
        <v>1789</v>
      </c>
      <c r="B1010" s="295">
        <f t="shared" si="3"/>
        <v>279</v>
      </c>
      <c r="C1010" s="295">
        <v>86</v>
      </c>
      <c r="D1010" s="87"/>
      <c r="E1010" s="87"/>
      <c r="F1010" s="87"/>
      <c r="G1010" s="87"/>
      <c r="H1010" s="87"/>
      <c r="I1010" s="87"/>
    </row>
    <row r="1011" spans="1:9">
      <c r="A1011" s="297" t="s">
        <v>1790</v>
      </c>
      <c r="B1011" s="298">
        <f t="shared" si="3"/>
        <v>280</v>
      </c>
      <c r="C1011" s="298">
        <v>85</v>
      </c>
      <c r="D1011" s="87"/>
      <c r="E1011" s="87"/>
      <c r="F1011" s="87"/>
      <c r="G1011" s="87"/>
      <c r="H1011" s="87"/>
      <c r="I1011" s="87"/>
    </row>
    <row r="1012" spans="1:9">
      <c r="A1012" s="299" t="s">
        <v>1791</v>
      </c>
      <c r="B1012" s="295">
        <f t="shared" si="3"/>
        <v>281</v>
      </c>
      <c r="C1012" s="295">
        <v>84</v>
      </c>
      <c r="D1012" s="87"/>
      <c r="E1012" s="87"/>
      <c r="F1012" s="87"/>
      <c r="G1012" s="87"/>
      <c r="H1012" s="87"/>
      <c r="I1012" s="87"/>
    </row>
    <row r="1013" spans="1:9">
      <c r="A1013" s="297" t="s">
        <v>1792</v>
      </c>
      <c r="B1013" s="298">
        <f t="shared" si="3"/>
        <v>282</v>
      </c>
      <c r="C1013" s="298">
        <v>83</v>
      </c>
      <c r="D1013" s="87"/>
      <c r="E1013" s="87"/>
      <c r="F1013" s="87"/>
      <c r="G1013" s="87"/>
      <c r="H1013" s="87"/>
      <c r="I1013" s="87"/>
    </row>
    <row r="1014" spans="1:9">
      <c r="A1014" s="299" t="s">
        <v>1793</v>
      </c>
      <c r="B1014" s="295">
        <f t="shared" si="3"/>
        <v>283</v>
      </c>
      <c r="C1014" s="295">
        <v>82</v>
      </c>
      <c r="D1014" s="87"/>
      <c r="E1014" s="87"/>
      <c r="F1014" s="87"/>
      <c r="G1014" s="87"/>
      <c r="H1014" s="87"/>
      <c r="I1014" s="87"/>
    </row>
    <row r="1015" spans="1:9">
      <c r="A1015" s="297" t="s">
        <v>1794</v>
      </c>
      <c r="B1015" s="298">
        <f t="shared" si="3"/>
        <v>284</v>
      </c>
      <c r="C1015" s="298">
        <v>81</v>
      </c>
      <c r="D1015" s="87"/>
      <c r="E1015" s="87"/>
      <c r="F1015" s="87"/>
      <c r="G1015" s="87"/>
      <c r="H1015" s="87"/>
      <c r="I1015" s="87"/>
    </row>
    <row r="1016" spans="1:9">
      <c r="A1016" s="299" t="s">
        <v>1795</v>
      </c>
      <c r="B1016" s="295">
        <f t="shared" si="3"/>
        <v>285</v>
      </c>
      <c r="C1016" s="295">
        <v>80</v>
      </c>
      <c r="D1016" s="87"/>
      <c r="E1016" s="87"/>
      <c r="F1016" s="87"/>
      <c r="G1016" s="87"/>
      <c r="H1016" s="87"/>
      <c r="I1016" s="87"/>
    </row>
    <row r="1017" spans="1:9">
      <c r="A1017" s="297" t="s">
        <v>1796</v>
      </c>
      <c r="B1017" s="298">
        <f t="shared" si="3"/>
        <v>286</v>
      </c>
      <c r="C1017" s="298">
        <v>79</v>
      </c>
      <c r="D1017" s="87"/>
      <c r="E1017" s="87"/>
      <c r="F1017" s="87"/>
      <c r="G1017" s="87"/>
      <c r="H1017" s="87"/>
      <c r="I1017" s="87"/>
    </row>
    <row r="1018" spans="1:9">
      <c r="A1018" s="299" t="s">
        <v>1797</v>
      </c>
      <c r="B1018" s="295">
        <f t="shared" si="3"/>
        <v>287</v>
      </c>
      <c r="C1018" s="295">
        <v>78</v>
      </c>
      <c r="D1018" s="87"/>
      <c r="E1018" s="87"/>
      <c r="F1018" s="87"/>
      <c r="G1018" s="87"/>
      <c r="H1018" s="87"/>
      <c r="I1018" s="87"/>
    </row>
    <row r="1019" spans="1:9">
      <c r="A1019" s="297" t="s">
        <v>1798</v>
      </c>
      <c r="B1019" s="298">
        <f t="shared" si="3"/>
        <v>288</v>
      </c>
      <c r="C1019" s="298">
        <v>77</v>
      </c>
      <c r="D1019" s="87"/>
      <c r="E1019" s="87"/>
      <c r="F1019" s="87"/>
      <c r="G1019" s="87"/>
      <c r="H1019" s="87"/>
      <c r="I1019" s="87"/>
    </row>
    <row r="1020" spans="1:9">
      <c r="A1020" s="299" t="s">
        <v>1799</v>
      </c>
      <c r="B1020" s="295">
        <f t="shared" si="3"/>
        <v>289</v>
      </c>
      <c r="C1020" s="295">
        <v>76</v>
      </c>
      <c r="D1020" s="87"/>
      <c r="E1020" s="87"/>
      <c r="F1020" s="87"/>
      <c r="G1020" s="87"/>
      <c r="H1020" s="87"/>
      <c r="I1020" s="87"/>
    </row>
    <row r="1021" spans="1:9">
      <c r="A1021" s="297" t="s">
        <v>1800</v>
      </c>
      <c r="B1021" s="298">
        <f t="shared" si="3"/>
        <v>290</v>
      </c>
      <c r="C1021" s="298">
        <v>75</v>
      </c>
      <c r="D1021" s="87"/>
      <c r="E1021" s="87"/>
      <c r="F1021" s="87"/>
      <c r="G1021" s="87"/>
      <c r="H1021" s="87"/>
      <c r="I1021" s="87"/>
    </row>
    <row r="1022" spans="1:9">
      <c r="A1022" s="299" t="s">
        <v>1801</v>
      </c>
      <c r="B1022" s="295">
        <f t="shared" ref="B1022:B1096" si="5">365-C1022</f>
        <v>291</v>
      </c>
      <c r="C1022" s="295">
        <v>74</v>
      </c>
      <c r="D1022" s="87"/>
      <c r="E1022" s="87"/>
      <c r="F1022" s="87"/>
      <c r="G1022" s="87"/>
      <c r="H1022" s="87"/>
      <c r="I1022" s="87"/>
    </row>
    <row r="1023" spans="1:9">
      <c r="A1023" s="297" t="s">
        <v>1802</v>
      </c>
      <c r="B1023" s="298">
        <f t="shared" si="5"/>
        <v>292</v>
      </c>
      <c r="C1023" s="298">
        <v>73</v>
      </c>
      <c r="D1023" s="87"/>
      <c r="E1023" s="87"/>
      <c r="F1023" s="87"/>
      <c r="G1023" s="87"/>
      <c r="H1023" s="87"/>
      <c r="I1023" s="87"/>
    </row>
    <row r="1024" spans="1:9">
      <c r="A1024" s="299" t="s">
        <v>1803</v>
      </c>
      <c r="B1024" s="295">
        <f t="shared" si="5"/>
        <v>293</v>
      </c>
      <c r="C1024" s="295">
        <v>72</v>
      </c>
      <c r="D1024" s="87"/>
      <c r="E1024" s="87"/>
      <c r="F1024" s="87"/>
      <c r="G1024" s="87"/>
      <c r="H1024" s="87"/>
      <c r="I1024" s="87"/>
    </row>
    <row r="1025" spans="1:9">
      <c r="A1025" s="297" t="s">
        <v>1804</v>
      </c>
      <c r="B1025" s="298">
        <f t="shared" si="5"/>
        <v>294</v>
      </c>
      <c r="C1025" s="298">
        <v>71</v>
      </c>
      <c r="D1025" s="87"/>
      <c r="E1025" s="87"/>
      <c r="F1025" s="87"/>
      <c r="G1025" s="87"/>
      <c r="H1025" s="87"/>
      <c r="I1025" s="87"/>
    </row>
    <row r="1026" spans="1:9">
      <c r="A1026" s="299" t="s">
        <v>1805</v>
      </c>
      <c r="B1026" s="295">
        <f t="shared" si="5"/>
        <v>295</v>
      </c>
      <c r="C1026" s="295">
        <v>70</v>
      </c>
      <c r="D1026" s="87"/>
      <c r="E1026" s="87"/>
      <c r="F1026" s="87"/>
      <c r="G1026" s="87"/>
      <c r="H1026" s="87"/>
      <c r="I1026" s="87"/>
    </row>
    <row r="1027" spans="1:9">
      <c r="A1027" s="297" t="s">
        <v>1806</v>
      </c>
      <c r="B1027" s="298">
        <f t="shared" si="5"/>
        <v>296</v>
      </c>
      <c r="C1027" s="298">
        <v>69</v>
      </c>
      <c r="D1027" s="87"/>
      <c r="E1027" s="87"/>
      <c r="F1027" s="87"/>
      <c r="G1027" s="87"/>
      <c r="H1027" s="87"/>
      <c r="I1027" s="87"/>
    </row>
    <row r="1028" spans="1:9">
      <c r="A1028" s="305" t="s">
        <v>1807</v>
      </c>
      <c r="B1028" s="306">
        <f t="shared" si="5"/>
        <v>297</v>
      </c>
      <c r="C1028" s="306">
        <v>68</v>
      </c>
      <c r="D1028" s="87"/>
      <c r="E1028" s="87"/>
      <c r="F1028" s="87"/>
      <c r="G1028" s="87"/>
      <c r="H1028" s="87"/>
      <c r="I1028" s="87"/>
    </row>
    <row r="1029" spans="1:9">
      <c r="A1029" s="297" t="s">
        <v>1808</v>
      </c>
      <c r="B1029" s="298">
        <f t="shared" si="5"/>
        <v>298</v>
      </c>
      <c r="C1029" s="298">
        <v>67</v>
      </c>
      <c r="D1029" s="87"/>
      <c r="E1029" s="87"/>
      <c r="F1029" s="87"/>
      <c r="G1029" s="87"/>
      <c r="H1029" s="87"/>
      <c r="I1029" s="87"/>
    </row>
    <row r="1030" spans="1:9">
      <c r="A1030" s="299" t="s">
        <v>1809</v>
      </c>
      <c r="B1030" s="295">
        <f t="shared" si="5"/>
        <v>299</v>
      </c>
      <c r="C1030" s="295">
        <v>66</v>
      </c>
      <c r="D1030" s="87"/>
      <c r="E1030" s="87"/>
      <c r="F1030" s="87"/>
      <c r="G1030" s="87"/>
      <c r="H1030" s="87"/>
      <c r="I1030" s="87"/>
    </row>
    <row r="1031" spans="1:9">
      <c r="A1031" s="297" t="s">
        <v>1810</v>
      </c>
      <c r="B1031" s="298">
        <f t="shared" si="5"/>
        <v>300</v>
      </c>
      <c r="C1031" s="298">
        <v>65</v>
      </c>
      <c r="D1031" s="87"/>
      <c r="E1031" s="87"/>
      <c r="F1031" s="87"/>
      <c r="G1031" s="87"/>
      <c r="H1031" s="87"/>
      <c r="I1031" s="87"/>
    </row>
    <row r="1032" spans="1:9">
      <c r="A1032" s="299" t="s">
        <v>1811</v>
      </c>
      <c r="B1032" s="295">
        <f t="shared" si="5"/>
        <v>301</v>
      </c>
      <c r="C1032" s="295">
        <v>64</v>
      </c>
      <c r="D1032" s="87"/>
      <c r="E1032" s="87"/>
      <c r="F1032" s="87"/>
      <c r="G1032" s="87"/>
      <c r="H1032" s="87"/>
      <c r="I1032" s="87"/>
    </row>
    <row r="1033" spans="1:9">
      <c r="A1033" s="297" t="s">
        <v>1812</v>
      </c>
      <c r="B1033" s="298">
        <f t="shared" si="5"/>
        <v>302</v>
      </c>
      <c r="C1033" s="298">
        <v>63</v>
      </c>
      <c r="D1033" s="87"/>
      <c r="E1033" s="87"/>
      <c r="F1033" s="87"/>
      <c r="G1033" s="87"/>
      <c r="H1033" s="87"/>
      <c r="I1033" s="87"/>
    </row>
    <row r="1034" spans="1:9">
      <c r="A1034" s="299" t="s">
        <v>1813</v>
      </c>
      <c r="B1034" s="295">
        <f t="shared" si="5"/>
        <v>303</v>
      </c>
      <c r="C1034" s="295">
        <v>62</v>
      </c>
      <c r="D1034" s="87"/>
      <c r="E1034" s="87"/>
      <c r="F1034" s="87"/>
      <c r="G1034" s="87"/>
      <c r="H1034" s="87"/>
      <c r="I1034" s="87"/>
    </row>
    <row r="1035" spans="1:9">
      <c r="A1035" s="297" t="s">
        <v>1814</v>
      </c>
      <c r="B1035" s="298">
        <f t="shared" si="5"/>
        <v>304</v>
      </c>
      <c r="C1035" s="298">
        <v>61</v>
      </c>
      <c r="D1035" s="87"/>
      <c r="E1035" s="87"/>
      <c r="F1035" s="87"/>
      <c r="G1035" s="87"/>
      <c r="H1035" s="87"/>
      <c r="I1035" s="87"/>
    </row>
    <row r="1036" spans="1:9">
      <c r="A1036" s="299" t="s">
        <v>1815</v>
      </c>
      <c r="B1036" s="295">
        <f t="shared" si="5"/>
        <v>305</v>
      </c>
      <c r="C1036" s="295">
        <v>60</v>
      </c>
      <c r="D1036" s="87"/>
      <c r="E1036" s="87"/>
      <c r="F1036" s="87"/>
      <c r="G1036" s="87"/>
      <c r="H1036" s="87"/>
      <c r="I1036" s="87"/>
    </row>
    <row r="1037" spans="1:9">
      <c r="A1037" s="297" t="s">
        <v>1816</v>
      </c>
      <c r="B1037" s="298">
        <f t="shared" si="5"/>
        <v>306</v>
      </c>
      <c r="C1037" s="298">
        <v>59</v>
      </c>
      <c r="D1037" s="87"/>
      <c r="E1037" s="87"/>
      <c r="F1037" s="87"/>
      <c r="G1037" s="87"/>
      <c r="H1037" s="87"/>
      <c r="I1037" s="87"/>
    </row>
    <row r="1038" spans="1:9">
      <c r="A1038" s="299" t="s">
        <v>1817</v>
      </c>
      <c r="B1038" s="295">
        <f t="shared" si="5"/>
        <v>307</v>
      </c>
      <c r="C1038" s="295">
        <v>58</v>
      </c>
      <c r="D1038" s="87"/>
      <c r="E1038" s="87"/>
      <c r="F1038" s="87"/>
      <c r="G1038" s="87"/>
      <c r="H1038" s="87"/>
      <c r="I1038" s="87"/>
    </row>
    <row r="1039" spans="1:9">
      <c r="A1039" s="297" t="s">
        <v>1818</v>
      </c>
      <c r="B1039" s="298">
        <f t="shared" si="5"/>
        <v>308</v>
      </c>
      <c r="C1039" s="298">
        <v>57</v>
      </c>
      <c r="D1039" s="87"/>
      <c r="E1039" s="87"/>
      <c r="F1039" s="87"/>
      <c r="G1039" s="87"/>
      <c r="H1039" s="87"/>
      <c r="I1039" s="87"/>
    </row>
    <row r="1040" spans="1:9">
      <c r="A1040" s="299" t="s">
        <v>1819</v>
      </c>
      <c r="B1040" s="295">
        <f t="shared" si="5"/>
        <v>309</v>
      </c>
      <c r="C1040" s="295">
        <v>56</v>
      </c>
      <c r="D1040" s="87"/>
      <c r="E1040" s="87"/>
      <c r="F1040" s="87"/>
      <c r="G1040" s="87"/>
      <c r="H1040" s="87"/>
      <c r="I1040" s="87"/>
    </row>
    <row r="1041" spans="1:9">
      <c r="A1041" s="297" t="s">
        <v>1820</v>
      </c>
      <c r="B1041" s="298">
        <f t="shared" si="5"/>
        <v>310</v>
      </c>
      <c r="C1041" s="298">
        <v>55</v>
      </c>
      <c r="D1041" s="87"/>
      <c r="E1041" s="87"/>
      <c r="F1041" s="87"/>
      <c r="G1041" s="87"/>
      <c r="H1041" s="87"/>
      <c r="I1041" s="87"/>
    </row>
    <row r="1042" spans="1:9">
      <c r="A1042" s="299" t="s">
        <v>1821</v>
      </c>
      <c r="B1042" s="295">
        <f t="shared" si="5"/>
        <v>311</v>
      </c>
      <c r="C1042" s="295">
        <v>54</v>
      </c>
      <c r="D1042" s="87"/>
      <c r="E1042" s="87"/>
      <c r="F1042" s="87"/>
      <c r="G1042" s="87"/>
      <c r="H1042" s="87"/>
      <c r="I1042" s="87"/>
    </row>
    <row r="1043" spans="1:9">
      <c r="A1043" s="297" t="s">
        <v>1822</v>
      </c>
      <c r="B1043" s="298">
        <f t="shared" si="5"/>
        <v>312</v>
      </c>
      <c r="C1043" s="298">
        <v>53</v>
      </c>
      <c r="D1043" s="87"/>
      <c r="E1043" s="87"/>
      <c r="F1043" s="87"/>
      <c r="G1043" s="87"/>
      <c r="H1043" s="87"/>
      <c r="I1043" s="87"/>
    </row>
    <row r="1044" spans="1:9">
      <c r="A1044" s="299" t="s">
        <v>1823</v>
      </c>
      <c r="B1044" s="295">
        <f t="shared" si="5"/>
        <v>313</v>
      </c>
      <c r="C1044" s="295">
        <v>52</v>
      </c>
      <c r="D1044" s="87"/>
      <c r="E1044" s="87"/>
      <c r="F1044" s="87"/>
      <c r="G1044" s="87"/>
      <c r="H1044" s="87"/>
      <c r="I1044" s="87"/>
    </row>
    <row r="1045" spans="1:9">
      <c r="A1045" s="297" t="s">
        <v>1824</v>
      </c>
      <c r="B1045" s="298">
        <f t="shared" si="5"/>
        <v>314</v>
      </c>
      <c r="C1045" s="298">
        <v>51</v>
      </c>
      <c r="D1045" s="87"/>
      <c r="E1045" s="87"/>
      <c r="F1045" s="87"/>
      <c r="G1045" s="87"/>
      <c r="H1045" s="87"/>
      <c r="I1045" s="87"/>
    </row>
    <row r="1046" spans="1:9">
      <c r="A1046" s="299" t="s">
        <v>1825</v>
      </c>
      <c r="B1046" s="295">
        <f t="shared" si="5"/>
        <v>315</v>
      </c>
      <c r="C1046" s="295">
        <v>50</v>
      </c>
      <c r="D1046" s="87"/>
      <c r="E1046" s="87"/>
      <c r="F1046" s="87"/>
      <c r="G1046" s="87"/>
      <c r="H1046" s="87"/>
      <c r="I1046" s="87"/>
    </row>
    <row r="1047" spans="1:9">
      <c r="A1047" s="297" t="s">
        <v>1826</v>
      </c>
      <c r="B1047" s="298">
        <f t="shared" si="5"/>
        <v>316</v>
      </c>
      <c r="C1047" s="298">
        <v>49</v>
      </c>
      <c r="D1047" s="87"/>
      <c r="E1047" s="87"/>
      <c r="F1047" s="87"/>
      <c r="G1047" s="87"/>
      <c r="H1047" s="87"/>
      <c r="I1047" s="87"/>
    </row>
    <row r="1048" spans="1:9">
      <c r="A1048" s="299" t="s">
        <v>1827</v>
      </c>
      <c r="B1048" s="295">
        <f t="shared" si="5"/>
        <v>317</v>
      </c>
      <c r="C1048" s="295">
        <v>48</v>
      </c>
      <c r="D1048" s="87"/>
      <c r="E1048" s="87"/>
      <c r="F1048" s="87"/>
      <c r="G1048" s="87"/>
      <c r="H1048" s="87"/>
      <c r="I1048" s="87"/>
    </row>
    <row r="1049" spans="1:9">
      <c r="A1049" s="297" t="s">
        <v>1828</v>
      </c>
      <c r="B1049" s="298">
        <f t="shared" si="5"/>
        <v>318</v>
      </c>
      <c r="C1049" s="298">
        <v>47</v>
      </c>
      <c r="D1049" s="87"/>
      <c r="E1049" s="87"/>
      <c r="F1049" s="87"/>
      <c r="G1049" s="87"/>
      <c r="H1049" s="87"/>
      <c r="I1049" s="87"/>
    </row>
    <row r="1050" spans="1:9">
      <c r="A1050" s="299" t="s">
        <v>1829</v>
      </c>
      <c r="B1050" s="295">
        <f t="shared" si="5"/>
        <v>319</v>
      </c>
      <c r="C1050" s="295">
        <v>46</v>
      </c>
      <c r="D1050" s="87"/>
      <c r="E1050" s="87"/>
      <c r="F1050" s="87"/>
      <c r="G1050" s="87"/>
      <c r="H1050" s="87"/>
      <c r="I1050" s="87"/>
    </row>
    <row r="1051" spans="1:9">
      <c r="A1051" s="297" t="s">
        <v>1830</v>
      </c>
      <c r="B1051" s="298">
        <f t="shared" si="5"/>
        <v>320</v>
      </c>
      <c r="C1051" s="298">
        <v>45</v>
      </c>
      <c r="D1051" s="87"/>
      <c r="E1051" s="87"/>
      <c r="F1051" s="87"/>
      <c r="G1051" s="87"/>
      <c r="H1051" s="87"/>
      <c r="I1051" s="87"/>
    </row>
    <row r="1052" spans="1:9">
      <c r="A1052" s="299" t="s">
        <v>1831</v>
      </c>
      <c r="B1052" s="295">
        <f t="shared" si="5"/>
        <v>321</v>
      </c>
      <c r="C1052" s="295">
        <v>44</v>
      </c>
      <c r="D1052" s="87"/>
      <c r="E1052" s="87"/>
      <c r="F1052" s="87"/>
      <c r="G1052" s="87"/>
      <c r="H1052" s="87"/>
      <c r="I1052" s="87"/>
    </row>
    <row r="1053" spans="1:9">
      <c r="A1053" s="297" t="s">
        <v>1832</v>
      </c>
      <c r="B1053" s="298">
        <f t="shared" si="5"/>
        <v>322</v>
      </c>
      <c r="C1053" s="298">
        <v>43</v>
      </c>
      <c r="D1053" s="87"/>
      <c r="E1053" s="87"/>
      <c r="F1053" s="87"/>
      <c r="G1053" s="87"/>
      <c r="H1053" s="87"/>
      <c r="I1053" s="87"/>
    </row>
    <row r="1054" spans="1:9">
      <c r="A1054" s="299" t="s">
        <v>1833</v>
      </c>
      <c r="B1054" s="295">
        <f t="shared" si="5"/>
        <v>323</v>
      </c>
      <c r="C1054" s="295">
        <v>42</v>
      </c>
      <c r="D1054" s="87"/>
      <c r="E1054" s="87"/>
      <c r="F1054" s="87"/>
      <c r="G1054" s="87"/>
      <c r="H1054" s="87"/>
      <c r="I1054" s="87"/>
    </row>
    <row r="1055" spans="1:9">
      <c r="A1055" s="297" t="s">
        <v>1834</v>
      </c>
      <c r="B1055" s="298">
        <f t="shared" si="5"/>
        <v>324</v>
      </c>
      <c r="C1055" s="298">
        <v>41</v>
      </c>
      <c r="D1055" s="87"/>
      <c r="E1055" s="87"/>
      <c r="F1055" s="87"/>
      <c r="G1055" s="87"/>
      <c r="H1055" s="87"/>
      <c r="I1055" s="87"/>
    </row>
    <row r="1056" spans="1:9">
      <c r="A1056" s="299" t="s">
        <v>1835</v>
      </c>
      <c r="B1056" s="295">
        <f t="shared" si="5"/>
        <v>325</v>
      </c>
      <c r="C1056" s="295">
        <v>40</v>
      </c>
      <c r="D1056" s="87"/>
      <c r="E1056" s="87"/>
      <c r="F1056" s="87"/>
      <c r="G1056" s="87"/>
      <c r="H1056" s="87"/>
      <c r="I1056" s="87"/>
    </row>
    <row r="1057" spans="1:9">
      <c r="A1057" s="297" t="s">
        <v>1836</v>
      </c>
      <c r="B1057" s="298">
        <f t="shared" si="5"/>
        <v>326</v>
      </c>
      <c r="C1057" s="298">
        <v>39</v>
      </c>
      <c r="D1057" s="87"/>
      <c r="E1057" s="87"/>
      <c r="F1057" s="87"/>
      <c r="G1057" s="87"/>
      <c r="H1057" s="87"/>
      <c r="I1057" s="87"/>
    </row>
    <row r="1058" spans="1:9">
      <c r="A1058" s="299" t="s">
        <v>1837</v>
      </c>
      <c r="B1058" s="295">
        <f t="shared" si="5"/>
        <v>327</v>
      </c>
      <c r="C1058" s="295">
        <v>38</v>
      </c>
      <c r="D1058" s="87"/>
      <c r="E1058" s="87"/>
      <c r="F1058" s="87"/>
      <c r="G1058" s="87"/>
      <c r="H1058" s="87"/>
      <c r="I1058" s="87"/>
    </row>
    <row r="1059" spans="1:9">
      <c r="A1059" s="297" t="s">
        <v>1838</v>
      </c>
      <c r="B1059" s="298">
        <f t="shared" si="5"/>
        <v>328</v>
      </c>
      <c r="C1059" s="298">
        <v>37</v>
      </c>
      <c r="D1059" s="87"/>
      <c r="E1059" s="87"/>
      <c r="F1059" s="87"/>
      <c r="G1059" s="87"/>
      <c r="H1059" s="87"/>
      <c r="I1059" s="87"/>
    </row>
    <row r="1060" spans="1:9">
      <c r="A1060" s="299" t="s">
        <v>1839</v>
      </c>
      <c r="B1060" s="295">
        <f t="shared" si="5"/>
        <v>329</v>
      </c>
      <c r="C1060" s="295">
        <v>36</v>
      </c>
      <c r="D1060" s="87"/>
      <c r="E1060" s="87"/>
      <c r="F1060" s="87"/>
      <c r="G1060" s="87"/>
      <c r="H1060" s="87"/>
      <c r="I1060" s="87"/>
    </row>
    <row r="1061" spans="1:9">
      <c r="A1061" s="297" t="s">
        <v>1840</v>
      </c>
      <c r="B1061" s="298">
        <f t="shared" si="5"/>
        <v>330</v>
      </c>
      <c r="C1061" s="298">
        <v>35</v>
      </c>
      <c r="D1061" s="87"/>
      <c r="E1061" s="87"/>
      <c r="F1061" s="87"/>
      <c r="G1061" s="87"/>
      <c r="H1061" s="87"/>
      <c r="I1061" s="87"/>
    </row>
    <row r="1062" spans="1:9">
      <c r="A1062" s="299" t="s">
        <v>1841</v>
      </c>
      <c r="B1062" s="295">
        <f t="shared" si="5"/>
        <v>331</v>
      </c>
      <c r="C1062" s="295">
        <v>34</v>
      </c>
      <c r="D1062" s="87"/>
      <c r="E1062" s="87"/>
      <c r="F1062" s="87"/>
      <c r="G1062" s="87"/>
      <c r="H1062" s="87"/>
      <c r="I1062" s="87"/>
    </row>
    <row r="1063" spans="1:9">
      <c r="A1063" s="297" t="s">
        <v>1842</v>
      </c>
      <c r="B1063" s="298">
        <f t="shared" si="5"/>
        <v>332</v>
      </c>
      <c r="C1063" s="298">
        <v>33</v>
      </c>
      <c r="D1063" s="87"/>
      <c r="E1063" s="87"/>
      <c r="F1063" s="87"/>
      <c r="G1063" s="87"/>
      <c r="H1063" s="87"/>
      <c r="I1063" s="87"/>
    </row>
    <row r="1064" spans="1:9">
      <c r="A1064" s="299" t="s">
        <v>1843</v>
      </c>
      <c r="B1064" s="295">
        <f t="shared" si="5"/>
        <v>333</v>
      </c>
      <c r="C1064" s="295">
        <v>32</v>
      </c>
      <c r="D1064" s="87"/>
      <c r="E1064" s="87"/>
      <c r="F1064" s="87"/>
      <c r="G1064" s="87"/>
      <c r="H1064" s="87"/>
      <c r="I1064" s="87"/>
    </row>
    <row r="1065" spans="1:9">
      <c r="A1065" s="297" t="s">
        <v>1844</v>
      </c>
      <c r="B1065" s="298">
        <f t="shared" si="5"/>
        <v>334</v>
      </c>
      <c r="C1065" s="298">
        <v>31</v>
      </c>
      <c r="D1065" s="87"/>
      <c r="E1065" s="87"/>
      <c r="F1065" s="87"/>
      <c r="G1065" s="87"/>
      <c r="H1065" s="87"/>
      <c r="I1065" s="87"/>
    </row>
    <row r="1066" spans="1:9">
      <c r="A1066" s="299" t="s">
        <v>1845</v>
      </c>
      <c r="B1066" s="295">
        <f t="shared" si="5"/>
        <v>335</v>
      </c>
      <c r="C1066" s="295">
        <v>30</v>
      </c>
      <c r="D1066" s="87"/>
      <c r="E1066" s="87"/>
      <c r="F1066" s="87"/>
      <c r="G1066" s="87"/>
      <c r="H1066" s="87"/>
      <c r="I1066" s="87"/>
    </row>
    <row r="1067" spans="1:9">
      <c r="A1067" s="297" t="s">
        <v>1846</v>
      </c>
      <c r="B1067" s="298">
        <f t="shared" si="5"/>
        <v>336</v>
      </c>
      <c r="C1067" s="298">
        <v>29</v>
      </c>
      <c r="D1067" s="87"/>
      <c r="E1067" s="87"/>
      <c r="F1067" s="87"/>
      <c r="G1067" s="87"/>
      <c r="H1067" s="87"/>
      <c r="I1067" s="87"/>
    </row>
    <row r="1068" spans="1:9">
      <c r="A1068" s="299" t="s">
        <v>1847</v>
      </c>
      <c r="B1068" s="295">
        <f t="shared" si="5"/>
        <v>337</v>
      </c>
      <c r="C1068" s="295">
        <v>28</v>
      </c>
      <c r="D1068" s="87"/>
      <c r="E1068" s="87"/>
      <c r="F1068" s="87"/>
      <c r="G1068" s="87"/>
      <c r="H1068" s="87"/>
      <c r="I1068" s="87"/>
    </row>
    <row r="1069" spans="1:9">
      <c r="A1069" s="297" t="s">
        <v>1848</v>
      </c>
      <c r="B1069" s="298">
        <f t="shared" si="5"/>
        <v>338</v>
      </c>
      <c r="C1069" s="298">
        <v>27</v>
      </c>
      <c r="D1069" s="87"/>
      <c r="E1069" s="87"/>
      <c r="F1069" s="87"/>
      <c r="G1069" s="87"/>
      <c r="H1069" s="87"/>
      <c r="I1069" s="87"/>
    </row>
    <row r="1070" spans="1:9">
      <c r="A1070" s="299" t="s">
        <v>1849</v>
      </c>
      <c r="B1070" s="295">
        <f t="shared" si="5"/>
        <v>339</v>
      </c>
      <c r="C1070" s="295">
        <v>26</v>
      </c>
      <c r="D1070" s="87"/>
      <c r="E1070" s="87"/>
      <c r="F1070" s="87"/>
      <c r="G1070" s="87"/>
      <c r="H1070" s="87"/>
      <c r="I1070" s="87"/>
    </row>
    <row r="1071" spans="1:9">
      <c r="A1071" s="297" t="s">
        <v>1850</v>
      </c>
      <c r="B1071" s="298">
        <f t="shared" si="5"/>
        <v>340</v>
      </c>
      <c r="C1071" s="298">
        <v>25</v>
      </c>
      <c r="D1071" s="87"/>
      <c r="E1071" s="87"/>
      <c r="F1071" s="87"/>
      <c r="G1071" s="87"/>
      <c r="H1071" s="87"/>
      <c r="I1071" s="87"/>
    </row>
    <row r="1072" spans="1:9">
      <c r="A1072" s="299" t="s">
        <v>1851</v>
      </c>
      <c r="B1072" s="295">
        <f t="shared" si="5"/>
        <v>341</v>
      </c>
      <c r="C1072" s="295">
        <v>24</v>
      </c>
      <c r="D1072" s="87"/>
      <c r="E1072" s="87"/>
      <c r="F1072" s="87"/>
      <c r="G1072" s="87"/>
      <c r="H1072" s="87"/>
      <c r="I1072" s="87"/>
    </row>
    <row r="1073" spans="1:9">
      <c r="A1073" s="297" t="s">
        <v>1852</v>
      </c>
      <c r="B1073" s="298">
        <f t="shared" si="5"/>
        <v>342</v>
      </c>
      <c r="C1073" s="298">
        <v>23</v>
      </c>
      <c r="D1073" s="87"/>
      <c r="E1073" s="87"/>
      <c r="F1073" s="87"/>
      <c r="G1073" s="87"/>
      <c r="H1073" s="87"/>
      <c r="I1073" s="87"/>
    </row>
    <row r="1074" spans="1:9">
      <c r="A1074" s="299" t="s">
        <v>1853</v>
      </c>
      <c r="B1074" s="295">
        <f t="shared" si="5"/>
        <v>343</v>
      </c>
      <c r="C1074" s="295">
        <v>22</v>
      </c>
      <c r="D1074" s="87"/>
      <c r="E1074" s="87"/>
      <c r="F1074" s="87"/>
      <c r="G1074" s="87"/>
      <c r="H1074" s="87"/>
      <c r="I1074" s="87"/>
    </row>
    <row r="1075" spans="1:9">
      <c r="A1075" s="297" t="s">
        <v>1854</v>
      </c>
      <c r="B1075" s="298">
        <f t="shared" si="5"/>
        <v>344</v>
      </c>
      <c r="C1075" s="298">
        <v>21</v>
      </c>
      <c r="D1075" s="87"/>
      <c r="E1075" s="87"/>
      <c r="F1075" s="87"/>
      <c r="G1075" s="87"/>
      <c r="H1075" s="87"/>
      <c r="I1075" s="87"/>
    </row>
    <row r="1076" spans="1:9">
      <c r="A1076" s="299" t="s">
        <v>1855</v>
      </c>
      <c r="B1076" s="295">
        <f t="shared" si="5"/>
        <v>345</v>
      </c>
      <c r="C1076" s="295">
        <v>20</v>
      </c>
      <c r="D1076" s="87"/>
      <c r="E1076" s="87"/>
      <c r="F1076" s="87"/>
      <c r="G1076" s="87"/>
      <c r="H1076" s="87"/>
      <c r="I1076" s="87"/>
    </row>
    <row r="1077" spans="1:9">
      <c r="A1077" s="297" t="s">
        <v>1856</v>
      </c>
      <c r="B1077" s="298">
        <f t="shared" si="5"/>
        <v>346</v>
      </c>
      <c r="C1077" s="298">
        <v>19</v>
      </c>
      <c r="D1077" s="87"/>
      <c r="E1077" s="87"/>
      <c r="F1077" s="87"/>
      <c r="G1077" s="87"/>
      <c r="H1077" s="87"/>
      <c r="I1077" s="87"/>
    </row>
    <row r="1078" spans="1:9">
      <c r="A1078" s="299" t="s">
        <v>1857</v>
      </c>
      <c r="B1078" s="295">
        <f t="shared" si="5"/>
        <v>347</v>
      </c>
      <c r="C1078" s="295">
        <v>18</v>
      </c>
      <c r="D1078" s="87"/>
      <c r="E1078" s="87"/>
      <c r="F1078" s="87"/>
      <c r="G1078" s="87"/>
      <c r="H1078" s="87"/>
      <c r="I1078" s="87"/>
    </row>
    <row r="1079" spans="1:9">
      <c r="A1079" s="297" t="s">
        <v>1858</v>
      </c>
      <c r="B1079" s="298">
        <f t="shared" si="5"/>
        <v>348</v>
      </c>
      <c r="C1079" s="298">
        <v>17</v>
      </c>
      <c r="D1079" s="87"/>
      <c r="E1079" s="87"/>
      <c r="F1079" s="87"/>
      <c r="G1079" s="87"/>
      <c r="H1079" s="87"/>
      <c r="I1079" s="87"/>
    </row>
    <row r="1080" spans="1:9">
      <c r="A1080" s="299" t="s">
        <v>1859</v>
      </c>
      <c r="B1080" s="295">
        <f t="shared" si="5"/>
        <v>349</v>
      </c>
      <c r="C1080" s="295">
        <v>16</v>
      </c>
      <c r="D1080" s="87"/>
      <c r="E1080" s="87"/>
      <c r="F1080" s="87"/>
      <c r="G1080" s="87"/>
      <c r="H1080" s="87"/>
      <c r="I1080" s="87"/>
    </row>
    <row r="1081" spans="1:9">
      <c r="A1081" s="297" t="s">
        <v>1860</v>
      </c>
      <c r="B1081" s="298">
        <f t="shared" si="5"/>
        <v>350</v>
      </c>
      <c r="C1081" s="298">
        <v>15</v>
      </c>
      <c r="D1081" s="87"/>
      <c r="E1081" s="87"/>
      <c r="F1081" s="87"/>
      <c r="G1081" s="87"/>
      <c r="H1081" s="87"/>
      <c r="I1081" s="87"/>
    </row>
    <row r="1082" spans="1:9">
      <c r="A1082" s="299" t="s">
        <v>1861</v>
      </c>
      <c r="B1082" s="295">
        <f t="shared" si="5"/>
        <v>351</v>
      </c>
      <c r="C1082" s="295">
        <v>14</v>
      </c>
      <c r="D1082" s="87"/>
      <c r="E1082" s="87"/>
      <c r="F1082" s="87"/>
      <c r="G1082" s="87"/>
      <c r="H1082" s="87"/>
      <c r="I1082" s="87"/>
    </row>
    <row r="1083" spans="1:9">
      <c r="A1083" s="297" t="s">
        <v>1862</v>
      </c>
      <c r="B1083" s="298">
        <f t="shared" si="5"/>
        <v>352</v>
      </c>
      <c r="C1083" s="298">
        <v>13</v>
      </c>
      <c r="D1083" s="87"/>
      <c r="E1083" s="87"/>
      <c r="F1083" s="87"/>
      <c r="G1083" s="87"/>
      <c r="H1083" s="87"/>
      <c r="I1083" s="87"/>
    </row>
    <row r="1084" spans="1:9">
      <c r="A1084" s="299" t="s">
        <v>1863</v>
      </c>
      <c r="B1084" s="295">
        <f t="shared" si="5"/>
        <v>353</v>
      </c>
      <c r="C1084" s="295">
        <v>12</v>
      </c>
      <c r="D1084" s="87"/>
      <c r="E1084" s="87"/>
      <c r="F1084" s="87"/>
      <c r="G1084" s="87"/>
      <c r="H1084" s="87"/>
      <c r="I1084" s="87"/>
    </row>
    <row r="1085" spans="1:9">
      <c r="A1085" s="297" t="s">
        <v>1864</v>
      </c>
      <c r="B1085" s="298">
        <f t="shared" si="5"/>
        <v>354</v>
      </c>
      <c r="C1085" s="298">
        <v>11</v>
      </c>
      <c r="D1085" s="87"/>
      <c r="E1085" s="87"/>
      <c r="F1085" s="87"/>
      <c r="G1085" s="87"/>
      <c r="H1085" s="87"/>
      <c r="I1085" s="87"/>
    </row>
    <row r="1086" spans="1:9">
      <c r="A1086" s="299" t="s">
        <v>1865</v>
      </c>
      <c r="B1086" s="295">
        <f t="shared" si="5"/>
        <v>355</v>
      </c>
      <c r="C1086" s="295">
        <v>10</v>
      </c>
      <c r="D1086" s="87"/>
      <c r="E1086" s="87"/>
      <c r="F1086" s="87"/>
      <c r="G1086" s="87"/>
      <c r="H1086" s="87"/>
      <c r="I1086" s="87"/>
    </row>
    <row r="1087" spans="1:9">
      <c r="A1087" s="297" t="s">
        <v>1866</v>
      </c>
      <c r="B1087" s="298">
        <f t="shared" si="5"/>
        <v>356</v>
      </c>
      <c r="C1087" s="298">
        <v>9</v>
      </c>
      <c r="D1087" s="87"/>
      <c r="E1087" s="87"/>
      <c r="F1087" s="87"/>
      <c r="G1087" s="87"/>
      <c r="H1087" s="87"/>
      <c r="I1087" s="87"/>
    </row>
    <row r="1088" spans="1:9">
      <c r="A1088" s="299" t="s">
        <v>1867</v>
      </c>
      <c r="B1088" s="295">
        <f t="shared" si="5"/>
        <v>357</v>
      </c>
      <c r="C1088" s="295">
        <v>8</v>
      </c>
      <c r="D1088" s="87"/>
      <c r="E1088" s="87"/>
      <c r="F1088" s="87"/>
      <c r="G1088" s="87"/>
      <c r="H1088" s="87"/>
      <c r="I1088" s="87"/>
    </row>
    <row r="1089" spans="1:9">
      <c r="A1089" s="297" t="s">
        <v>1868</v>
      </c>
      <c r="B1089" s="298">
        <f t="shared" si="5"/>
        <v>358</v>
      </c>
      <c r="C1089" s="298">
        <v>7</v>
      </c>
      <c r="D1089" s="87"/>
      <c r="E1089" s="87"/>
      <c r="F1089" s="87"/>
      <c r="G1089" s="87"/>
      <c r="H1089" s="87"/>
      <c r="I1089" s="87"/>
    </row>
    <row r="1090" spans="1:9">
      <c r="A1090" s="299" t="s">
        <v>1869</v>
      </c>
      <c r="B1090" s="295">
        <f t="shared" si="5"/>
        <v>359</v>
      </c>
      <c r="C1090" s="295">
        <v>6</v>
      </c>
      <c r="D1090" s="87"/>
      <c r="E1090" s="87"/>
      <c r="F1090" s="87"/>
      <c r="G1090" s="87"/>
      <c r="H1090" s="87"/>
      <c r="I1090" s="87"/>
    </row>
    <row r="1091" spans="1:9">
      <c r="A1091" s="297" t="s">
        <v>1870</v>
      </c>
      <c r="B1091" s="298">
        <f t="shared" si="5"/>
        <v>360</v>
      </c>
      <c r="C1091" s="298">
        <v>5</v>
      </c>
      <c r="D1091" s="87"/>
      <c r="E1091" s="87"/>
      <c r="F1091" s="87"/>
      <c r="G1091" s="87"/>
      <c r="H1091" s="87"/>
      <c r="I1091" s="87"/>
    </row>
    <row r="1092" spans="1:9">
      <c r="A1092" s="299" t="s">
        <v>1871</v>
      </c>
      <c r="B1092" s="295">
        <f t="shared" si="5"/>
        <v>361</v>
      </c>
      <c r="C1092" s="295">
        <v>4</v>
      </c>
      <c r="D1092" s="87"/>
      <c r="E1092" s="87"/>
      <c r="F1092" s="87"/>
      <c r="G1092" s="87"/>
      <c r="H1092" s="87"/>
      <c r="I1092" s="87"/>
    </row>
    <row r="1093" spans="1:9">
      <c r="A1093" s="297" t="s">
        <v>1872</v>
      </c>
      <c r="B1093" s="298">
        <f t="shared" si="5"/>
        <v>362</v>
      </c>
      <c r="C1093" s="298">
        <v>3</v>
      </c>
      <c r="D1093" s="87"/>
      <c r="E1093" s="87"/>
      <c r="F1093" s="87"/>
      <c r="G1093" s="87"/>
      <c r="H1093" s="87"/>
      <c r="I1093" s="87"/>
    </row>
    <row r="1094" spans="1:9">
      <c r="A1094" s="299" t="s">
        <v>1873</v>
      </c>
      <c r="B1094" s="295">
        <f t="shared" si="5"/>
        <v>363</v>
      </c>
      <c r="C1094" s="295">
        <v>2</v>
      </c>
      <c r="D1094" s="87"/>
      <c r="E1094" s="87"/>
      <c r="F1094" s="87"/>
      <c r="G1094" s="87"/>
      <c r="H1094" s="87"/>
      <c r="I1094" s="87"/>
    </row>
    <row r="1095" spans="1:9">
      <c r="A1095" s="297" t="s">
        <v>1874</v>
      </c>
      <c r="B1095" s="298">
        <f t="shared" si="5"/>
        <v>364</v>
      </c>
      <c r="C1095" s="298">
        <v>1</v>
      </c>
      <c r="D1095" s="87"/>
      <c r="E1095" s="87"/>
      <c r="F1095" s="87"/>
      <c r="G1095" s="87"/>
      <c r="H1095" s="87"/>
      <c r="I1095" s="87"/>
    </row>
    <row r="1096" spans="1:9">
      <c r="A1096" s="354" t="s">
        <v>1875</v>
      </c>
      <c r="B1096" s="355">
        <f t="shared" si="5"/>
        <v>365</v>
      </c>
      <c r="C1096" s="355">
        <v>0</v>
      </c>
      <c r="D1096" s="87"/>
      <c r="E1096" s="87"/>
      <c r="F1096" s="87"/>
      <c r="G1096" s="87"/>
      <c r="H1096" s="87"/>
      <c r="I1096" s="87"/>
    </row>
    <row r="1097" spans="1:9">
      <c r="B1097" s="356"/>
      <c r="C1097" s="356"/>
      <c r="D1097" s="87"/>
      <c r="E1097" s="87"/>
      <c r="F1097" s="87"/>
      <c r="G1097" s="87"/>
      <c r="H1097" s="87"/>
      <c r="I1097" s="87"/>
    </row>
    <row r="1098" spans="1:9">
      <c r="B1098" s="356"/>
      <c r="C1098" s="356"/>
      <c r="D1098" s="87"/>
      <c r="E1098" s="87"/>
      <c r="F1098" s="87"/>
      <c r="G1098" s="87"/>
      <c r="H1098" s="87"/>
      <c r="I1098" s="87"/>
    </row>
    <row r="1099" spans="1:9">
      <c r="B1099" s="356"/>
      <c r="C1099" s="356"/>
      <c r="D1099" s="87"/>
      <c r="E1099" s="87"/>
      <c r="F1099" s="87"/>
      <c r="G1099" s="87"/>
      <c r="H1099" s="87"/>
      <c r="I1099" s="87"/>
    </row>
    <row r="1100" spans="1:9">
      <c r="B1100" s="356"/>
      <c r="C1100" s="356"/>
      <c r="D1100" s="87"/>
      <c r="E1100" s="87"/>
      <c r="F1100" s="87"/>
      <c r="G1100" s="87"/>
      <c r="H1100" s="87"/>
      <c r="I1100" s="87"/>
    </row>
    <row r="1101" spans="1:9">
      <c r="B1101" s="356"/>
      <c r="C1101" s="356"/>
      <c r="D1101" s="87"/>
      <c r="E1101" s="87"/>
      <c r="F1101" s="87"/>
      <c r="G1101" s="87"/>
      <c r="H1101" s="87"/>
      <c r="I1101" s="87"/>
    </row>
    <row r="1102" spans="1:9">
      <c r="B1102" s="356"/>
      <c r="C1102" s="356"/>
      <c r="D1102" s="87"/>
      <c r="E1102" s="87"/>
      <c r="F1102" s="87"/>
      <c r="G1102" s="87"/>
      <c r="H1102" s="87"/>
      <c r="I1102" s="87"/>
    </row>
    <row r="1103" spans="1:9">
      <c r="B1103" s="356"/>
      <c r="C1103" s="356"/>
      <c r="D1103" s="87"/>
      <c r="E1103" s="87"/>
      <c r="F1103" s="87"/>
      <c r="G1103" s="87"/>
      <c r="H1103" s="87"/>
      <c r="I1103" s="87"/>
    </row>
    <row r="1104" spans="1:9">
      <c r="B1104" s="356"/>
      <c r="C1104" s="356"/>
      <c r="D1104" s="87"/>
      <c r="E1104" s="87"/>
      <c r="F1104" s="87"/>
      <c r="G1104" s="87"/>
      <c r="H1104" s="87"/>
      <c r="I1104" s="87"/>
    </row>
    <row r="1105" spans="2:9">
      <c r="B1105" s="356"/>
      <c r="C1105" s="356"/>
      <c r="D1105" s="87"/>
      <c r="E1105" s="87"/>
      <c r="F1105" s="87"/>
      <c r="G1105" s="87"/>
      <c r="H1105" s="87"/>
      <c r="I1105" s="87"/>
    </row>
    <row r="1106" spans="2:9">
      <c r="B1106" s="356"/>
      <c r="C1106" s="356"/>
      <c r="D1106" s="87"/>
      <c r="E1106" s="87"/>
      <c r="F1106" s="87"/>
      <c r="G1106" s="87"/>
      <c r="H1106" s="87"/>
      <c r="I1106" s="87"/>
    </row>
    <row r="1107" spans="2:9">
      <c r="B1107" s="356"/>
      <c r="C1107" s="356"/>
      <c r="D1107" s="87"/>
      <c r="E1107" s="87"/>
      <c r="F1107" s="87"/>
      <c r="G1107" s="87"/>
      <c r="H1107" s="87"/>
      <c r="I1107" s="87"/>
    </row>
    <row r="1108" spans="2:9">
      <c r="B1108" s="356"/>
      <c r="C1108" s="356"/>
      <c r="D1108" s="87"/>
      <c r="E1108" s="87"/>
      <c r="F1108" s="87"/>
      <c r="G1108" s="87"/>
      <c r="H1108" s="87"/>
      <c r="I1108" s="87"/>
    </row>
    <row r="1109" spans="2:9">
      <c r="B1109" s="356"/>
      <c r="C1109" s="356"/>
      <c r="D1109" s="87"/>
      <c r="E1109" s="87"/>
      <c r="F1109" s="87"/>
      <c r="G1109" s="87"/>
      <c r="H1109" s="87"/>
      <c r="I1109" s="87"/>
    </row>
    <row r="1110" spans="2:9">
      <c r="B1110" s="356"/>
      <c r="C1110" s="356"/>
      <c r="D1110" s="87"/>
      <c r="E1110" s="87"/>
      <c r="F1110" s="87"/>
      <c r="G1110" s="87"/>
      <c r="H1110" s="87"/>
      <c r="I1110" s="87"/>
    </row>
    <row r="1111" spans="2:9">
      <c r="B1111" s="356"/>
      <c r="C1111" s="356"/>
      <c r="D1111" s="87"/>
      <c r="E1111" s="87"/>
      <c r="F1111" s="87"/>
      <c r="G1111" s="87"/>
      <c r="H1111" s="87"/>
      <c r="I1111" s="87"/>
    </row>
    <row r="1112" spans="2:9">
      <c r="B1112" s="356"/>
      <c r="C1112" s="356"/>
      <c r="D1112" s="87"/>
      <c r="E1112" s="87"/>
      <c r="F1112" s="87"/>
      <c r="G1112" s="87"/>
      <c r="H1112" s="87"/>
      <c r="I1112" s="87"/>
    </row>
    <row r="1113" spans="2:9">
      <c r="B1113" s="356"/>
      <c r="C1113" s="356"/>
      <c r="D1113" s="87"/>
      <c r="E1113" s="87"/>
      <c r="F1113" s="87"/>
      <c r="G1113" s="87"/>
      <c r="H1113" s="87"/>
      <c r="I1113" s="87"/>
    </row>
    <row r="1114" spans="2:9">
      <c r="B1114" s="356"/>
      <c r="C1114" s="356"/>
      <c r="D1114" s="87"/>
      <c r="E1114" s="87"/>
      <c r="F1114" s="87"/>
      <c r="G1114" s="87"/>
      <c r="H1114" s="87"/>
      <c r="I1114" s="87"/>
    </row>
    <row r="1115" spans="2:9">
      <c r="B1115" s="356"/>
      <c r="C1115" s="356"/>
      <c r="D1115" s="87"/>
      <c r="E1115" s="87"/>
      <c r="F1115" s="87"/>
      <c r="G1115" s="87"/>
      <c r="H1115" s="87"/>
      <c r="I1115" s="87"/>
    </row>
    <row r="1116" spans="2:9">
      <c r="B1116" s="356"/>
      <c r="C1116" s="356"/>
      <c r="D1116" s="87"/>
      <c r="E1116" s="87"/>
      <c r="F1116" s="87"/>
      <c r="G1116" s="87"/>
      <c r="H1116" s="87"/>
      <c r="I1116" s="87"/>
    </row>
    <row r="1117" spans="2:9">
      <c r="B1117" s="356"/>
      <c r="C1117" s="356"/>
      <c r="D1117" s="87"/>
      <c r="E1117" s="87"/>
      <c r="F1117" s="87"/>
      <c r="G1117" s="87"/>
      <c r="H1117" s="87"/>
      <c r="I1117" s="87"/>
    </row>
    <row r="1118" spans="2:9">
      <c r="B1118" s="356"/>
      <c r="C1118" s="356"/>
      <c r="D1118" s="87"/>
      <c r="E1118" s="87"/>
      <c r="F1118" s="87"/>
      <c r="G1118" s="87"/>
      <c r="H1118" s="87"/>
      <c r="I1118" s="87"/>
    </row>
    <row r="1119" spans="2:9">
      <c r="B1119" s="356"/>
      <c r="C1119" s="356"/>
      <c r="D1119" s="87"/>
      <c r="E1119" s="87"/>
      <c r="F1119" s="87"/>
      <c r="G1119" s="87"/>
      <c r="H1119" s="87"/>
      <c r="I1119" s="87"/>
    </row>
    <row r="1120" spans="2:9">
      <c r="B1120" s="356"/>
      <c r="C1120" s="356"/>
      <c r="D1120" s="87"/>
      <c r="E1120" s="87"/>
      <c r="F1120" s="87"/>
      <c r="G1120" s="87"/>
      <c r="H1120" s="87"/>
      <c r="I1120" s="87"/>
    </row>
    <row r="1121" spans="2:9">
      <c r="B1121" s="356"/>
      <c r="C1121" s="356"/>
      <c r="D1121" s="87"/>
      <c r="E1121" s="87"/>
      <c r="F1121" s="87"/>
      <c r="G1121" s="87"/>
      <c r="H1121" s="87"/>
      <c r="I1121" s="87"/>
    </row>
    <row r="1122" spans="2:9">
      <c r="B1122" s="356"/>
      <c r="C1122" s="356"/>
      <c r="D1122" s="87"/>
      <c r="E1122" s="87"/>
      <c r="F1122" s="87"/>
      <c r="G1122" s="87"/>
      <c r="H1122" s="87"/>
      <c r="I1122" s="87"/>
    </row>
    <row r="1123" spans="2:9">
      <c r="B1123" s="356"/>
      <c r="C1123" s="356"/>
      <c r="D1123" s="87"/>
      <c r="E1123" s="87"/>
      <c r="F1123" s="87"/>
      <c r="G1123" s="87"/>
      <c r="H1123" s="87"/>
      <c r="I1123" s="87"/>
    </row>
    <row r="1124" spans="2:9">
      <c r="B1124" s="356"/>
      <c r="C1124" s="356"/>
      <c r="D1124" s="87"/>
      <c r="E1124" s="87"/>
      <c r="F1124" s="87"/>
      <c r="G1124" s="87"/>
      <c r="H1124" s="87"/>
      <c r="I1124" s="87"/>
    </row>
    <row r="1125" spans="2:9">
      <c r="B1125" s="356"/>
      <c r="C1125" s="356"/>
      <c r="D1125" s="87"/>
      <c r="E1125" s="87"/>
      <c r="F1125" s="87"/>
      <c r="G1125" s="87"/>
      <c r="H1125" s="87"/>
      <c r="I1125" s="87"/>
    </row>
    <row r="1126" spans="2:9">
      <c r="B1126" s="356"/>
      <c r="C1126" s="356"/>
      <c r="D1126" s="87"/>
      <c r="E1126" s="87"/>
      <c r="F1126" s="87"/>
      <c r="G1126" s="87"/>
      <c r="H1126" s="87"/>
      <c r="I1126" s="87"/>
    </row>
    <row r="1127" spans="2:9">
      <c r="B1127" s="356"/>
      <c r="C1127" s="356"/>
      <c r="D1127" s="87"/>
      <c r="E1127" s="87"/>
      <c r="F1127" s="87"/>
      <c r="G1127" s="87"/>
      <c r="H1127" s="87"/>
      <c r="I1127" s="87"/>
    </row>
    <row r="1128" spans="2:9">
      <c r="B1128" s="356"/>
      <c r="C1128" s="356"/>
      <c r="D1128" s="87"/>
      <c r="E1128" s="87"/>
      <c r="F1128" s="87"/>
      <c r="G1128" s="87"/>
      <c r="H1128" s="87"/>
      <c r="I1128" s="87"/>
    </row>
    <row r="1129" spans="2:9">
      <c r="B1129" s="356"/>
      <c r="C1129" s="356"/>
      <c r="D1129" s="87"/>
      <c r="E1129" s="87"/>
      <c r="F1129" s="87"/>
      <c r="G1129" s="87"/>
      <c r="H1129" s="87"/>
      <c r="I1129" s="87"/>
    </row>
    <row r="1130" spans="2:9">
      <c r="B1130" s="356"/>
      <c r="C1130" s="356"/>
      <c r="D1130" s="87"/>
      <c r="E1130" s="87"/>
      <c r="F1130" s="87"/>
      <c r="G1130" s="87"/>
      <c r="H1130" s="87"/>
      <c r="I1130" s="87"/>
    </row>
    <row r="1131" spans="2:9">
      <c r="B1131" s="356"/>
      <c r="C1131" s="356"/>
      <c r="D1131" s="87"/>
      <c r="E1131" s="87"/>
      <c r="F1131" s="87"/>
      <c r="G1131" s="87"/>
      <c r="H1131" s="87"/>
      <c r="I1131" s="87"/>
    </row>
    <row r="1132" spans="2:9">
      <c r="B1132" s="356"/>
      <c r="C1132" s="356"/>
      <c r="D1132" s="87"/>
      <c r="E1132" s="87"/>
      <c r="F1132" s="87"/>
      <c r="G1132" s="87"/>
      <c r="H1132" s="87"/>
      <c r="I1132" s="87"/>
    </row>
    <row r="1133" spans="2:9">
      <c r="B1133" s="356"/>
      <c r="C1133" s="356"/>
      <c r="D1133" s="87"/>
      <c r="E1133" s="87"/>
      <c r="F1133" s="87"/>
      <c r="G1133" s="87"/>
      <c r="H1133" s="87"/>
      <c r="I1133" s="87"/>
    </row>
    <row r="1134" spans="2:9">
      <c r="B1134" s="356"/>
      <c r="C1134" s="356"/>
      <c r="D1134" s="87"/>
      <c r="E1134" s="87"/>
      <c r="F1134" s="87"/>
      <c r="G1134" s="87"/>
      <c r="H1134" s="87"/>
      <c r="I1134" s="87"/>
    </row>
    <row r="1135" spans="2:9">
      <c r="B1135" s="356"/>
      <c r="C1135" s="356"/>
      <c r="D1135" s="87"/>
      <c r="E1135" s="87"/>
      <c r="F1135" s="87"/>
      <c r="G1135" s="87"/>
      <c r="H1135" s="87"/>
      <c r="I1135" s="87"/>
    </row>
    <row r="1136" spans="2:9">
      <c r="B1136" s="356"/>
      <c r="C1136" s="356"/>
      <c r="D1136" s="87"/>
      <c r="E1136" s="87"/>
      <c r="F1136" s="87"/>
      <c r="G1136" s="87"/>
      <c r="H1136" s="87"/>
      <c r="I1136" s="87"/>
    </row>
    <row r="1137" spans="2:9">
      <c r="B1137" s="356"/>
      <c r="C1137" s="356"/>
      <c r="D1137" s="87"/>
      <c r="E1137" s="87"/>
      <c r="F1137" s="87"/>
      <c r="G1137" s="87"/>
      <c r="H1137" s="87"/>
      <c r="I1137" s="87"/>
    </row>
    <row r="1138" spans="2:9">
      <c r="B1138" s="356"/>
      <c r="C1138" s="356"/>
      <c r="D1138" s="87"/>
      <c r="E1138" s="87"/>
      <c r="F1138" s="87"/>
      <c r="G1138" s="87"/>
      <c r="H1138" s="87"/>
      <c r="I1138" s="87"/>
    </row>
    <row r="1139" spans="2:9">
      <c r="B1139" s="356"/>
      <c r="C1139" s="356"/>
      <c r="D1139" s="87"/>
      <c r="E1139" s="87"/>
      <c r="F1139" s="87"/>
      <c r="G1139" s="87"/>
      <c r="H1139" s="87"/>
      <c r="I1139" s="87"/>
    </row>
    <row r="1140" spans="2:9">
      <c r="B1140" s="356"/>
      <c r="C1140" s="356"/>
      <c r="D1140" s="87"/>
      <c r="E1140" s="87"/>
      <c r="F1140" s="87"/>
      <c r="G1140" s="87"/>
      <c r="H1140" s="87"/>
      <c r="I1140" s="87"/>
    </row>
    <row r="1141" spans="2:9">
      <c r="B1141" s="356"/>
      <c r="C1141" s="356"/>
      <c r="D1141" s="87"/>
      <c r="E1141" s="87"/>
      <c r="F1141" s="87"/>
      <c r="G1141" s="87"/>
      <c r="H1141" s="87"/>
      <c r="I1141" s="87"/>
    </row>
    <row r="1142" spans="2:9">
      <c r="B1142" s="356"/>
      <c r="C1142" s="356"/>
      <c r="D1142" s="87"/>
      <c r="E1142" s="87"/>
      <c r="F1142" s="87"/>
      <c r="G1142" s="87"/>
      <c r="H1142" s="87"/>
      <c r="I1142" s="87"/>
    </row>
    <row r="1143" spans="2:9">
      <c r="B1143" s="356"/>
      <c r="C1143" s="356"/>
      <c r="D1143" s="87"/>
      <c r="E1143" s="87"/>
      <c r="F1143" s="87"/>
      <c r="G1143" s="87"/>
      <c r="H1143" s="87"/>
      <c r="I1143" s="87"/>
    </row>
    <row r="1144" spans="2:9">
      <c r="B1144" s="356"/>
      <c r="C1144" s="356"/>
      <c r="D1144" s="87"/>
      <c r="E1144" s="87"/>
      <c r="F1144" s="87"/>
      <c r="G1144" s="87"/>
      <c r="H1144" s="87"/>
      <c r="I1144" s="87"/>
    </row>
    <row r="1145" spans="2:9">
      <c r="B1145" s="356"/>
      <c r="C1145" s="356"/>
      <c r="D1145" s="87"/>
      <c r="E1145" s="87"/>
      <c r="F1145" s="87"/>
      <c r="G1145" s="87"/>
      <c r="H1145" s="87"/>
      <c r="I1145" s="87"/>
    </row>
    <row r="1146" spans="2:9">
      <c r="B1146" s="356"/>
      <c r="C1146" s="356"/>
      <c r="D1146" s="87"/>
      <c r="E1146" s="87"/>
      <c r="F1146" s="87"/>
      <c r="G1146" s="87"/>
      <c r="H1146" s="87"/>
      <c r="I1146" s="87"/>
    </row>
    <row r="1147" spans="2:9">
      <c r="B1147" s="356"/>
      <c r="C1147" s="356"/>
      <c r="D1147" s="87"/>
      <c r="E1147" s="87"/>
      <c r="F1147" s="87"/>
      <c r="G1147" s="87"/>
      <c r="H1147" s="87"/>
      <c r="I1147" s="87"/>
    </row>
    <row r="1148" spans="2:9">
      <c r="B1148" s="356"/>
      <c r="C1148" s="356"/>
      <c r="D1148" s="87"/>
      <c r="E1148" s="87"/>
      <c r="F1148" s="87"/>
      <c r="G1148" s="87"/>
      <c r="H1148" s="87"/>
      <c r="I1148" s="87"/>
    </row>
    <row r="1149" spans="2:9">
      <c r="B1149" s="356"/>
      <c r="C1149" s="356"/>
      <c r="D1149" s="87"/>
      <c r="E1149" s="87"/>
      <c r="F1149" s="87"/>
      <c r="G1149" s="87"/>
      <c r="H1149" s="87"/>
      <c r="I1149" s="87"/>
    </row>
    <row r="1150" spans="2:9">
      <c r="B1150" s="356"/>
      <c r="C1150" s="356"/>
      <c r="D1150" s="87"/>
      <c r="E1150" s="87"/>
      <c r="F1150" s="87"/>
      <c r="G1150" s="87"/>
      <c r="H1150" s="87"/>
      <c r="I1150" s="87"/>
    </row>
    <row r="1151" spans="2:9">
      <c r="B1151" s="356"/>
      <c r="C1151" s="356"/>
      <c r="D1151" s="87"/>
      <c r="E1151" s="87"/>
      <c r="F1151" s="87"/>
      <c r="G1151" s="87"/>
      <c r="H1151" s="87"/>
      <c r="I1151" s="87"/>
    </row>
    <row r="1152" spans="2:9">
      <c r="B1152" s="356"/>
      <c r="C1152" s="356"/>
      <c r="D1152" s="87"/>
      <c r="E1152" s="87"/>
      <c r="F1152" s="87"/>
      <c r="G1152" s="87"/>
      <c r="H1152" s="87"/>
      <c r="I1152" s="87"/>
    </row>
    <row r="1153" spans="2:9">
      <c r="B1153" s="356"/>
      <c r="C1153" s="356"/>
      <c r="D1153" s="87"/>
      <c r="E1153" s="87"/>
      <c r="F1153" s="87"/>
      <c r="G1153" s="87"/>
      <c r="H1153" s="87"/>
      <c r="I1153" s="87"/>
    </row>
    <row r="1154" spans="2:9">
      <c r="B1154" s="356"/>
      <c r="C1154" s="356"/>
      <c r="D1154" s="87"/>
      <c r="E1154" s="87"/>
      <c r="F1154" s="87"/>
      <c r="G1154" s="87"/>
      <c r="H1154" s="87"/>
      <c r="I1154" s="87"/>
    </row>
    <row r="1155" spans="2:9">
      <c r="B1155" s="356"/>
      <c r="C1155" s="356"/>
      <c r="D1155" s="87"/>
      <c r="E1155" s="87"/>
      <c r="F1155" s="87"/>
      <c r="G1155" s="87"/>
      <c r="H1155" s="87"/>
      <c r="I1155" s="87"/>
    </row>
    <row r="1156" spans="2:9">
      <c r="B1156" s="356"/>
      <c r="C1156" s="356"/>
      <c r="D1156" s="87"/>
      <c r="E1156" s="87"/>
      <c r="F1156" s="87"/>
      <c r="G1156" s="87"/>
      <c r="H1156" s="87"/>
      <c r="I1156" s="87"/>
    </row>
    <row r="1157" spans="2:9">
      <c r="B1157" s="356"/>
      <c r="C1157" s="356"/>
      <c r="D1157" s="87"/>
      <c r="E1157" s="87"/>
      <c r="F1157" s="87"/>
      <c r="G1157" s="87"/>
      <c r="H1157" s="87"/>
      <c r="I1157" s="87"/>
    </row>
    <row r="1158" spans="2:9">
      <c r="B1158" s="356"/>
      <c r="C1158" s="356"/>
      <c r="D1158" s="87"/>
      <c r="E1158" s="87"/>
      <c r="F1158" s="87"/>
      <c r="G1158" s="87"/>
      <c r="H1158" s="87"/>
      <c r="I1158" s="87"/>
    </row>
    <row r="1159" spans="2:9">
      <c r="B1159" s="356"/>
      <c r="C1159" s="356"/>
      <c r="D1159" s="87"/>
      <c r="E1159" s="87"/>
      <c r="F1159" s="87"/>
      <c r="G1159" s="87"/>
      <c r="H1159" s="87"/>
      <c r="I1159" s="87"/>
    </row>
    <row r="1160" spans="2:9">
      <c r="B1160" s="356"/>
      <c r="C1160" s="356"/>
      <c r="D1160" s="87"/>
      <c r="E1160" s="87"/>
      <c r="F1160" s="87"/>
      <c r="G1160" s="87"/>
      <c r="H1160" s="87"/>
      <c r="I1160" s="87"/>
    </row>
    <row r="1161" spans="2:9">
      <c r="B1161" s="356"/>
      <c r="C1161" s="356"/>
      <c r="D1161" s="87"/>
      <c r="E1161" s="87"/>
      <c r="F1161" s="87"/>
      <c r="G1161" s="87"/>
      <c r="H1161" s="87"/>
      <c r="I1161" s="87"/>
    </row>
    <row r="1162" spans="2:9">
      <c r="B1162" s="356"/>
      <c r="C1162" s="356"/>
      <c r="D1162" s="87"/>
      <c r="E1162" s="87"/>
      <c r="F1162" s="87"/>
      <c r="G1162" s="87"/>
      <c r="H1162" s="87"/>
      <c r="I1162" s="87"/>
    </row>
    <row r="1163" spans="2:9">
      <c r="B1163" s="356"/>
      <c r="C1163" s="356"/>
      <c r="D1163" s="87"/>
      <c r="E1163" s="87"/>
      <c r="F1163" s="87"/>
      <c r="G1163" s="87"/>
      <c r="H1163" s="87"/>
      <c r="I1163" s="87"/>
    </row>
    <row r="1164" spans="2:9">
      <c r="B1164" s="356"/>
      <c r="C1164" s="356"/>
      <c r="D1164" s="87"/>
      <c r="E1164" s="87"/>
      <c r="F1164" s="87"/>
      <c r="G1164" s="87"/>
      <c r="H1164" s="87"/>
      <c r="I1164" s="87"/>
    </row>
    <row r="1165" spans="2:9">
      <c r="B1165" s="356"/>
      <c r="C1165" s="356"/>
      <c r="D1165" s="87"/>
      <c r="E1165" s="87"/>
      <c r="F1165" s="87"/>
      <c r="G1165" s="87"/>
      <c r="H1165" s="87"/>
      <c r="I1165" s="87"/>
    </row>
    <row r="1166" spans="2:9">
      <c r="B1166" s="356"/>
      <c r="C1166" s="356"/>
      <c r="D1166" s="87"/>
      <c r="E1166" s="87"/>
      <c r="F1166" s="87"/>
      <c r="G1166" s="87"/>
      <c r="H1166" s="87"/>
      <c r="I1166" s="87"/>
    </row>
    <row r="1167" spans="2:9">
      <c r="B1167" s="356"/>
      <c r="C1167" s="356"/>
      <c r="D1167" s="87"/>
      <c r="E1167" s="87"/>
      <c r="F1167" s="87"/>
      <c r="G1167" s="87"/>
      <c r="H1167" s="87"/>
      <c r="I1167" s="87"/>
    </row>
    <row r="1168" spans="2:9">
      <c r="B1168" s="356"/>
      <c r="C1168" s="356"/>
      <c r="D1168" s="87"/>
      <c r="E1168" s="87"/>
      <c r="F1168" s="87"/>
      <c r="G1168" s="87"/>
      <c r="H1168" s="87"/>
      <c r="I1168" s="87"/>
    </row>
    <row r="1169" spans="2:9">
      <c r="B1169" s="356"/>
      <c r="C1169" s="356"/>
      <c r="D1169" s="87"/>
      <c r="E1169" s="87"/>
      <c r="F1169" s="87"/>
      <c r="G1169" s="87"/>
      <c r="H1169" s="87"/>
      <c r="I1169" s="87"/>
    </row>
    <row r="1170" spans="2:9">
      <c r="B1170" s="356"/>
      <c r="C1170" s="356"/>
      <c r="D1170" s="87"/>
      <c r="E1170" s="87"/>
      <c r="F1170" s="87"/>
      <c r="G1170" s="87"/>
      <c r="H1170" s="87"/>
      <c r="I1170" s="87"/>
    </row>
    <row r="1171" spans="2:9">
      <c r="B1171" s="356"/>
      <c r="C1171" s="356"/>
      <c r="D1171" s="87"/>
      <c r="E1171" s="87"/>
      <c r="F1171" s="87"/>
      <c r="G1171" s="87"/>
      <c r="H1171" s="87"/>
      <c r="I1171" s="87"/>
    </row>
    <row r="1172" spans="2:9">
      <c r="B1172" s="356"/>
      <c r="C1172" s="356"/>
      <c r="D1172" s="87"/>
      <c r="E1172" s="87"/>
      <c r="F1172" s="87"/>
      <c r="G1172" s="87"/>
      <c r="H1172" s="87"/>
      <c r="I1172" s="87"/>
    </row>
    <row r="1173" spans="2:9">
      <c r="B1173" s="356"/>
      <c r="C1173" s="356"/>
      <c r="D1173" s="87"/>
      <c r="E1173" s="87"/>
      <c r="F1173" s="87"/>
      <c r="G1173" s="87"/>
      <c r="H1173" s="87"/>
      <c r="I1173" s="87"/>
    </row>
    <row r="1174" spans="2:9">
      <c r="B1174" s="356"/>
      <c r="C1174" s="356"/>
      <c r="D1174" s="87"/>
      <c r="E1174" s="87"/>
      <c r="F1174" s="87"/>
      <c r="G1174" s="87"/>
      <c r="H1174" s="87"/>
      <c r="I1174" s="87"/>
    </row>
    <row r="1175" spans="2:9">
      <c r="B1175" s="356"/>
      <c r="C1175" s="356"/>
      <c r="D1175" s="87"/>
      <c r="E1175" s="87"/>
      <c r="F1175" s="87"/>
      <c r="G1175" s="87"/>
      <c r="H1175" s="87"/>
      <c r="I1175" s="87"/>
    </row>
    <row r="1176" spans="2:9">
      <c r="B1176" s="356"/>
      <c r="C1176" s="356"/>
      <c r="D1176" s="87"/>
      <c r="E1176" s="87"/>
      <c r="F1176" s="87"/>
      <c r="G1176" s="87"/>
      <c r="H1176" s="87"/>
      <c r="I1176" s="87"/>
    </row>
    <row r="1177" spans="2:9">
      <c r="B1177" s="356"/>
      <c r="C1177" s="356"/>
      <c r="D1177" s="87"/>
      <c r="E1177" s="87"/>
      <c r="F1177" s="87"/>
      <c r="G1177" s="87"/>
      <c r="H1177" s="87"/>
      <c r="I1177" s="87"/>
    </row>
    <row r="1178" spans="2:9">
      <c r="B1178" s="356"/>
      <c r="C1178" s="356"/>
      <c r="D1178" s="87"/>
      <c r="E1178" s="87"/>
      <c r="F1178" s="87"/>
      <c r="G1178" s="87"/>
      <c r="H1178" s="87"/>
      <c r="I1178" s="87"/>
    </row>
    <row r="1179" spans="2:9">
      <c r="B1179" s="356"/>
      <c r="C1179" s="356"/>
      <c r="D1179" s="87"/>
      <c r="E1179" s="87"/>
      <c r="F1179" s="87"/>
      <c r="G1179" s="87"/>
      <c r="H1179" s="87"/>
      <c r="I1179" s="87"/>
    </row>
    <row r="1180" spans="2:9">
      <c r="B1180" s="356"/>
      <c r="C1180" s="356"/>
      <c r="D1180" s="87"/>
      <c r="E1180" s="87"/>
      <c r="F1180" s="87"/>
      <c r="G1180" s="87"/>
      <c r="H1180" s="87"/>
      <c r="I1180" s="87"/>
    </row>
    <row r="1181" spans="2:9">
      <c r="B1181" s="356"/>
      <c r="C1181" s="356"/>
      <c r="D1181" s="87"/>
      <c r="E1181" s="87"/>
      <c r="F1181" s="87"/>
      <c r="G1181" s="87"/>
      <c r="H1181" s="87"/>
      <c r="I1181" s="87"/>
    </row>
    <row r="1182" spans="2:9">
      <c r="B1182" s="356"/>
      <c r="C1182" s="356"/>
      <c r="D1182" s="87"/>
      <c r="E1182" s="87"/>
      <c r="F1182" s="87"/>
      <c r="G1182" s="87"/>
      <c r="H1182" s="87"/>
      <c r="I1182" s="87"/>
    </row>
    <row r="1183" spans="2:9">
      <c r="B1183" s="356"/>
      <c r="C1183" s="356"/>
      <c r="D1183" s="87"/>
      <c r="E1183" s="87"/>
      <c r="F1183" s="87"/>
      <c r="G1183" s="87"/>
      <c r="H1183" s="87"/>
      <c r="I1183" s="87"/>
    </row>
    <row r="1184" spans="2:9">
      <c r="B1184" s="356"/>
      <c r="C1184" s="356"/>
      <c r="D1184" s="87"/>
      <c r="E1184" s="87"/>
      <c r="F1184" s="87"/>
      <c r="G1184" s="87"/>
      <c r="H1184" s="87"/>
      <c r="I1184" s="87"/>
    </row>
    <row r="1185" spans="2:9">
      <c r="B1185" s="356"/>
      <c r="C1185" s="356"/>
      <c r="D1185" s="87"/>
      <c r="E1185" s="87"/>
      <c r="F1185" s="87"/>
      <c r="G1185" s="87"/>
      <c r="H1185" s="87"/>
      <c r="I1185" s="87"/>
    </row>
    <row r="1186" spans="2:9">
      <c r="B1186" s="356"/>
      <c r="C1186" s="356"/>
      <c r="D1186" s="87"/>
      <c r="E1186" s="87"/>
      <c r="F1186" s="87"/>
      <c r="G1186" s="87"/>
      <c r="H1186" s="87"/>
      <c r="I1186" s="87"/>
    </row>
    <row r="1187" spans="2:9">
      <c r="B1187" s="356"/>
      <c r="C1187" s="356"/>
      <c r="D1187" s="87"/>
      <c r="E1187" s="87"/>
      <c r="F1187" s="87"/>
      <c r="G1187" s="87"/>
      <c r="H1187" s="87"/>
      <c r="I1187" s="87"/>
    </row>
    <row r="1188" spans="2:9">
      <c r="B1188" s="356"/>
      <c r="C1188" s="356"/>
      <c r="D1188" s="87"/>
      <c r="E1188" s="87"/>
      <c r="F1188" s="87"/>
      <c r="G1188" s="87"/>
      <c r="H1188" s="87"/>
      <c r="I1188" s="87"/>
    </row>
    <row r="1189" spans="2:9">
      <c r="B1189" s="356"/>
      <c r="C1189" s="356"/>
      <c r="D1189" s="87"/>
      <c r="E1189" s="87"/>
      <c r="F1189" s="87"/>
      <c r="G1189" s="87"/>
      <c r="H1189" s="87"/>
      <c r="I1189" s="87"/>
    </row>
    <row r="1190" spans="2:9">
      <c r="B1190" s="356"/>
      <c r="C1190" s="356"/>
      <c r="D1190" s="87"/>
      <c r="E1190" s="87"/>
      <c r="F1190" s="87"/>
      <c r="G1190" s="87"/>
      <c r="H1190" s="87"/>
      <c r="I1190" s="87"/>
    </row>
    <row r="1191" spans="2:9">
      <c r="B1191" s="356"/>
      <c r="C1191" s="356"/>
      <c r="D1191" s="87"/>
      <c r="E1191" s="87"/>
      <c r="F1191" s="87"/>
      <c r="G1191" s="87"/>
      <c r="H1191" s="87"/>
      <c r="I1191" s="87"/>
    </row>
    <row r="1192" spans="2:9">
      <c r="B1192" s="356"/>
      <c r="C1192" s="356"/>
      <c r="D1192" s="87"/>
      <c r="E1192" s="87"/>
      <c r="F1192" s="87"/>
      <c r="G1192" s="87"/>
      <c r="H1192" s="87"/>
      <c r="I1192" s="87"/>
    </row>
    <row r="1193" spans="2:9">
      <c r="B1193" s="356"/>
      <c r="C1193" s="356"/>
      <c r="D1193" s="87"/>
      <c r="E1193" s="87"/>
      <c r="F1193" s="87"/>
      <c r="G1193" s="87"/>
      <c r="H1193" s="87"/>
      <c r="I1193" s="87"/>
    </row>
    <row r="1194" spans="2:9">
      <c r="B1194" s="356"/>
      <c r="C1194" s="356"/>
      <c r="D1194" s="87"/>
      <c r="E1194" s="87"/>
      <c r="F1194" s="87"/>
      <c r="G1194" s="87"/>
      <c r="H1194" s="87"/>
      <c r="I1194" s="87"/>
    </row>
    <row r="1195" spans="2:9">
      <c r="B1195" s="356"/>
      <c r="C1195" s="356"/>
      <c r="D1195" s="87"/>
      <c r="E1195" s="87"/>
      <c r="F1195" s="87"/>
      <c r="G1195" s="87"/>
      <c r="H1195" s="87"/>
      <c r="I1195" s="87"/>
    </row>
    <row r="1196" spans="2:9">
      <c r="B1196" s="356"/>
      <c r="C1196" s="356"/>
      <c r="D1196" s="87"/>
      <c r="E1196" s="87"/>
      <c r="F1196" s="87"/>
      <c r="G1196" s="87"/>
      <c r="H1196" s="87"/>
      <c r="I1196" s="87"/>
    </row>
    <row r="1197" spans="2:9">
      <c r="B1197" s="356"/>
      <c r="C1197" s="356"/>
      <c r="D1197" s="87"/>
      <c r="E1197" s="87"/>
      <c r="F1197" s="87"/>
      <c r="G1197" s="87"/>
      <c r="H1197" s="87"/>
      <c r="I1197" s="87"/>
    </row>
    <row r="1198" spans="2:9">
      <c r="B1198" s="356"/>
      <c r="C1198" s="356"/>
      <c r="D1198" s="87"/>
      <c r="E1198" s="87"/>
      <c r="F1198" s="87"/>
      <c r="G1198" s="87"/>
      <c r="H1198" s="87"/>
      <c r="I1198" s="87"/>
    </row>
    <row r="1199" spans="2:9">
      <c r="B1199" s="356"/>
      <c r="C1199" s="356"/>
      <c r="D1199" s="87"/>
      <c r="E1199" s="87"/>
      <c r="F1199" s="87"/>
      <c r="G1199" s="87"/>
      <c r="H1199" s="87"/>
      <c r="I1199" s="87"/>
    </row>
    <row r="1200" spans="2:9">
      <c r="B1200" s="356"/>
      <c r="C1200" s="356"/>
      <c r="D1200" s="87"/>
      <c r="E1200" s="87"/>
      <c r="F1200" s="87"/>
      <c r="G1200" s="87"/>
      <c r="H1200" s="87"/>
      <c r="I1200" s="87"/>
    </row>
    <row r="1201" spans="2:9">
      <c r="B1201" s="356"/>
      <c r="C1201" s="356"/>
      <c r="D1201" s="87"/>
      <c r="E1201" s="87"/>
      <c r="F1201" s="87"/>
      <c r="G1201" s="87"/>
      <c r="H1201" s="87"/>
      <c r="I1201" s="87"/>
    </row>
    <row r="1202" spans="2:9">
      <c r="B1202" s="356"/>
      <c r="C1202" s="356"/>
      <c r="D1202" s="87"/>
      <c r="E1202" s="87"/>
      <c r="F1202" s="87"/>
      <c r="G1202" s="87"/>
      <c r="H1202" s="87"/>
      <c r="I1202" s="87"/>
    </row>
    <row r="1203" spans="2:9">
      <c r="B1203" s="356"/>
      <c r="C1203" s="356"/>
      <c r="D1203" s="87"/>
      <c r="E1203" s="87"/>
      <c r="F1203" s="87"/>
      <c r="G1203" s="87"/>
      <c r="H1203" s="87"/>
      <c r="I1203" s="87"/>
    </row>
    <row r="1204" spans="2:9">
      <c r="B1204" s="356"/>
      <c r="C1204" s="356"/>
      <c r="D1204" s="87"/>
      <c r="E1204" s="87"/>
      <c r="F1204" s="87"/>
      <c r="G1204" s="87"/>
      <c r="H1204" s="87"/>
      <c r="I1204" s="87"/>
    </row>
    <row r="1205" spans="2:9">
      <c r="B1205" s="356"/>
      <c r="C1205" s="356"/>
      <c r="D1205" s="87"/>
      <c r="E1205" s="87"/>
      <c r="F1205" s="87"/>
      <c r="G1205" s="87"/>
      <c r="H1205" s="87"/>
      <c r="I1205" s="87"/>
    </row>
    <row r="1206" spans="2:9">
      <c r="B1206" s="356"/>
      <c r="C1206" s="356"/>
      <c r="D1206" s="87"/>
      <c r="E1206" s="87"/>
      <c r="F1206" s="87"/>
      <c r="G1206" s="87"/>
      <c r="H1206" s="87"/>
      <c r="I1206" s="87"/>
    </row>
    <row r="1207" spans="2:9">
      <c r="B1207" s="356"/>
      <c r="C1207" s="356"/>
      <c r="D1207" s="87"/>
      <c r="E1207" s="87"/>
      <c r="F1207" s="87"/>
      <c r="G1207" s="87"/>
      <c r="H1207" s="87"/>
      <c r="I1207" s="87"/>
    </row>
    <row r="1208" spans="2:9">
      <c r="B1208" s="356"/>
      <c r="C1208" s="356"/>
      <c r="D1208" s="87"/>
      <c r="E1208" s="87"/>
      <c r="F1208" s="87"/>
      <c r="G1208" s="87"/>
      <c r="H1208" s="87"/>
      <c r="I1208" s="87"/>
    </row>
    <row r="1209" spans="2:9">
      <c r="B1209" s="356"/>
      <c r="C1209" s="356"/>
      <c r="D1209" s="87"/>
      <c r="E1209" s="87"/>
      <c r="F1209" s="87"/>
      <c r="G1209" s="87"/>
      <c r="H1209" s="87"/>
      <c r="I1209" s="87"/>
    </row>
    <row r="1210" spans="2:9">
      <c r="B1210" s="356"/>
      <c r="C1210" s="356"/>
      <c r="D1210" s="87"/>
      <c r="E1210" s="87"/>
      <c r="F1210" s="87"/>
      <c r="G1210" s="87"/>
      <c r="H1210" s="87"/>
      <c r="I1210" s="87"/>
    </row>
    <row r="1211" spans="2:9">
      <c r="B1211" s="356"/>
      <c r="C1211" s="356"/>
      <c r="D1211" s="87"/>
      <c r="E1211" s="87"/>
      <c r="F1211" s="87"/>
      <c r="G1211" s="87"/>
      <c r="H1211" s="87"/>
      <c r="I1211" s="87"/>
    </row>
    <row r="1212" spans="2:9">
      <c r="B1212" s="356"/>
      <c r="C1212" s="356"/>
      <c r="D1212" s="87"/>
      <c r="E1212" s="87"/>
      <c r="F1212" s="87"/>
      <c r="G1212" s="87"/>
      <c r="H1212" s="87"/>
      <c r="I1212" s="87"/>
    </row>
    <row r="1213" spans="2:9">
      <c r="B1213" s="356"/>
      <c r="C1213" s="356"/>
      <c r="D1213" s="87"/>
      <c r="E1213" s="87"/>
      <c r="F1213" s="87"/>
      <c r="G1213" s="87"/>
      <c r="H1213" s="87"/>
      <c r="I1213" s="87"/>
    </row>
    <row r="1214" spans="2:9">
      <c r="B1214" s="356"/>
      <c r="C1214" s="356"/>
      <c r="D1214" s="87"/>
      <c r="E1214" s="87"/>
      <c r="F1214" s="87"/>
      <c r="G1214" s="87"/>
      <c r="H1214" s="87"/>
      <c r="I1214" s="87"/>
    </row>
    <row r="1215" spans="2:9">
      <c r="B1215" s="356"/>
      <c r="C1215" s="356"/>
      <c r="D1215" s="87"/>
      <c r="E1215" s="87"/>
      <c r="F1215" s="87"/>
      <c r="G1215" s="87"/>
      <c r="H1215" s="87"/>
      <c r="I1215" s="87"/>
    </row>
    <row r="1216" spans="2:9">
      <c r="B1216" s="356"/>
      <c r="C1216" s="356"/>
      <c r="D1216" s="87"/>
      <c r="E1216" s="87"/>
      <c r="F1216" s="87"/>
      <c r="G1216" s="87"/>
      <c r="H1216" s="87"/>
      <c r="I1216" s="87"/>
    </row>
    <row r="1217" spans="2:9">
      <c r="B1217" s="356"/>
      <c r="C1217" s="356"/>
      <c r="D1217" s="87"/>
      <c r="E1217" s="87"/>
      <c r="F1217" s="87"/>
      <c r="G1217" s="87"/>
      <c r="H1217" s="87"/>
      <c r="I1217" s="87"/>
    </row>
    <row r="1218" spans="2:9">
      <c r="B1218" s="356"/>
      <c r="C1218" s="356"/>
      <c r="D1218" s="87"/>
      <c r="E1218" s="87"/>
      <c r="F1218" s="87"/>
      <c r="G1218" s="87"/>
      <c r="H1218" s="87"/>
      <c r="I1218" s="87"/>
    </row>
    <row r="1219" spans="2:9">
      <c r="B1219" s="356"/>
      <c r="C1219" s="356"/>
      <c r="D1219" s="87"/>
      <c r="E1219" s="87"/>
      <c r="F1219" s="87"/>
      <c r="G1219" s="87"/>
      <c r="H1219" s="87"/>
      <c r="I1219" s="87"/>
    </row>
    <row r="1220" spans="2:9">
      <c r="B1220" s="356"/>
      <c r="C1220" s="356"/>
      <c r="D1220" s="87"/>
      <c r="E1220" s="87"/>
      <c r="F1220" s="87"/>
      <c r="G1220" s="87"/>
      <c r="H1220" s="87"/>
      <c r="I1220" s="87"/>
    </row>
    <row r="1221" spans="2:9">
      <c r="B1221" s="356"/>
      <c r="C1221" s="356"/>
      <c r="D1221" s="87"/>
      <c r="E1221" s="87"/>
      <c r="F1221" s="87"/>
      <c r="G1221" s="87"/>
      <c r="H1221" s="87"/>
      <c r="I1221" s="87"/>
    </row>
    <row r="1222" spans="2:9">
      <c r="B1222" s="356"/>
      <c r="C1222" s="356"/>
      <c r="D1222" s="87"/>
      <c r="E1222" s="87"/>
      <c r="F1222" s="87"/>
      <c r="G1222" s="87"/>
      <c r="H1222" s="87"/>
      <c r="I1222" s="87"/>
    </row>
    <row r="1223" spans="2:9">
      <c r="B1223" s="356"/>
      <c r="C1223" s="356"/>
      <c r="D1223" s="87"/>
      <c r="E1223" s="87"/>
      <c r="F1223" s="87"/>
      <c r="G1223" s="87"/>
      <c r="H1223" s="87"/>
      <c r="I1223" s="87"/>
    </row>
    <row r="1224" spans="2:9">
      <c r="B1224" s="356"/>
      <c r="C1224" s="356"/>
      <c r="D1224" s="87"/>
      <c r="E1224" s="87"/>
      <c r="F1224" s="87"/>
      <c r="G1224" s="87"/>
      <c r="H1224" s="87"/>
      <c r="I1224" s="87"/>
    </row>
    <row r="1225" spans="2:9">
      <c r="B1225" s="356"/>
      <c r="C1225" s="356"/>
      <c r="D1225" s="87"/>
      <c r="E1225" s="87"/>
      <c r="F1225" s="87"/>
      <c r="G1225" s="87"/>
      <c r="H1225" s="87"/>
      <c r="I1225" s="87"/>
    </row>
    <row r="1226" spans="2:9">
      <c r="B1226" s="356"/>
      <c r="C1226" s="356"/>
      <c r="D1226" s="87"/>
      <c r="E1226" s="87"/>
      <c r="F1226" s="87"/>
      <c r="G1226" s="87"/>
      <c r="H1226" s="87"/>
      <c r="I1226" s="87"/>
    </row>
    <row r="1227" spans="2:9">
      <c r="B1227" s="356"/>
      <c r="C1227" s="356"/>
      <c r="D1227" s="87"/>
      <c r="E1227" s="87"/>
      <c r="F1227" s="87"/>
      <c r="G1227" s="87"/>
      <c r="H1227" s="87"/>
      <c r="I1227" s="87"/>
    </row>
    <row r="1228" spans="2:9">
      <c r="B1228" s="356"/>
      <c r="C1228" s="356"/>
      <c r="D1228" s="87"/>
      <c r="E1228" s="87"/>
      <c r="F1228" s="87"/>
      <c r="G1228" s="87"/>
      <c r="H1228" s="87"/>
      <c r="I1228" s="87"/>
    </row>
    <row r="1229" spans="2:9">
      <c r="B1229" s="356"/>
      <c r="C1229" s="356"/>
      <c r="D1229" s="87"/>
      <c r="E1229" s="87"/>
      <c r="F1229" s="87"/>
      <c r="G1229" s="87"/>
      <c r="H1229" s="87"/>
      <c r="I1229" s="87"/>
    </row>
    <row r="1230" spans="2:9">
      <c r="B1230" s="356"/>
      <c r="C1230" s="356"/>
      <c r="D1230" s="87"/>
      <c r="E1230" s="87"/>
      <c r="F1230" s="87"/>
      <c r="G1230" s="87"/>
      <c r="H1230" s="87"/>
      <c r="I1230" s="87"/>
    </row>
    <row r="1231" spans="2:9">
      <c r="B1231" s="356"/>
      <c r="C1231" s="356"/>
      <c r="D1231" s="87"/>
      <c r="E1231" s="87"/>
      <c r="F1231" s="87"/>
      <c r="G1231" s="87"/>
      <c r="H1231" s="87"/>
      <c r="I1231" s="87"/>
    </row>
    <row r="1232" spans="2:9">
      <c r="B1232" s="356"/>
      <c r="C1232" s="356"/>
      <c r="D1232" s="87"/>
      <c r="E1232" s="87"/>
      <c r="F1232" s="87"/>
      <c r="G1232" s="87"/>
      <c r="H1232" s="87"/>
      <c r="I1232" s="87"/>
    </row>
    <row r="1233" spans="2:9">
      <c r="B1233" s="356"/>
      <c r="C1233" s="356"/>
      <c r="D1233" s="87"/>
      <c r="E1233" s="87"/>
      <c r="F1233" s="87"/>
      <c r="G1233" s="87"/>
      <c r="H1233" s="87"/>
      <c r="I1233" s="87"/>
    </row>
    <row r="1234" spans="2:9">
      <c r="B1234" s="356"/>
      <c r="C1234" s="356"/>
      <c r="D1234" s="87"/>
      <c r="E1234" s="87"/>
      <c r="F1234" s="87"/>
      <c r="G1234" s="87"/>
      <c r="H1234" s="87"/>
      <c r="I1234" s="87"/>
    </row>
    <row r="1235" spans="2:9">
      <c r="B1235" s="356"/>
      <c r="C1235" s="356"/>
      <c r="D1235" s="87"/>
      <c r="E1235" s="87"/>
      <c r="F1235" s="87"/>
      <c r="G1235" s="87"/>
      <c r="H1235" s="87"/>
      <c r="I1235" s="87"/>
    </row>
    <row r="1236" spans="2:9">
      <c r="B1236" s="356"/>
      <c r="C1236" s="356"/>
      <c r="D1236" s="87"/>
      <c r="E1236" s="87"/>
      <c r="F1236" s="87"/>
      <c r="G1236" s="87"/>
      <c r="H1236" s="87"/>
      <c r="I1236" s="87"/>
    </row>
    <row r="1237" spans="2:9">
      <c r="B1237" s="356"/>
      <c r="C1237" s="356"/>
      <c r="D1237" s="87"/>
      <c r="E1237" s="87"/>
      <c r="F1237" s="87"/>
      <c r="G1237" s="87"/>
      <c r="H1237" s="87"/>
      <c r="I1237" s="87"/>
    </row>
    <row r="1238" spans="2:9">
      <c r="B1238" s="356"/>
      <c r="C1238" s="356"/>
      <c r="D1238" s="87"/>
      <c r="E1238" s="87"/>
      <c r="F1238" s="87"/>
      <c r="G1238" s="87"/>
      <c r="H1238" s="87"/>
      <c r="I1238" s="87"/>
    </row>
    <row r="1239" spans="2:9">
      <c r="B1239" s="356"/>
      <c r="C1239" s="356"/>
      <c r="D1239" s="87"/>
      <c r="E1239" s="87"/>
      <c r="F1239" s="87"/>
      <c r="G1239" s="87"/>
      <c r="H1239" s="87"/>
      <c r="I1239" s="87"/>
    </row>
    <row r="1240" spans="2:9">
      <c r="B1240" s="356"/>
      <c r="C1240" s="356"/>
      <c r="D1240" s="87"/>
      <c r="E1240" s="87"/>
      <c r="F1240" s="87"/>
      <c r="G1240" s="87"/>
      <c r="H1240" s="87"/>
      <c r="I1240" s="87"/>
    </row>
    <row r="1241" spans="2:9">
      <c r="B1241" s="356"/>
      <c r="C1241" s="356"/>
      <c r="D1241" s="87"/>
      <c r="E1241" s="87"/>
      <c r="F1241" s="87"/>
      <c r="G1241" s="87"/>
      <c r="H1241" s="87"/>
      <c r="I1241" s="87"/>
    </row>
    <row r="1242" spans="2:9">
      <c r="B1242" s="356"/>
      <c r="C1242" s="356"/>
      <c r="D1242" s="87"/>
      <c r="E1242" s="87"/>
      <c r="F1242" s="87"/>
      <c r="G1242" s="87"/>
      <c r="H1242" s="87"/>
      <c r="I1242" s="87"/>
    </row>
    <row r="1243" spans="2:9">
      <c r="B1243" s="356"/>
      <c r="C1243" s="356"/>
      <c r="D1243" s="87"/>
      <c r="E1243" s="87"/>
      <c r="F1243" s="87"/>
      <c r="G1243" s="87"/>
      <c r="H1243" s="87"/>
      <c r="I1243" s="87"/>
    </row>
    <row r="1244" spans="2:9">
      <c r="B1244" s="356"/>
      <c r="C1244" s="356"/>
      <c r="D1244" s="87"/>
      <c r="E1244" s="87"/>
      <c r="F1244" s="87"/>
      <c r="G1244" s="87"/>
      <c r="H1244" s="87"/>
      <c r="I1244" s="87"/>
    </row>
    <row r="1245" spans="2:9">
      <c r="B1245" s="356"/>
      <c r="C1245" s="356"/>
      <c r="D1245" s="87"/>
      <c r="E1245" s="87"/>
      <c r="F1245" s="87"/>
      <c r="G1245" s="87"/>
      <c r="H1245" s="87"/>
      <c r="I1245" s="87"/>
    </row>
    <row r="1246" spans="2:9">
      <c r="B1246" s="356"/>
      <c r="C1246" s="356"/>
      <c r="D1246" s="87"/>
      <c r="E1246" s="87"/>
      <c r="F1246" s="87"/>
      <c r="G1246" s="87"/>
      <c r="H1246" s="87"/>
      <c r="I1246" s="87"/>
    </row>
    <row r="1247" spans="2:9">
      <c r="B1247" s="356"/>
      <c r="C1247" s="356"/>
      <c r="D1247" s="87"/>
      <c r="E1247" s="87"/>
      <c r="F1247" s="87"/>
      <c r="G1247" s="87"/>
      <c r="H1247" s="87"/>
      <c r="I1247" s="87"/>
    </row>
    <row r="1248" spans="2:9">
      <c r="B1248" s="356"/>
      <c r="C1248" s="356"/>
      <c r="D1248" s="87"/>
      <c r="E1248" s="87"/>
      <c r="F1248" s="87"/>
      <c r="G1248" s="87"/>
      <c r="H1248" s="87"/>
      <c r="I1248" s="87"/>
    </row>
    <row r="1249" spans="2:9">
      <c r="B1249" s="356"/>
      <c r="C1249" s="356"/>
      <c r="D1249" s="87"/>
      <c r="E1249" s="87"/>
      <c r="F1249" s="87"/>
      <c r="G1249" s="87"/>
      <c r="H1249" s="87"/>
      <c r="I1249" s="87"/>
    </row>
    <row r="1250" spans="2:9">
      <c r="B1250" s="356"/>
      <c r="C1250" s="356"/>
      <c r="D1250" s="87"/>
      <c r="E1250" s="87"/>
      <c r="F1250" s="87"/>
      <c r="G1250" s="87"/>
      <c r="H1250" s="87"/>
      <c r="I1250" s="87"/>
    </row>
    <row r="1251" spans="2:9">
      <c r="B1251" s="356"/>
      <c r="C1251" s="356"/>
      <c r="D1251" s="87"/>
      <c r="E1251" s="87"/>
      <c r="F1251" s="87"/>
      <c r="G1251" s="87"/>
      <c r="H1251" s="87"/>
      <c r="I1251" s="87"/>
    </row>
    <row r="1252" spans="2:9">
      <c r="B1252" s="356"/>
      <c r="C1252" s="356"/>
      <c r="D1252" s="87"/>
      <c r="E1252" s="87"/>
      <c r="F1252" s="87"/>
      <c r="G1252" s="87"/>
      <c r="H1252" s="87"/>
      <c r="I1252" s="87"/>
    </row>
    <row r="1253" spans="2:9">
      <c r="B1253" s="356"/>
      <c r="C1253" s="356"/>
      <c r="D1253" s="87"/>
      <c r="E1253" s="87"/>
      <c r="F1253" s="87"/>
      <c r="G1253" s="87"/>
      <c r="H1253" s="87"/>
      <c r="I1253" s="87"/>
    </row>
    <row r="1254" spans="2:9">
      <c r="B1254" s="356"/>
      <c r="C1254" s="356"/>
      <c r="D1254" s="87"/>
      <c r="E1254" s="87"/>
      <c r="F1254" s="87"/>
      <c r="G1254" s="87"/>
      <c r="H1254" s="87"/>
      <c r="I1254" s="87"/>
    </row>
    <row r="1255" spans="2:9">
      <c r="B1255" s="356"/>
      <c r="C1255" s="356"/>
      <c r="D1255" s="87"/>
      <c r="E1255" s="87"/>
      <c r="F1255" s="87"/>
      <c r="G1255" s="87"/>
      <c r="H1255" s="87"/>
      <c r="I1255" s="87"/>
    </row>
    <row r="1256" spans="2:9">
      <c r="B1256" s="356"/>
      <c r="C1256" s="356"/>
      <c r="D1256" s="87"/>
      <c r="E1256" s="87"/>
      <c r="F1256" s="87"/>
      <c r="G1256" s="87"/>
      <c r="H1256" s="87"/>
      <c r="I1256" s="87"/>
    </row>
    <row r="1257" spans="2:9">
      <c r="B1257" s="356"/>
      <c r="C1257" s="356"/>
      <c r="D1257" s="87"/>
      <c r="E1257" s="87"/>
      <c r="F1257" s="87"/>
      <c r="G1257" s="87"/>
      <c r="H1257" s="87"/>
      <c r="I1257" s="87"/>
    </row>
    <row r="1258" spans="2:9">
      <c r="B1258" s="356"/>
      <c r="C1258" s="356"/>
      <c r="D1258" s="87"/>
      <c r="E1258" s="87"/>
      <c r="F1258" s="87"/>
      <c r="G1258" s="87"/>
      <c r="H1258" s="87"/>
      <c r="I1258" s="87"/>
    </row>
    <row r="1259" spans="2:9">
      <c r="B1259" s="356"/>
      <c r="C1259" s="356"/>
      <c r="D1259" s="87"/>
      <c r="E1259" s="87"/>
      <c r="F1259" s="87"/>
      <c r="G1259" s="87"/>
      <c r="H1259" s="87"/>
      <c r="I1259" s="87"/>
    </row>
    <row r="1260" spans="2:9">
      <c r="B1260" s="356"/>
      <c r="C1260" s="356"/>
      <c r="D1260" s="87"/>
      <c r="E1260" s="87"/>
      <c r="F1260" s="87"/>
      <c r="G1260" s="87"/>
      <c r="H1260" s="87"/>
      <c r="I1260" s="87"/>
    </row>
    <row r="1261" spans="2:9">
      <c r="B1261" s="356"/>
      <c r="C1261" s="356"/>
      <c r="D1261" s="87"/>
      <c r="E1261" s="87"/>
      <c r="F1261" s="87"/>
      <c r="G1261" s="87"/>
      <c r="H1261" s="87"/>
      <c r="I1261" s="87"/>
    </row>
    <row r="1262" spans="2:9">
      <c r="B1262" s="356"/>
      <c r="C1262" s="356"/>
      <c r="D1262" s="87"/>
      <c r="E1262" s="87"/>
      <c r="F1262" s="87"/>
      <c r="G1262" s="87"/>
      <c r="H1262" s="87"/>
      <c r="I1262" s="87"/>
    </row>
    <row r="1263" spans="2:9">
      <c r="B1263" s="356"/>
      <c r="C1263" s="356"/>
      <c r="D1263" s="87"/>
      <c r="E1263" s="87"/>
      <c r="F1263" s="87"/>
      <c r="G1263" s="87"/>
      <c r="H1263" s="87"/>
      <c r="I1263" s="87"/>
    </row>
    <row r="1264" spans="2:9">
      <c r="B1264" s="356"/>
      <c r="C1264" s="356"/>
      <c r="D1264" s="87"/>
      <c r="E1264" s="87"/>
      <c r="F1264" s="87"/>
      <c r="G1264" s="87"/>
      <c r="H1264" s="87"/>
      <c r="I1264" s="87"/>
    </row>
    <row r="1265" spans="2:9">
      <c r="B1265" s="356"/>
      <c r="C1265" s="356"/>
      <c r="D1265" s="87"/>
      <c r="E1265" s="87"/>
      <c r="F1265" s="87"/>
      <c r="G1265" s="87"/>
      <c r="H1265" s="87"/>
      <c r="I1265" s="87"/>
    </row>
    <row r="1266" spans="2:9">
      <c r="B1266" s="356"/>
      <c r="C1266" s="356"/>
      <c r="D1266" s="87"/>
      <c r="E1266" s="87"/>
      <c r="F1266" s="87"/>
      <c r="G1266" s="87"/>
      <c r="H1266" s="87"/>
      <c r="I1266" s="87"/>
    </row>
    <row r="1267" spans="2:9">
      <c r="B1267" s="356"/>
      <c r="C1267" s="356"/>
      <c r="D1267" s="87"/>
      <c r="E1267" s="87"/>
      <c r="F1267" s="87"/>
      <c r="G1267" s="87"/>
      <c r="H1267" s="87"/>
      <c r="I1267" s="87"/>
    </row>
    <row r="1268" spans="2:9">
      <c r="B1268" s="356"/>
      <c r="C1268" s="356"/>
      <c r="D1268" s="87"/>
      <c r="E1268" s="87"/>
      <c r="F1268" s="87"/>
      <c r="G1268" s="87"/>
      <c r="H1268" s="87"/>
      <c r="I1268" s="87"/>
    </row>
    <row r="1269" spans="2:9">
      <c r="B1269" s="356"/>
      <c r="C1269" s="356"/>
      <c r="D1269" s="87"/>
      <c r="E1269" s="87"/>
      <c r="F1269" s="87"/>
      <c r="G1269" s="87"/>
      <c r="H1269" s="87"/>
      <c r="I1269" s="87"/>
    </row>
    <row r="1270" spans="2:9">
      <c r="B1270" s="356"/>
      <c r="C1270" s="356"/>
      <c r="D1270" s="87"/>
      <c r="E1270" s="87"/>
      <c r="F1270" s="87"/>
      <c r="G1270" s="87"/>
      <c r="H1270" s="87"/>
      <c r="I1270" s="87"/>
    </row>
    <row r="1271" spans="2:9">
      <c r="B1271" s="356"/>
      <c r="C1271" s="356"/>
      <c r="D1271" s="87"/>
      <c r="E1271" s="87"/>
      <c r="F1271" s="87"/>
      <c r="G1271" s="87"/>
      <c r="H1271" s="87"/>
      <c r="I1271" s="87"/>
    </row>
    <row r="1272" spans="2:9">
      <c r="B1272" s="356"/>
      <c r="C1272" s="356"/>
      <c r="D1272" s="87"/>
      <c r="E1272" s="87"/>
      <c r="F1272" s="87"/>
      <c r="G1272" s="87"/>
      <c r="H1272" s="87"/>
      <c r="I1272" s="87"/>
    </row>
    <row r="1273" spans="2:9">
      <c r="B1273" s="356"/>
      <c r="C1273" s="356"/>
      <c r="D1273" s="87"/>
      <c r="E1273" s="87"/>
      <c r="F1273" s="87"/>
      <c r="G1273" s="87"/>
      <c r="H1273" s="87"/>
      <c r="I1273" s="87"/>
    </row>
    <row r="1274" spans="2:9">
      <c r="B1274" s="356"/>
      <c r="C1274" s="356"/>
      <c r="D1274" s="87"/>
      <c r="E1274" s="87"/>
      <c r="F1274" s="87"/>
      <c r="G1274" s="87"/>
      <c r="H1274" s="87"/>
      <c r="I1274" s="87"/>
    </row>
    <row r="1275" spans="2:9">
      <c r="B1275" s="356"/>
      <c r="C1275" s="356"/>
      <c r="D1275" s="87"/>
      <c r="E1275" s="87"/>
      <c r="F1275" s="87"/>
      <c r="G1275" s="87"/>
      <c r="H1275" s="87"/>
      <c r="I1275" s="87"/>
    </row>
    <row r="1276" spans="2:9">
      <c r="B1276" s="356"/>
      <c r="C1276" s="356"/>
      <c r="D1276" s="87"/>
      <c r="E1276" s="87"/>
      <c r="F1276" s="87"/>
      <c r="G1276" s="87"/>
      <c r="H1276" s="87"/>
      <c r="I1276" s="87"/>
    </row>
    <row r="1277" spans="2:9">
      <c r="B1277" s="356"/>
      <c r="C1277" s="356"/>
      <c r="D1277" s="87"/>
      <c r="E1277" s="87"/>
      <c r="F1277" s="87"/>
      <c r="G1277" s="87"/>
      <c r="H1277" s="87"/>
      <c r="I1277" s="87"/>
    </row>
    <row r="1278" spans="2:9">
      <c r="B1278" s="356"/>
      <c r="C1278" s="356"/>
      <c r="D1278" s="87"/>
      <c r="E1278" s="87"/>
      <c r="F1278" s="87"/>
      <c r="G1278" s="87"/>
      <c r="H1278" s="87"/>
      <c r="I1278" s="87"/>
    </row>
    <row r="1279" spans="2:9">
      <c r="B1279" s="356"/>
      <c r="C1279" s="356"/>
      <c r="D1279" s="87"/>
      <c r="E1279" s="87"/>
      <c r="F1279" s="87"/>
      <c r="G1279" s="87"/>
      <c r="H1279" s="87"/>
      <c r="I1279" s="87"/>
    </row>
    <row r="1280" spans="2:9">
      <c r="B1280" s="356"/>
      <c r="C1280" s="356"/>
      <c r="D1280" s="87"/>
      <c r="E1280" s="87"/>
      <c r="F1280" s="87"/>
      <c r="G1280" s="87"/>
      <c r="H1280" s="87"/>
      <c r="I1280" s="87"/>
    </row>
    <row r="1281" spans="2:9">
      <c r="B1281" s="356"/>
      <c r="C1281" s="356"/>
      <c r="D1281" s="87"/>
      <c r="E1281" s="87"/>
      <c r="F1281" s="87"/>
      <c r="G1281" s="87"/>
      <c r="H1281" s="87"/>
      <c r="I1281" s="87"/>
    </row>
    <row r="1282" spans="2:9">
      <c r="B1282" s="356"/>
      <c r="C1282" s="356"/>
      <c r="D1282" s="87"/>
      <c r="E1282" s="87"/>
      <c r="F1282" s="87"/>
      <c r="G1282" s="87"/>
      <c r="H1282" s="87"/>
      <c r="I1282" s="87"/>
    </row>
    <row r="1283" spans="2:9">
      <c r="B1283" s="356"/>
      <c r="C1283" s="356"/>
      <c r="D1283" s="87"/>
      <c r="E1283" s="87"/>
      <c r="F1283" s="87"/>
      <c r="G1283" s="87"/>
      <c r="H1283" s="87"/>
      <c r="I1283" s="87"/>
    </row>
    <row r="1284" spans="2:9">
      <c r="B1284" s="356"/>
      <c r="C1284" s="356"/>
      <c r="D1284" s="87"/>
      <c r="E1284" s="87"/>
      <c r="F1284" s="87"/>
      <c r="G1284" s="87"/>
      <c r="H1284" s="87"/>
      <c r="I1284" s="87"/>
    </row>
    <row r="1285" spans="2:9">
      <c r="B1285" s="356"/>
      <c r="C1285" s="356"/>
      <c r="D1285" s="87"/>
      <c r="E1285" s="87"/>
      <c r="F1285" s="87"/>
      <c r="G1285" s="87"/>
      <c r="H1285" s="87"/>
      <c r="I1285" s="87"/>
    </row>
    <row r="1286" spans="2:9">
      <c r="B1286" s="356"/>
      <c r="C1286" s="356"/>
      <c r="D1286" s="87"/>
      <c r="E1286" s="87"/>
      <c r="F1286" s="87"/>
      <c r="G1286" s="87"/>
      <c r="H1286" s="87"/>
      <c r="I1286" s="87"/>
    </row>
    <row r="1287" spans="2:9">
      <c r="B1287" s="356"/>
      <c r="C1287" s="356"/>
      <c r="D1287" s="87"/>
      <c r="E1287" s="87"/>
      <c r="F1287" s="87"/>
      <c r="G1287" s="87"/>
      <c r="H1287" s="87"/>
      <c r="I1287" s="87"/>
    </row>
    <row r="1288" spans="2:9">
      <c r="B1288" s="356"/>
      <c r="C1288" s="356"/>
      <c r="D1288" s="87"/>
      <c r="E1288" s="87"/>
      <c r="F1288" s="87"/>
      <c r="G1288" s="87"/>
      <c r="H1288" s="87"/>
      <c r="I1288" s="87"/>
    </row>
    <row r="1289" spans="2:9">
      <c r="B1289" s="356"/>
      <c r="C1289" s="356"/>
      <c r="D1289" s="87"/>
      <c r="E1289" s="87"/>
      <c r="F1289" s="87"/>
      <c r="G1289" s="87"/>
      <c r="H1289" s="87"/>
      <c r="I1289" s="87"/>
    </row>
    <row r="1290" spans="2:9">
      <c r="B1290" s="356"/>
      <c r="C1290" s="356"/>
      <c r="D1290" s="87"/>
      <c r="E1290" s="87"/>
      <c r="F1290" s="87"/>
      <c r="G1290" s="87"/>
      <c r="H1290" s="87"/>
      <c r="I1290" s="87"/>
    </row>
    <row r="1291" spans="2:9">
      <c r="B1291" s="356"/>
      <c r="C1291" s="356"/>
      <c r="D1291" s="87"/>
      <c r="E1291" s="87"/>
      <c r="F1291" s="87"/>
      <c r="G1291" s="87"/>
      <c r="H1291" s="87"/>
      <c r="I1291" s="87"/>
    </row>
    <row r="1292" spans="2:9">
      <c r="B1292" s="356"/>
      <c r="C1292" s="356"/>
      <c r="D1292" s="87"/>
      <c r="E1292" s="87"/>
      <c r="F1292" s="87"/>
      <c r="G1292" s="87"/>
      <c r="H1292" s="87"/>
      <c r="I1292" s="87"/>
    </row>
    <row r="1293" spans="2:9">
      <c r="B1293" s="356"/>
      <c r="C1293" s="356"/>
      <c r="D1293" s="87"/>
      <c r="E1293" s="87"/>
      <c r="F1293" s="87"/>
      <c r="G1293" s="87"/>
      <c r="H1293" s="87"/>
      <c r="I1293" s="87"/>
    </row>
    <row r="1294" spans="2:9">
      <c r="B1294" s="356"/>
      <c r="C1294" s="356"/>
      <c r="D1294" s="87"/>
      <c r="E1294" s="87"/>
      <c r="F1294" s="87"/>
      <c r="G1294" s="87"/>
      <c r="H1294" s="87"/>
      <c r="I1294" s="87"/>
    </row>
    <row r="1295" spans="2:9">
      <c r="B1295" s="356"/>
      <c r="C1295" s="356"/>
      <c r="D1295" s="87"/>
      <c r="E1295" s="87"/>
      <c r="F1295" s="87"/>
      <c r="G1295" s="87"/>
      <c r="H1295" s="87"/>
      <c r="I1295" s="87"/>
    </row>
    <row r="1296" spans="2:9">
      <c r="B1296" s="356"/>
      <c r="C1296" s="356"/>
      <c r="D1296" s="87"/>
      <c r="E1296" s="87"/>
      <c r="F1296" s="87"/>
      <c r="G1296" s="87"/>
      <c r="H1296" s="87"/>
      <c r="I1296" s="87"/>
    </row>
    <row r="1297" spans="2:9">
      <c r="B1297" s="356"/>
      <c r="C1297" s="356"/>
      <c r="D1297" s="87"/>
      <c r="E1297" s="87"/>
      <c r="F1297" s="87"/>
      <c r="G1297" s="87"/>
      <c r="H1297" s="87"/>
      <c r="I1297" s="87"/>
    </row>
    <row r="1298" spans="2:9">
      <c r="B1298" s="356"/>
      <c r="C1298" s="356"/>
      <c r="D1298" s="87"/>
      <c r="E1298" s="87"/>
      <c r="F1298" s="87"/>
      <c r="G1298" s="87"/>
      <c r="H1298" s="87"/>
      <c r="I1298" s="87"/>
    </row>
    <row r="1299" spans="2:9">
      <c r="B1299" s="356"/>
      <c r="C1299" s="356"/>
      <c r="D1299" s="87"/>
      <c r="E1299" s="87"/>
      <c r="F1299" s="87"/>
      <c r="G1299" s="87"/>
      <c r="H1299" s="87"/>
      <c r="I1299" s="87"/>
    </row>
    <row r="1300" spans="2:9">
      <c r="B1300" s="356"/>
      <c r="C1300" s="356"/>
      <c r="D1300" s="87"/>
      <c r="E1300" s="87"/>
      <c r="F1300" s="87"/>
      <c r="G1300" s="87"/>
      <c r="H1300" s="87"/>
      <c r="I1300" s="87"/>
    </row>
    <row r="1301" spans="2:9">
      <c r="B1301" s="356"/>
      <c r="C1301" s="356"/>
      <c r="D1301" s="87"/>
      <c r="E1301" s="87"/>
      <c r="F1301" s="87"/>
      <c r="G1301" s="87"/>
      <c r="H1301" s="87"/>
      <c r="I1301" s="87"/>
    </row>
    <row r="1302" spans="2:9">
      <c r="B1302" s="356"/>
      <c r="C1302" s="356"/>
      <c r="D1302" s="87"/>
      <c r="E1302" s="87"/>
      <c r="F1302" s="87"/>
      <c r="G1302" s="87"/>
      <c r="H1302" s="87"/>
      <c r="I1302" s="87"/>
    </row>
    <row r="1303" spans="2:9">
      <c r="B1303" s="356"/>
      <c r="C1303" s="356"/>
      <c r="D1303" s="87"/>
      <c r="E1303" s="87"/>
      <c r="F1303" s="87"/>
      <c r="G1303" s="87"/>
      <c r="H1303" s="87"/>
      <c r="I1303" s="87"/>
    </row>
    <row r="1304" spans="2:9">
      <c r="B1304" s="356"/>
      <c r="C1304" s="356"/>
      <c r="D1304" s="87"/>
      <c r="E1304" s="87"/>
      <c r="F1304" s="87"/>
      <c r="G1304" s="87"/>
      <c r="H1304" s="87"/>
      <c r="I1304" s="87"/>
    </row>
    <row r="1305" spans="2:9">
      <c r="B1305" s="356"/>
      <c r="C1305" s="356"/>
      <c r="D1305" s="87"/>
      <c r="E1305" s="87"/>
      <c r="F1305" s="87"/>
      <c r="G1305" s="87"/>
      <c r="H1305" s="87"/>
      <c r="I1305" s="87"/>
    </row>
    <row r="1306" spans="2:9">
      <c r="B1306" s="356"/>
      <c r="C1306" s="356"/>
      <c r="D1306" s="87"/>
      <c r="E1306" s="87"/>
      <c r="F1306" s="87"/>
      <c r="G1306" s="87"/>
      <c r="H1306" s="87"/>
      <c r="I1306" s="87"/>
    </row>
    <row r="1307" spans="2:9">
      <c r="B1307" s="356"/>
      <c r="C1307" s="356"/>
      <c r="D1307" s="87"/>
      <c r="E1307" s="87"/>
      <c r="F1307" s="87"/>
      <c r="G1307" s="87"/>
      <c r="H1307" s="87"/>
      <c r="I1307" s="87"/>
    </row>
    <row r="1308" spans="2:9">
      <c r="B1308" s="356"/>
      <c r="C1308" s="356"/>
      <c r="D1308" s="87"/>
      <c r="E1308" s="87"/>
      <c r="F1308" s="87"/>
      <c r="G1308" s="87"/>
      <c r="H1308" s="87"/>
      <c r="I1308" s="87"/>
    </row>
    <row r="1309" spans="2:9">
      <c r="B1309" s="356"/>
      <c r="C1309" s="356"/>
      <c r="D1309" s="87"/>
      <c r="E1309" s="87"/>
      <c r="F1309" s="87"/>
      <c r="G1309" s="87"/>
      <c r="H1309" s="87"/>
      <c r="I1309" s="87"/>
    </row>
    <row r="1310" spans="2:9">
      <c r="B1310" s="356"/>
      <c r="C1310" s="356"/>
      <c r="D1310" s="87"/>
      <c r="E1310" s="87"/>
      <c r="F1310" s="87"/>
      <c r="G1310" s="87"/>
      <c r="H1310" s="87"/>
      <c r="I1310" s="87"/>
    </row>
    <row r="1311" spans="2:9">
      <c r="B1311" s="356"/>
      <c r="C1311" s="356"/>
      <c r="D1311" s="87"/>
      <c r="E1311" s="87"/>
      <c r="F1311" s="87"/>
      <c r="G1311" s="87"/>
      <c r="H1311" s="87"/>
      <c r="I1311" s="87"/>
    </row>
    <row r="1312" spans="2:9">
      <c r="B1312" s="356"/>
      <c r="C1312" s="356"/>
      <c r="D1312" s="87"/>
      <c r="E1312" s="87"/>
      <c r="F1312" s="87"/>
      <c r="G1312" s="87"/>
      <c r="H1312" s="87"/>
      <c r="I1312" s="87"/>
    </row>
    <row r="1313" spans="2:9">
      <c r="B1313" s="356"/>
      <c r="C1313" s="356"/>
      <c r="D1313" s="87"/>
      <c r="E1313" s="87"/>
      <c r="F1313" s="87"/>
      <c r="G1313" s="87"/>
      <c r="H1313" s="87"/>
      <c r="I1313" s="87"/>
    </row>
    <row r="1314" spans="2:9">
      <c r="B1314" s="356"/>
      <c r="C1314" s="356"/>
      <c r="D1314" s="87"/>
      <c r="E1314" s="87"/>
      <c r="F1314" s="87"/>
      <c r="G1314" s="87"/>
      <c r="H1314" s="87"/>
      <c r="I1314" s="87"/>
    </row>
    <row r="1315" spans="2:9">
      <c r="B1315" s="356"/>
      <c r="C1315" s="356"/>
      <c r="D1315" s="87"/>
      <c r="E1315" s="87"/>
      <c r="F1315" s="87"/>
      <c r="G1315" s="87"/>
      <c r="H1315" s="87"/>
      <c r="I1315" s="87"/>
    </row>
    <row r="1316" spans="2:9">
      <c r="B1316" s="356"/>
      <c r="C1316" s="356"/>
      <c r="D1316" s="87"/>
      <c r="E1316" s="87"/>
      <c r="F1316" s="87"/>
      <c r="G1316" s="87"/>
      <c r="H1316" s="87"/>
      <c r="I1316" s="87"/>
    </row>
    <row r="1317" spans="2:9">
      <c r="B1317" s="356"/>
      <c r="C1317" s="356"/>
      <c r="D1317" s="87"/>
      <c r="E1317" s="87"/>
      <c r="F1317" s="87"/>
      <c r="G1317" s="87"/>
      <c r="H1317" s="87"/>
      <c r="I1317" s="87"/>
    </row>
    <row r="1318" spans="2:9">
      <c r="B1318" s="356"/>
      <c r="C1318" s="356"/>
      <c r="D1318" s="87"/>
      <c r="E1318" s="87"/>
      <c r="F1318" s="87"/>
      <c r="G1318" s="87"/>
      <c r="H1318" s="87"/>
      <c r="I1318" s="87"/>
    </row>
    <row r="1319" spans="2:9">
      <c r="B1319" s="356"/>
      <c r="C1319" s="356"/>
      <c r="D1319" s="87"/>
      <c r="E1319" s="87"/>
      <c r="F1319" s="87"/>
      <c r="G1319" s="87"/>
      <c r="H1319" s="87"/>
      <c r="I1319" s="87"/>
    </row>
    <row r="1320" spans="2:9">
      <c r="B1320" s="356"/>
      <c r="C1320" s="356"/>
      <c r="D1320" s="87"/>
      <c r="E1320" s="87"/>
      <c r="F1320" s="87"/>
      <c r="G1320" s="87"/>
      <c r="H1320" s="87"/>
      <c r="I1320" s="87"/>
    </row>
    <row r="1321" spans="2:9">
      <c r="B1321" s="356"/>
      <c r="C1321" s="356"/>
      <c r="D1321" s="87"/>
      <c r="E1321" s="87"/>
      <c r="F1321" s="87"/>
      <c r="G1321" s="87"/>
      <c r="H1321" s="87"/>
      <c r="I1321" s="87"/>
    </row>
    <row r="1322" spans="2:9">
      <c r="B1322" s="356"/>
      <c r="C1322" s="356"/>
      <c r="D1322" s="87"/>
      <c r="E1322" s="87"/>
      <c r="F1322" s="87"/>
      <c r="G1322" s="87"/>
      <c r="H1322" s="87"/>
      <c r="I1322" s="87"/>
    </row>
    <row r="1323" spans="2:9">
      <c r="B1323" s="356"/>
      <c r="C1323" s="356"/>
      <c r="D1323" s="87"/>
      <c r="E1323" s="87"/>
      <c r="F1323" s="87"/>
      <c r="G1323" s="87"/>
      <c r="H1323" s="87"/>
      <c r="I1323" s="87"/>
    </row>
    <row r="1324" spans="2:9">
      <c r="B1324" s="356"/>
      <c r="C1324" s="356"/>
      <c r="D1324" s="87"/>
      <c r="E1324" s="87"/>
      <c r="F1324" s="87"/>
      <c r="G1324" s="87"/>
      <c r="H1324" s="87"/>
      <c r="I1324" s="87"/>
    </row>
    <row r="1325" spans="2:9">
      <c r="B1325" s="356"/>
      <c r="C1325" s="356"/>
      <c r="D1325" s="87"/>
      <c r="E1325" s="87"/>
      <c r="F1325" s="87"/>
      <c r="G1325" s="87"/>
      <c r="H1325" s="87"/>
      <c r="I1325" s="87"/>
    </row>
    <row r="1326" spans="2:9">
      <c r="B1326" s="356"/>
      <c r="C1326" s="356"/>
      <c r="D1326" s="87"/>
      <c r="E1326" s="87"/>
      <c r="F1326" s="87"/>
      <c r="G1326" s="87"/>
      <c r="H1326" s="87"/>
      <c r="I1326" s="87"/>
    </row>
    <row r="1327" spans="2:9">
      <c r="B1327" s="356"/>
      <c r="C1327" s="356"/>
      <c r="D1327" s="87"/>
      <c r="E1327" s="87"/>
      <c r="F1327" s="87"/>
      <c r="G1327" s="87"/>
      <c r="H1327" s="87"/>
      <c r="I1327" s="87"/>
    </row>
    <row r="1328" spans="2:9">
      <c r="B1328" s="356"/>
      <c r="C1328" s="356"/>
      <c r="D1328" s="87"/>
      <c r="E1328" s="87"/>
      <c r="F1328" s="87"/>
      <c r="G1328" s="87"/>
      <c r="H1328" s="87"/>
      <c r="I1328" s="87"/>
    </row>
    <row r="1329" spans="2:9">
      <c r="B1329" s="356"/>
      <c r="C1329" s="356"/>
      <c r="D1329" s="87"/>
      <c r="E1329" s="87"/>
      <c r="F1329" s="87"/>
      <c r="G1329" s="87"/>
      <c r="H1329" s="87"/>
      <c r="I1329" s="87"/>
    </row>
    <row r="1330" spans="2:9">
      <c r="B1330" s="356"/>
      <c r="C1330" s="356"/>
      <c r="D1330" s="87"/>
      <c r="E1330" s="87"/>
      <c r="F1330" s="87"/>
      <c r="G1330" s="87"/>
      <c r="H1330" s="87"/>
      <c r="I1330" s="87"/>
    </row>
    <row r="1331" spans="2:9">
      <c r="B1331" s="356"/>
      <c r="C1331" s="356"/>
      <c r="D1331" s="87"/>
      <c r="E1331" s="87"/>
      <c r="F1331" s="87"/>
      <c r="G1331" s="87"/>
      <c r="H1331" s="87"/>
      <c r="I1331" s="87"/>
    </row>
    <row r="1332" spans="2:9">
      <c r="B1332" s="356"/>
      <c r="C1332" s="356"/>
      <c r="D1332" s="87"/>
      <c r="E1332" s="87"/>
      <c r="F1332" s="87"/>
      <c r="G1332" s="87"/>
      <c r="H1332" s="87"/>
      <c r="I1332" s="87"/>
    </row>
    <row r="1333" spans="2:9">
      <c r="B1333" s="356"/>
      <c r="C1333" s="356"/>
      <c r="D1333" s="87"/>
      <c r="E1333" s="87"/>
      <c r="F1333" s="87"/>
      <c r="G1333" s="87"/>
      <c r="H1333" s="87"/>
      <c r="I1333" s="87"/>
    </row>
    <row r="1334" spans="2:9">
      <c r="B1334" s="356"/>
      <c r="C1334" s="356"/>
      <c r="D1334" s="87"/>
      <c r="E1334" s="87"/>
      <c r="F1334" s="87"/>
      <c r="G1334" s="87"/>
      <c r="H1334" s="87"/>
      <c r="I1334" s="87"/>
    </row>
    <row r="1335" spans="2:9">
      <c r="B1335" s="356"/>
      <c r="C1335" s="356"/>
      <c r="D1335" s="87"/>
      <c r="E1335" s="87"/>
      <c r="F1335" s="87"/>
      <c r="G1335" s="87"/>
      <c r="H1335" s="87"/>
      <c r="I1335" s="87"/>
    </row>
    <row r="1336" spans="2:9">
      <c r="B1336" s="356"/>
      <c r="C1336" s="356"/>
      <c r="D1336" s="87"/>
      <c r="E1336" s="87"/>
      <c r="F1336" s="87"/>
      <c r="G1336" s="87"/>
      <c r="H1336" s="87"/>
      <c r="I1336" s="87"/>
    </row>
    <row r="1337" spans="2:9">
      <c r="B1337" s="356"/>
      <c r="C1337" s="356"/>
      <c r="D1337" s="87"/>
      <c r="E1337" s="87"/>
      <c r="F1337" s="87"/>
      <c r="G1337" s="87"/>
      <c r="H1337" s="87"/>
      <c r="I1337" s="87"/>
    </row>
    <row r="1338" spans="2:9">
      <c r="B1338" s="356"/>
      <c r="C1338" s="356"/>
      <c r="D1338" s="87"/>
      <c r="E1338" s="87"/>
      <c r="F1338" s="87"/>
      <c r="G1338" s="87"/>
      <c r="H1338" s="87"/>
      <c r="I1338" s="87"/>
    </row>
    <row r="1339" spans="2:9">
      <c r="B1339" s="356"/>
      <c r="C1339" s="356"/>
      <c r="D1339" s="87"/>
      <c r="E1339" s="87"/>
      <c r="F1339" s="87"/>
      <c r="G1339" s="87"/>
      <c r="H1339" s="87"/>
      <c r="I1339" s="87"/>
    </row>
    <row r="1340" spans="2:9">
      <c r="B1340" s="356"/>
      <c r="C1340" s="356"/>
      <c r="D1340" s="87"/>
      <c r="E1340" s="87"/>
      <c r="F1340" s="87"/>
      <c r="G1340" s="87"/>
      <c r="H1340" s="87"/>
      <c r="I1340" s="87"/>
    </row>
    <row r="1341" spans="2:9">
      <c r="B1341" s="356"/>
      <c r="C1341" s="356"/>
      <c r="D1341" s="87"/>
      <c r="E1341" s="87"/>
      <c r="F1341" s="87"/>
      <c r="G1341" s="87"/>
      <c r="H1341" s="87"/>
      <c r="I1341" s="87"/>
    </row>
    <row r="1342" spans="2:9">
      <c r="B1342" s="356"/>
      <c r="C1342" s="356"/>
      <c r="D1342" s="87"/>
      <c r="E1342" s="87"/>
      <c r="F1342" s="87"/>
      <c r="G1342" s="87"/>
      <c r="H1342" s="87"/>
      <c r="I1342" s="87"/>
    </row>
    <row r="1343" spans="2:9">
      <c r="B1343" s="356"/>
      <c r="C1343" s="356"/>
      <c r="D1343" s="87"/>
      <c r="E1343" s="87"/>
      <c r="F1343" s="87"/>
      <c r="G1343" s="87"/>
      <c r="H1343" s="87"/>
      <c r="I1343" s="87"/>
    </row>
    <row r="1344" spans="2:9">
      <c r="B1344" s="356"/>
      <c r="C1344" s="356"/>
      <c r="D1344" s="87"/>
      <c r="E1344" s="87"/>
      <c r="F1344" s="87"/>
      <c r="G1344" s="87"/>
      <c r="H1344" s="87"/>
      <c r="I1344" s="87"/>
    </row>
    <row r="1345" spans="2:9">
      <c r="B1345" s="356"/>
      <c r="C1345" s="356"/>
      <c r="D1345" s="87"/>
      <c r="E1345" s="87"/>
      <c r="F1345" s="87"/>
      <c r="G1345" s="87"/>
      <c r="H1345" s="87"/>
      <c r="I1345" s="87"/>
    </row>
    <row r="1346" spans="2:9">
      <c r="B1346" s="356"/>
      <c r="C1346" s="356"/>
      <c r="D1346" s="87"/>
      <c r="E1346" s="87"/>
      <c r="F1346" s="87"/>
      <c r="G1346" s="87"/>
      <c r="H1346" s="87"/>
      <c r="I1346" s="87"/>
    </row>
    <row r="1347" spans="2:9">
      <c r="B1347" s="356"/>
      <c r="C1347" s="356"/>
      <c r="D1347" s="87"/>
      <c r="E1347" s="87"/>
      <c r="F1347" s="87"/>
      <c r="G1347" s="87"/>
      <c r="H1347" s="87"/>
      <c r="I1347" s="87"/>
    </row>
    <row r="1348" spans="2:9">
      <c r="B1348" s="356"/>
      <c r="C1348" s="356"/>
      <c r="D1348" s="87"/>
      <c r="E1348" s="87"/>
      <c r="F1348" s="87"/>
      <c r="G1348" s="87"/>
      <c r="H1348" s="87"/>
      <c r="I1348" s="87"/>
    </row>
    <row r="1349" spans="2:9">
      <c r="B1349" s="356"/>
      <c r="C1349" s="356"/>
      <c r="D1349" s="87"/>
      <c r="E1349" s="87"/>
      <c r="F1349" s="87"/>
      <c r="G1349" s="87"/>
      <c r="H1349" s="87"/>
      <c r="I1349" s="87"/>
    </row>
    <row r="1350" spans="2:9">
      <c r="B1350" s="356"/>
      <c r="C1350" s="356"/>
      <c r="D1350" s="87"/>
      <c r="E1350" s="87"/>
      <c r="F1350" s="87"/>
      <c r="G1350" s="87"/>
      <c r="H1350" s="87"/>
      <c r="I1350" s="87"/>
    </row>
    <row r="1351" spans="2:9">
      <c r="B1351" s="356"/>
      <c r="C1351" s="356"/>
      <c r="D1351" s="87"/>
      <c r="E1351" s="87"/>
      <c r="F1351" s="87"/>
      <c r="G1351" s="87"/>
      <c r="H1351" s="87"/>
      <c r="I1351" s="87"/>
    </row>
    <row r="1352" spans="2:9">
      <c r="B1352" s="356"/>
      <c r="C1352" s="356"/>
      <c r="D1352" s="87"/>
      <c r="E1352" s="87"/>
      <c r="F1352" s="87"/>
      <c r="G1352" s="87"/>
      <c r="H1352" s="87"/>
      <c r="I1352" s="87"/>
    </row>
    <row r="1353" spans="2:9">
      <c r="B1353" s="356"/>
      <c r="C1353" s="356"/>
      <c r="D1353" s="87"/>
      <c r="E1353" s="87"/>
      <c r="F1353" s="87"/>
      <c r="G1353" s="87"/>
      <c r="H1353" s="87"/>
      <c r="I1353" s="87"/>
    </row>
    <row r="1354" spans="2:9">
      <c r="B1354" s="356"/>
      <c r="C1354" s="356"/>
      <c r="D1354" s="87"/>
      <c r="E1354" s="87"/>
      <c r="F1354" s="87"/>
      <c r="G1354" s="87"/>
      <c r="H1354" s="87"/>
      <c r="I1354" s="87"/>
    </row>
    <row r="1355" spans="2:9">
      <c r="B1355" s="356"/>
      <c r="C1355" s="356"/>
      <c r="D1355" s="87"/>
      <c r="E1355" s="87"/>
      <c r="F1355" s="87"/>
      <c r="G1355" s="87"/>
      <c r="H1355" s="87"/>
      <c r="I1355" s="87"/>
    </row>
    <row r="1356" spans="2:9">
      <c r="B1356" s="356"/>
      <c r="C1356" s="356"/>
      <c r="D1356" s="87"/>
      <c r="E1356" s="87"/>
      <c r="F1356" s="87"/>
      <c r="G1356" s="87"/>
      <c r="H1356" s="87"/>
      <c r="I1356" s="87"/>
    </row>
    <row r="1357" spans="2:9">
      <c r="B1357" s="356"/>
      <c r="C1357" s="356"/>
      <c r="D1357" s="87"/>
      <c r="E1357" s="87"/>
      <c r="F1357" s="87"/>
      <c r="G1357" s="87"/>
      <c r="H1357" s="87"/>
      <c r="I1357" s="87"/>
    </row>
    <row r="1358" spans="2:9">
      <c r="B1358" s="356"/>
      <c r="C1358" s="356"/>
      <c r="D1358" s="87"/>
      <c r="E1358" s="87"/>
      <c r="F1358" s="87"/>
      <c r="G1358" s="87"/>
      <c r="H1358" s="87"/>
      <c r="I1358" s="87"/>
    </row>
    <row r="1359" spans="2:9">
      <c r="B1359" s="356"/>
      <c r="C1359" s="356"/>
      <c r="D1359" s="87"/>
      <c r="E1359" s="87"/>
      <c r="F1359" s="87"/>
      <c r="G1359" s="87"/>
      <c r="H1359" s="87"/>
      <c r="I1359" s="87"/>
    </row>
    <row r="1360" spans="2:9">
      <c r="B1360" s="356"/>
      <c r="C1360" s="356"/>
      <c r="D1360" s="87"/>
      <c r="E1360" s="87"/>
      <c r="F1360" s="87"/>
      <c r="G1360" s="87"/>
      <c r="H1360" s="87"/>
      <c r="I1360" s="87"/>
    </row>
    <row r="1361" spans="2:9">
      <c r="B1361" s="356"/>
      <c r="C1361" s="356"/>
      <c r="D1361" s="87"/>
      <c r="E1361" s="87"/>
      <c r="F1361" s="87"/>
      <c r="G1361" s="87"/>
      <c r="H1361" s="87"/>
      <c r="I1361" s="87"/>
    </row>
    <row r="1362" spans="2:9">
      <c r="B1362" s="356"/>
      <c r="C1362" s="356"/>
      <c r="D1362" s="87"/>
      <c r="E1362" s="87"/>
      <c r="F1362" s="87"/>
      <c r="G1362" s="87"/>
      <c r="H1362" s="87"/>
      <c r="I1362" s="87"/>
    </row>
    <row r="1363" spans="2:9">
      <c r="B1363" s="356"/>
      <c r="C1363" s="356"/>
      <c r="D1363" s="87"/>
      <c r="E1363" s="87"/>
      <c r="F1363" s="87"/>
      <c r="G1363" s="87"/>
      <c r="H1363" s="87"/>
      <c r="I1363" s="87"/>
    </row>
    <row r="1364" spans="2:9">
      <c r="B1364" s="356"/>
      <c r="C1364" s="356"/>
      <c r="D1364" s="87"/>
      <c r="E1364" s="87"/>
      <c r="F1364" s="87"/>
      <c r="G1364" s="87"/>
      <c r="H1364" s="87"/>
      <c r="I1364" s="87"/>
    </row>
    <row r="1365" spans="2:9">
      <c r="B1365" s="356"/>
      <c r="C1365" s="356"/>
      <c r="D1365" s="87"/>
      <c r="E1365" s="87"/>
      <c r="F1365" s="87"/>
      <c r="G1365" s="87"/>
      <c r="H1365" s="87"/>
      <c r="I1365" s="87"/>
    </row>
    <row r="1366" spans="2:9">
      <c r="B1366" s="356"/>
      <c r="C1366" s="356"/>
      <c r="D1366" s="87"/>
      <c r="E1366" s="87"/>
      <c r="F1366" s="87"/>
      <c r="G1366" s="87"/>
      <c r="H1366" s="87"/>
      <c r="I1366" s="87"/>
    </row>
  </sheetData>
  <conditionalFormatting sqref="E826">
    <cfRule type="cellIs" dxfId="6" priority="1" operator="greaterThan">
      <formula>183</formula>
    </cfRule>
    <cfRule type="cellIs" dxfId="5" priority="2" operator="lessThanOrEqual">
      <formula>183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outlinePr summaryBelow="0" summaryRight="0"/>
  </sheetPr>
  <dimension ref="A1:T1021"/>
  <sheetViews>
    <sheetView workbookViewId="0">
      <pane ySplit="1" topLeftCell="A2" activePane="bottomLeft" state="frozen"/>
      <selection pane="bottomLeft" activeCell="R26" sqref="R26"/>
    </sheetView>
  </sheetViews>
  <sheetFormatPr defaultColWidth="12.6640625" defaultRowHeight="15" customHeight="1"/>
  <cols>
    <col min="1" max="1" width="11.109375" customWidth="1"/>
    <col min="2" max="2" width="14.77734375" customWidth="1"/>
    <col min="3" max="4" width="11.109375" customWidth="1"/>
    <col min="5" max="5" width="12.21875" customWidth="1"/>
    <col min="6" max="6" width="11.109375" customWidth="1"/>
    <col min="7" max="8" width="11.109375" hidden="1" customWidth="1"/>
    <col min="9" max="10" width="11.109375" customWidth="1"/>
    <col min="11" max="11" width="11.109375" hidden="1" customWidth="1"/>
    <col min="12" max="18" width="11.109375" customWidth="1"/>
    <col min="19" max="19" width="29.88671875" customWidth="1"/>
    <col min="20" max="24" width="11.109375" customWidth="1"/>
  </cols>
  <sheetData>
    <row r="1" spans="1:17" ht="25.5" customHeight="1" thickTop="1" thickBot="1">
      <c r="A1" s="778"/>
      <c r="B1" s="779" t="s">
        <v>2065</v>
      </c>
      <c r="C1" s="779" t="s">
        <v>2066</v>
      </c>
      <c r="D1" s="779" t="s">
        <v>2067</v>
      </c>
      <c r="E1" s="779" t="s">
        <v>2066</v>
      </c>
      <c r="F1" s="779" t="s">
        <v>2067</v>
      </c>
      <c r="G1" s="780" t="s">
        <v>2068</v>
      </c>
      <c r="H1" s="781" t="s">
        <v>2069</v>
      </c>
      <c r="I1" s="779" t="s">
        <v>2070</v>
      </c>
      <c r="J1" s="779" t="s">
        <v>2069</v>
      </c>
      <c r="K1" s="779" t="s">
        <v>2071</v>
      </c>
      <c r="L1" s="779" t="s">
        <v>672</v>
      </c>
    </row>
    <row r="2" spans="1:17" ht="15.75" hidden="1" customHeight="1">
      <c r="A2" s="358">
        <v>2022</v>
      </c>
      <c r="B2" s="359"/>
      <c r="C2" s="359"/>
      <c r="D2" s="359"/>
      <c r="E2" s="360"/>
      <c r="F2" s="360"/>
      <c r="G2" s="361">
        <f>SUM(G3:G18)</f>
        <v>217</v>
      </c>
      <c r="H2" s="362"/>
      <c r="I2" s="363"/>
      <c r="J2" s="363"/>
      <c r="K2" s="363"/>
      <c r="L2" s="364">
        <v>2022</v>
      </c>
    </row>
    <row r="3" spans="1:17" ht="15.75" hidden="1" customHeight="1">
      <c r="A3" s="365"/>
      <c r="B3" s="366" t="s">
        <v>2072</v>
      </c>
      <c r="C3" s="366" t="s">
        <v>2073</v>
      </c>
      <c r="D3" s="366" t="s">
        <v>2074</v>
      </c>
      <c r="E3" s="367">
        <v>44571</v>
      </c>
      <c r="F3" s="368"/>
      <c r="G3" s="369"/>
      <c r="H3" s="362"/>
      <c r="I3" s="370"/>
      <c r="J3" s="370"/>
      <c r="K3" s="370"/>
      <c r="L3" s="95">
        <f>SUM(H3:H6)</f>
        <v>66</v>
      </c>
      <c r="N3" s="367"/>
      <c r="O3" s="371">
        <v>44562</v>
      </c>
      <c r="P3" s="372"/>
      <c r="Q3" s="373" t="s">
        <v>2075</v>
      </c>
    </row>
    <row r="4" spans="1:17" ht="15.75" hidden="1" customHeight="1">
      <c r="A4" s="374"/>
      <c r="B4" s="375" t="s">
        <v>2076</v>
      </c>
      <c r="C4" s="375" t="s">
        <v>2074</v>
      </c>
      <c r="D4" s="375" t="s">
        <v>2073</v>
      </c>
      <c r="F4" s="376">
        <v>44598</v>
      </c>
      <c r="G4" s="377">
        <f>F4-E3+1</f>
        <v>28</v>
      </c>
      <c r="H4" s="362">
        <f>G4</f>
        <v>28</v>
      </c>
      <c r="I4" s="378"/>
      <c r="J4" s="370"/>
      <c r="K4" s="379"/>
      <c r="L4" s="356"/>
      <c r="O4" s="380"/>
      <c r="P4" s="376">
        <v>44656</v>
      </c>
      <c r="Q4" s="381">
        <f>P4-O3+1</f>
        <v>95</v>
      </c>
    </row>
    <row r="5" spans="1:17" ht="15.75" hidden="1" customHeight="1">
      <c r="A5" s="374"/>
      <c r="B5" s="375" t="s">
        <v>2076</v>
      </c>
      <c r="C5" s="375" t="s">
        <v>2073</v>
      </c>
      <c r="D5" s="375" t="s">
        <v>2074</v>
      </c>
      <c r="E5" s="382">
        <v>44614</v>
      </c>
      <c r="F5" s="382"/>
      <c r="G5" s="383"/>
      <c r="H5" s="362"/>
      <c r="I5" s="378"/>
      <c r="J5" s="370"/>
      <c r="K5" s="379"/>
      <c r="L5" s="356"/>
      <c r="N5" s="367"/>
      <c r="O5" s="384">
        <v>44657</v>
      </c>
      <c r="P5" s="368"/>
      <c r="Q5" s="369"/>
    </row>
    <row r="6" spans="1:17" ht="15.75" hidden="1" customHeight="1">
      <c r="A6" s="374"/>
      <c r="B6" s="375" t="s">
        <v>2077</v>
      </c>
      <c r="C6" s="375" t="s">
        <v>2074</v>
      </c>
      <c r="D6" s="375" t="s">
        <v>2073</v>
      </c>
      <c r="F6" s="382">
        <v>44651</v>
      </c>
      <c r="G6" s="377">
        <f>F6-E5+1</f>
        <v>38</v>
      </c>
      <c r="H6" s="362">
        <f>G6</f>
        <v>38</v>
      </c>
      <c r="I6" s="378"/>
      <c r="J6" s="370"/>
      <c r="K6" s="379"/>
      <c r="L6" s="356"/>
      <c r="O6" s="380"/>
      <c r="P6" s="376">
        <v>44926</v>
      </c>
      <c r="Q6" s="381">
        <f>P6-O5+1</f>
        <v>270</v>
      </c>
    </row>
    <row r="7" spans="1:17" ht="15.75" hidden="1" customHeight="1">
      <c r="A7" s="374"/>
      <c r="B7" s="375" t="s">
        <v>2077</v>
      </c>
      <c r="C7" s="375" t="s">
        <v>2073</v>
      </c>
      <c r="D7" s="375" t="s">
        <v>2074</v>
      </c>
      <c r="E7" s="385">
        <v>44670</v>
      </c>
      <c r="F7" s="382"/>
      <c r="G7" s="375"/>
      <c r="H7" s="386"/>
      <c r="I7" s="387"/>
      <c r="J7" s="387"/>
      <c r="K7" s="388"/>
      <c r="L7" s="388">
        <v>2023</v>
      </c>
      <c r="N7" s="367"/>
      <c r="O7" s="384">
        <v>44927</v>
      </c>
      <c r="P7" s="368"/>
      <c r="Q7" s="369"/>
    </row>
    <row r="8" spans="1:17" ht="15.75" hidden="1" customHeight="1">
      <c r="A8" s="374"/>
      <c r="B8" s="375" t="s">
        <v>2078</v>
      </c>
      <c r="C8" s="375" t="s">
        <v>2074</v>
      </c>
      <c r="D8" s="375" t="s">
        <v>2079</v>
      </c>
      <c r="E8" s="382"/>
      <c r="F8" s="382">
        <v>44673</v>
      </c>
      <c r="G8" s="366"/>
      <c r="H8" s="389">
        <f>F8-E7+1</f>
        <v>4</v>
      </c>
      <c r="I8" s="370"/>
      <c r="J8" s="370"/>
      <c r="K8" s="379"/>
      <c r="L8" s="390">
        <f>SUM(H7:H23)</f>
        <v>167</v>
      </c>
      <c r="O8" s="391"/>
      <c r="P8" s="392">
        <v>45021</v>
      </c>
      <c r="Q8" s="381">
        <f>P8-O7+1</f>
        <v>95</v>
      </c>
    </row>
    <row r="9" spans="1:17" ht="15.75" hidden="1" customHeight="1">
      <c r="A9" s="374"/>
      <c r="B9" s="375" t="s">
        <v>2078</v>
      </c>
      <c r="C9" s="375" t="s">
        <v>2079</v>
      </c>
      <c r="D9" s="375" t="s">
        <v>2074</v>
      </c>
      <c r="E9" s="382">
        <v>44698</v>
      </c>
      <c r="F9" s="382"/>
      <c r="G9" s="375"/>
      <c r="H9" s="389"/>
      <c r="I9" s="378"/>
      <c r="J9" s="370"/>
      <c r="K9" s="379"/>
      <c r="L9" s="356"/>
      <c r="N9" s="367"/>
      <c r="O9" s="384">
        <v>45022</v>
      </c>
      <c r="P9" s="368"/>
      <c r="Q9" s="369"/>
    </row>
    <row r="10" spans="1:17" ht="15.75" hidden="1" customHeight="1">
      <c r="A10" s="374"/>
      <c r="B10" s="375" t="s">
        <v>2080</v>
      </c>
      <c r="C10" s="375" t="s">
        <v>2074</v>
      </c>
      <c r="D10" s="375" t="s">
        <v>2073</v>
      </c>
      <c r="E10" s="382"/>
      <c r="F10" s="385">
        <v>44702</v>
      </c>
      <c r="G10" s="366">
        <f>F10-E7+1</f>
        <v>33</v>
      </c>
      <c r="H10" s="389">
        <f>F10-E9+1</f>
        <v>5</v>
      </c>
      <c r="I10" s="378"/>
      <c r="J10" s="370"/>
      <c r="K10" s="379"/>
      <c r="L10" s="356"/>
      <c r="O10" s="391"/>
      <c r="P10" s="392">
        <v>45291</v>
      </c>
      <c r="Q10" s="381">
        <f>P10-O9+1</f>
        <v>270</v>
      </c>
    </row>
    <row r="11" spans="1:17" ht="15.75" hidden="1" customHeight="1">
      <c r="A11" s="374"/>
      <c r="B11" s="375" t="s">
        <v>2080</v>
      </c>
      <c r="C11" s="375" t="s">
        <v>2073</v>
      </c>
      <c r="D11" s="375" t="s">
        <v>2074</v>
      </c>
      <c r="E11" s="382">
        <v>44718</v>
      </c>
      <c r="F11" s="382"/>
      <c r="G11" s="366"/>
      <c r="H11" s="389"/>
      <c r="I11" s="378"/>
      <c r="J11" s="370"/>
      <c r="K11" s="379"/>
      <c r="L11" s="356"/>
    </row>
    <row r="12" spans="1:17" ht="15.75" hidden="1" customHeight="1">
      <c r="A12" s="374"/>
      <c r="B12" s="375" t="s">
        <v>2081</v>
      </c>
      <c r="C12" s="375" t="s">
        <v>2074</v>
      </c>
      <c r="D12" s="375" t="s">
        <v>2073</v>
      </c>
      <c r="E12" s="382"/>
      <c r="F12" s="382">
        <v>44750</v>
      </c>
      <c r="G12" s="366">
        <f>F12-E11+1</f>
        <v>33</v>
      </c>
      <c r="H12" s="389">
        <f>G12</f>
        <v>33</v>
      </c>
      <c r="I12" s="378"/>
      <c r="J12" s="370"/>
      <c r="K12" s="379"/>
      <c r="L12" s="356"/>
    </row>
    <row r="13" spans="1:17" ht="15.75" hidden="1" customHeight="1">
      <c r="A13" s="374"/>
      <c r="B13" s="375" t="s">
        <v>2082</v>
      </c>
      <c r="C13" s="375" t="s">
        <v>2073</v>
      </c>
      <c r="D13" s="375" t="s">
        <v>2074</v>
      </c>
      <c r="E13" s="382">
        <v>44768</v>
      </c>
      <c r="F13" s="382"/>
      <c r="G13" s="366"/>
      <c r="H13" s="389"/>
      <c r="I13" s="378"/>
      <c r="J13" s="370"/>
      <c r="K13" s="379"/>
      <c r="L13" s="356"/>
    </row>
    <row r="14" spans="1:17" ht="15.75" hidden="1" customHeight="1">
      <c r="A14" s="374"/>
      <c r="B14" s="375" t="s">
        <v>2083</v>
      </c>
      <c r="C14" s="375" t="s">
        <v>2074</v>
      </c>
      <c r="D14" s="375" t="s">
        <v>2073</v>
      </c>
      <c r="E14" s="382"/>
      <c r="F14" s="382">
        <v>44805</v>
      </c>
      <c r="G14" s="366">
        <f>F14-E13+1</f>
        <v>38</v>
      </c>
      <c r="H14" s="389">
        <f>G14</f>
        <v>38</v>
      </c>
      <c r="I14" s="378"/>
      <c r="J14" s="370"/>
      <c r="K14" s="379"/>
      <c r="L14" s="356"/>
    </row>
    <row r="15" spans="1:17" ht="15.75" hidden="1" customHeight="1">
      <c r="A15" s="374"/>
      <c r="B15" s="375" t="s">
        <v>2084</v>
      </c>
      <c r="C15" s="375" t="s">
        <v>2073</v>
      </c>
      <c r="D15" s="375" t="s">
        <v>2074</v>
      </c>
      <c r="E15" s="382">
        <v>44831</v>
      </c>
      <c r="F15" s="382"/>
      <c r="G15" s="366"/>
      <c r="H15" s="389"/>
      <c r="I15" s="378"/>
      <c r="J15" s="370"/>
      <c r="K15" s="379"/>
      <c r="L15" s="356"/>
    </row>
    <row r="16" spans="1:17" ht="15.75" hidden="1" customHeight="1">
      <c r="A16" s="374"/>
      <c r="B16" s="375" t="s">
        <v>2085</v>
      </c>
      <c r="C16" s="375" t="s">
        <v>2074</v>
      </c>
      <c r="D16" s="375" t="s">
        <v>2073</v>
      </c>
      <c r="E16" s="382"/>
      <c r="F16" s="382">
        <v>44854</v>
      </c>
      <c r="G16" s="366">
        <f>F16-E15+1</f>
        <v>24</v>
      </c>
      <c r="H16" s="389">
        <f>G16</f>
        <v>24</v>
      </c>
      <c r="I16" s="378"/>
      <c r="J16" s="370"/>
      <c r="K16" s="379"/>
      <c r="L16" s="356"/>
    </row>
    <row r="17" spans="1:20" ht="15.75" hidden="1" customHeight="1">
      <c r="A17" s="374"/>
      <c r="B17" s="375" t="s">
        <v>2085</v>
      </c>
      <c r="C17" s="375" t="s">
        <v>2073</v>
      </c>
      <c r="D17" s="375" t="s">
        <v>2074</v>
      </c>
      <c r="E17" s="382">
        <v>44887</v>
      </c>
      <c r="F17" s="382"/>
      <c r="G17" s="366"/>
      <c r="H17" s="389"/>
      <c r="I17" s="378"/>
      <c r="J17" s="370"/>
      <c r="K17" s="379"/>
      <c r="L17" s="356"/>
    </row>
    <row r="18" spans="1:20" ht="15.75" hidden="1" customHeight="1">
      <c r="A18" s="393"/>
      <c r="B18" s="394" t="s">
        <v>2086</v>
      </c>
      <c r="C18" s="394" t="s">
        <v>2074</v>
      </c>
      <c r="D18" s="394" t="s">
        <v>2073</v>
      </c>
      <c r="E18" s="395"/>
      <c r="F18" s="395">
        <v>44909</v>
      </c>
      <c r="G18" s="396">
        <f>F18-E17+1</f>
        <v>23</v>
      </c>
      <c r="H18" s="397">
        <f>G18</f>
        <v>23</v>
      </c>
      <c r="I18" s="398"/>
      <c r="J18" s="399"/>
      <c r="K18" s="400"/>
      <c r="L18" s="356"/>
    </row>
    <row r="19" spans="1:20" ht="15.75" customHeight="1" thickTop="1">
      <c r="A19" s="401">
        <v>2023</v>
      </c>
      <c r="B19" s="782"/>
      <c r="C19" s="375"/>
      <c r="D19" s="375"/>
      <c r="E19" s="698">
        <v>44927</v>
      </c>
      <c r="F19" s="698"/>
      <c r="G19" s="402">
        <f>SUM(G21:G39)</f>
        <v>141</v>
      </c>
      <c r="H19" s="788"/>
      <c r="I19" s="378"/>
      <c r="J19" s="370"/>
      <c r="K19" s="379"/>
      <c r="T19" s="356"/>
    </row>
    <row r="20" spans="1:20" ht="15.75" customHeight="1" thickBot="1">
      <c r="A20" s="374"/>
      <c r="B20" s="782" t="s">
        <v>2087</v>
      </c>
      <c r="C20" s="375" t="s">
        <v>2073</v>
      </c>
      <c r="D20" s="375" t="s">
        <v>2074</v>
      </c>
      <c r="E20" s="698">
        <v>44943</v>
      </c>
      <c r="F20" s="698"/>
      <c r="G20" s="468"/>
      <c r="H20" s="788"/>
      <c r="I20" s="378">
        <f>E20-E19</f>
        <v>16</v>
      </c>
      <c r="J20" s="370"/>
      <c r="K20" s="379"/>
      <c r="N20" s="356" t="s">
        <v>2088</v>
      </c>
      <c r="O20" s="356" t="s">
        <v>161</v>
      </c>
      <c r="P20" s="356" t="s">
        <v>654</v>
      </c>
      <c r="Q20" s="356" t="s">
        <v>649</v>
      </c>
      <c r="R20" s="356" t="s">
        <v>2089</v>
      </c>
      <c r="T20" s="356"/>
    </row>
    <row r="21" spans="1:20" ht="15.75" customHeight="1">
      <c r="A21" s="374" t="s">
        <v>2090</v>
      </c>
      <c r="B21" s="782" t="s">
        <v>2091</v>
      </c>
      <c r="C21" s="375" t="s">
        <v>2074</v>
      </c>
      <c r="D21" s="375" t="s">
        <v>2073</v>
      </c>
      <c r="E21" s="698"/>
      <c r="F21" s="698">
        <v>44959</v>
      </c>
      <c r="G21" s="375">
        <f>F21-E20+1</f>
        <v>17</v>
      </c>
      <c r="H21" s="403">
        <f>G21</f>
        <v>17</v>
      </c>
      <c r="I21" s="378"/>
      <c r="J21" s="370">
        <f>F21-E20</f>
        <v>16</v>
      </c>
      <c r="K21" s="379"/>
      <c r="M21" s="761" t="s">
        <v>2092</v>
      </c>
      <c r="N21" s="762">
        <f t="shared" ref="N21:N24" si="0">P21+O21</f>
        <v>95</v>
      </c>
      <c r="O21" s="762">
        <f>SUM(J19:J24)</f>
        <v>38</v>
      </c>
      <c r="P21" s="762">
        <f>SUM(I19:I24)</f>
        <v>57</v>
      </c>
      <c r="Q21" s="763">
        <f t="shared" ref="Q21:Q24" si="1">ROUND((O21/N21),2)</f>
        <v>0.4</v>
      </c>
      <c r="R21" s="764">
        <f t="shared" ref="R21:R24" si="2">100%-Q21</f>
        <v>0.6</v>
      </c>
      <c r="S21" s="760" t="s">
        <v>764</v>
      </c>
      <c r="T21" s="356"/>
    </row>
    <row r="22" spans="1:20" ht="15.75" customHeight="1" thickBot="1">
      <c r="A22" s="374"/>
      <c r="B22" s="782" t="s">
        <v>2091</v>
      </c>
      <c r="C22" s="375" t="s">
        <v>2073</v>
      </c>
      <c r="D22" s="375" t="s">
        <v>2074</v>
      </c>
      <c r="E22" s="698">
        <v>44978</v>
      </c>
      <c r="F22" s="698"/>
      <c r="G22" s="375"/>
      <c r="H22" s="788"/>
      <c r="I22" s="378">
        <f>E22-F21</f>
        <v>19</v>
      </c>
      <c r="J22" s="370"/>
      <c r="K22" s="379"/>
      <c r="L22" s="87">
        <f>SUM(O21:P22)</f>
        <v>305</v>
      </c>
      <c r="M22" s="765" t="s">
        <v>2093</v>
      </c>
      <c r="N22" s="766">
        <f t="shared" si="0"/>
        <v>210</v>
      </c>
      <c r="O22" s="766">
        <f>SUM(J25:J40)</f>
        <v>77</v>
      </c>
      <c r="P22" s="766">
        <f>SUM(I25:I40)</f>
        <v>133</v>
      </c>
      <c r="Q22" s="767">
        <f t="shared" si="1"/>
        <v>0.37</v>
      </c>
      <c r="R22" s="768">
        <f t="shared" si="2"/>
        <v>0.63</v>
      </c>
      <c r="S22" s="760" t="s">
        <v>765</v>
      </c>
      <c r="T22" s="356"/>
    </row>
    <row r="23" spans="1:20" ht="15.75" customHeight="1">
      <c r="A23" s="375"/>
      <c r="B23" s="782" t="s">
        <v>2094</v>
      </c>
      <c r="C23" s="375" t="s">
        <v>2074</v>
      </c>
      <c r="D23" s="375" t="s">
        <v>2073</v>
      </c>
      <c r="E23" s="698"/>
      <c r="F23" s="698">
        <v>45000</v>
      </c>
      <c r="G23" s="375">
        <f>F23-E22+1</f>
        <v>23</v>
      </c>
      <c r="H23" s="404">
        <f>G23</f>
        <v>23</v>
      </c>
      <c r="I23" s="378"/>
      <c r="J23" s="370">
        <f>F23-E22</f>
        <v>22</v>
      </c>
      <c r="K23" s="379"/>
      <c r="L23" s="87"/>
      <c r="M23" s="761" t="s">
        <v>505</v>
      </c>
      <c r="N23" s="762">
        <f t="shared" si="0"/>
        <v>91</v>
      </c>
      <c r="O23" s="762">
        <f>SUM(J41:J47)</f>
        <v>36</v>
      </c>
      <c r="P23" s="762">
        <f>SUM(I41:I47)</f>
        <v>55</v>
      </c>
      <c r="Q23" s="763">
        <f t="shared" si="1"/>
        <v>0.4</v>
      </c>
      <c r="R23" s="764">
        <f t="shared" si="2"/>
        <v>0.6</v>
      </c>
      <c r="S23" s="760" t="s">
        <v>2095</v>
      </c>
      <c r="T23" s="390">
        <f>183-L8</f>
        <v>16</v>
      </c>
    </row>
    <row r="24" spans="1:20" ht="15.75" customHeight="1" thickBot="1">
      <c r="A24" s="791"/>
      <c r="B24" s="786"/>
      <c r="C24" s="706"/>
      <c r="D24" s="706" t="s">
        <v>2073</v>
      </c>
      <c r="E24" s="707"/>
      <c r="F24" s="707">
        <v>45021</v>
      </c>
      <c r="G24" s="716"/>
      <c r="H24" s="708"/>
      <c r="I24" s="714">
        <f>F24-F23+1</f>
        <v>22</v>
      </c>
      <c r="J24" s="708"/>
      <c r="K24" s="406"/>
      <c r="L24" s="87">
        <f>SUM(O23:P24)</f>
        <v>286</v>
      </c>
      <c r="M24" s="765" t="s">
        <v>538</v>
      </c>
      <c r="N24" s="766">
        <f t="shared" si="0"/>
        <v>195</v>
      </c>
      <c r="O24" s="766">
        <f>SUM(J48:J71)</f>
        <v>78</v>
      </c>
      <c r="P24" s="766">
        <f>SUM(I48:I71)</f>
        <v>117</v>
      </c>
      <c r="Q24" s="767">
        <f t="shared" si="1"/>
        <v>0.4</v>
      </c>
      <c r="R24" s="768">
        <f t="shared" si="2"/>
        <v>0.6</v>
      </c>
      <c r="S24" s="760" t="s">
        <v>2096</v>
      </c>
      <c r="T24" s="356"/>
    </row>
    <row r="25" spans="1:20" ht="15.75" customHeight="1">
      <c r="A25" s="374"/>
      <c r="B25" s="782"/>
      <c r="C25" s="375"/>
      <c r="D25" s="375" t="s">
        <v>2073</v>
      </c>
      <c r="E25" s="698">
        <v>45022</v>
      </c>
      <c r="F25" s="698"/>
      <c r="G25" s="383"/>
      <c r="H25" s="370"/>
      <c r="I25" s="378"/>
      <c r="J25" s="986"/>
      <c r="K25" s="379"/>
      <c r="M25" s="770" t="s">
        <v>2243</v>
      </c>
      <c r="N25" s="771">
        <f>SUM(O25:P25)</f>
        <v>90</v>
      </c>
      <c r="O25" s="771">
        <f>SUM(J72:J78)</f>
        <v>58</v>
      </c>
      <c r="P25" s="771">
        <f>SUM(I72:I78)</f>
        <v>32</v>
      </c>
      <c r="Q25" s="772">
        <f>Q27</f>
        <v>0.62</v>
      </c>
      <c r="R25" s="773">
        <f t="shared" ref="R25:R26" si="3">100%-Q25</f>
        <v>0.38</v>
      </c>
      <c r="S25" s="769" t="s">
        <v>2293</v>
      </c>
    </row>
    <row r="26" spans="1:20" ht="15.75" customHeight="1" thickBot="1">
      <c r="A26" s="374"/>
      <c r="B26" s="782" t="s">
        <v>2097</v>
      </c>
      <c r="C26" s="375" t="s">
        <v>2073</v>
      </c>
      <c r="D26" s="375" t="s">
        <v>2074</v>
      </c>
      <c r="E26" s="698">
        <v>45027</v>
      </c>
      <c r="F26" s="698"/>
      <c r="G26" s="383"/>
      <c r="H26" s="370"/>
      <c r="I26" s="378">
        <f>E26-E25</f>
        <v>5</v>
      </c>
      <c r="J26" s="987"/>
      <c r="K26" s="379"/>
      <c r="L26">
        <f>SUM(N25:N26)</f>
        <v>279</v>
      </c>
      <c r="M26" s="774" t="s">
        <v>2244</v>
      </c>
      <c r="N26" s="775">
        <f>SUM(O26:P26)</f>
        <v>189</v>
      </c>
      <c r="O26" s="775">
        <f>SUM(J79:J108)</f>
        <v>114</v>
      </c>
      <c r="P26" s="775">
        <f>SUM(I79:I108)</f>
        <v>75</v>
      </c>
      <c r="Q26" s="776">
        <f>Q27</f>
        <v>0.62</v>
      </c>
      <c r="R26" s="777">
        <f t="shared" si="3"/>
        <v>0.38</v>
      </c>
      <c r="S26" s="769" t="s">
        <v>2294</v>
      </c>
    </row>
    <row r="27" spans="1:20" ht="15.75" customHeight="1">
      <c r="A27" s="374"/>
      <c r="B27" s="782" t="s">
        <v>2097</v>
      </c>
      <c r="C27" s="375" t="s">
        <v>2074</v>
      </c>
      <c r="D27" s="375" t="s">
        <v>2073</v>
      </c>
      <c r="E27" s="698"/>
      <c r="F27" s="698">
        <v>45043</v>
      </c>
      <c r="G27" s="383"/>
      <c r="H27" s="370"/>
      <c r="I27" s="378"/>
      <c r="J27" s="987">
        <f>F27-E26</f>
        <v>16</v>
      </c>
      <c r="K27" s="379"/>
      <c r="L27">
        <f>P27+O27</f>
        <v>279</v>
      </c>
      <c r="O27">
        <f>O25+O26</f>
        <v>172</v>
      </c>
      <c r="P27">
        <f>P25+P26</f>
        <v>107</v>
      </c>
      <c r="Q27" s="1048">
        <f>100%-R27</f>
        <v>0.62</v>
      </c>
      <c r="R27" s="1048">
        <f>ROUND((P25+P26)/L26,2)</f>
        <v>0.38</v>
      </c>
      <c r="S27" s="356"/>
    </row>
    <row r="28" spans="1:20" ht="15.75" customHeight="1">
      <c r="A28" s="374"/>
      <c r="B28" s="782" t="s">
        <v>2098</v>
      </c>
      <c r="C28" s="969" t="s">
        <v>2073</v>
      </c>
      <c r="D28" s="969" t="s">
        <v>2079</v>
      </c>
      <c r="E28" s="970">
        <v>45063</v>
      </c>
      <c r="F28" s="970"/>
      <c r="G28" s="383"/>
      <c r="H28" s="370"/>
      <c r="I28" s="949">
        <v>0</v>
      </c>
      <c r="J28" s="987"/>
      <c r="K28" s="379"/>
      <c r="M28" s="143" t="s">
        <v>2099</v>
      </c>
      <c r="S28" s="356"/>
    </row>
    <row r="29" spans="1:20" ht="15.75" customHeight="1">
      <c r="A29" s="374"/>
      <c r="B29" s="782" t="s">
        <v>2098</v>
      </c>
      <c r="C29" s="969" t="s">
        <v>2079</v>
      </c>
      <c r="D29" s="969" t="s">
        <v>2073</v>
      </c>
      <c r="E29" s="970"/>
      <c r="F29" s="970">
        <v>45084</v>
      </c>
      <c r="G29" s="383">
        <f>F29-E28+1</f>
        <v>22</v>
      </c>
      <c r="H29" s="370"/>
      <c r="I29" s="378"/>
      <c r="J29" s="987"/>
      <c r="K29" s="379">
        <f>F29-E28</f>
        <v>21</v>
      </c>
      <c r="M29" s="143" t="s">
        <v>2100</v>
      </c>
      <c r="S29" s="356"/>
    </row>
    <row r="30" spans="1:20" ht="15.75" customHeight="1">
      <c r="A30" s="374"/>
      <c r="B30" s="782" t="s">
        <v>2101</v>
      </c>
      <c r="C30" s="375" t="s">
        <v>2073</v>
      </c>
      <c r="D30" s="375" t="s">
        <v>2074</v>
      </c>
      <c r="E30" s="698">
        <v>45097</v>
      </c>
      <c r="F30" s="698"/>
      <c r="G30" s="383"/>
      <c r="H30" s="370"/>
      <c r="I30" s="378">
        <f>E30-F29</f>
        <v>13</v>
      </c>
      <c r="J30" s="987"/>
      <c r="K30" s="379"/>
      <c r="S30" s="356"/>
    </row>
    <row r="31" spans="1:20" ht="15.75" customHeight="1">
      <c r="A31" s="374"/>
      <c r="B31" s="782" t="s">
        <v>2101</v>
      </c>
      <c r="C31" s="375" t="s">
        <v>2074</v>
      </c>
      <c r="D31" s="375" t="s">
        <v>2073</v>
      </c>
      <c r="E31" s="698"/>
      <c r="F31" s="698">
        <v>45114</v>
      </c>
      <c r="G31" s="383">
        <f>F31-E30+1</f>
        <v>18</v>
      </c>
      <c r="H31" s="370">
        <f>G31</f>
        <v>18</v>
      </c>
      <c r="I31" s="378"/>
      <c r="J31" s="987">
        <f>F31-E30</f>
        <v>17</v>
      </c>
      <c r="K31" s="379"/>
      <c r="S31" s="356"/>
    </row>
    <row r="32" spans="1:20" ht="15.75" customHeight="1">
      <c r="A32" s="374"/>
      <c r="B32" s="782" t="s">
        <v>2102</v>
      </c>
      <c r="C32" s="375" t="s">
        <v>2073</v>
      </c>
      <c r="D32" s="375" t="s">
        <v>2074</v>
      </c>
      <c r="E32" s="698">
        <v>45130</v>
      </c>
      <c r="F32" s="698"/>
      <c r="G32" s="383"/>
      <c r="H32" s="370"/>
      <c r="I32" s="378">
        <f>E32-F31</f>
        <v>16</v>
      </c>
      <c r="J32" s="987"/>
      <c r="K32" s="379"/>
      <c r="S32" s="356"/>
    </row>
    <row r="33" spans="1:16" ht="15.75" customHeight="1">
      <c r="A33" s="374" t="s">
        <v>2103</v>
      </c>
      <c r="B33" s="782" t="s">
        <v>2104</v>
      </c>
      <c r="C33" s="375" t="s">
        <v>2074</v>
      </c>
      <c r="D33" s="375" t="s">
        <v>2073</v>
      </c>
      <c r="E33" s="698"/>
      <c r="F33" s="698">
        <v>45135</v>
      </c>
      <c r="G33" s="383">
        <f>F33-E32+1</f>
        <v>6</v>
      </c>
      <c r="H33" s="370">
        <f>G33</f>
        <v>6</v>
      </c>
      <c r="I33" s="378"/>
      <c r="J33" s="987">
        <f>F33-E32</f>
        <v>5</v>
      </c>
      <c r="K33" s="379"/>
      <c r="L33" s="356"/>
    </row>
    <row r="34" spans="1:16" ht="15.75" customHeight="1">
      <c r="A34" s="374"/>
      <c r="B34" s="782" t="s">
        <v>2105</v>
      </c>
      <c r="C34" s="969" t="s">
        <v>2073</v>
      </c>
      <c r="D34" s="969" t="s">
        <v>2106</v>
      </c>
      <c r="E34" s="970">
        <v>45141</v>
      </c>
      <c r="F34" s="970"/>
      <c r="G34" s="383"/>
      <c r="H34" s="370"/>
      <c r="I34" s="949">
        <v>0</v>
      </c>
      <c r="J34" s="987"/>
      <c r="K34" s="379"/>
      <c r="L34" s="356"/>
    </row>
    <row r="35" spans="1:16" ht="15.75" customHeight="1">
      <c r="A35" s="374"/>
      <c r="B35" s="782" t="s">
        <v>2105</v>
      </c>
      <c r="C35" s="969" t="s">
        <v>2106</v>
      </c>
      <c r="D35" s="969" t="s">
        <v>2073</v>
      </c>
      <c r="E35" s="970"/>
      <c r="F35" s="970">
        <v>45154</v>
      </c>
      <c r="G35" s="383">
        <f>F35-E34+1</f>
        <v>14</v>
      </c>
      <c r="H35" s="370"/>
      <c r="I35" s="378"/>
      <c r="J35" s="987"/>
      <c r="K35" s="379">
        <f>F35-E34</f>
        <v>13</v>
      </c>
      <c r="L35" s="356"/>
    </row>
    <row r="36" spans="1:16" ht="15.75" customHeight="1">
      <c r="A36" s="375"/>
      <c r="B36" s="782" t="s">
        <v>2107</v>
      </c>
      <c r="C36" s="375" t="s">
        <v>2073</v>
      </c>
      <c r="D36" s="375" t="s">
        <v>2074</v>
      </c>
      <c r="E36" s="698">
        <v>45159</v>
      </c>
      <c r="F36" s="698"/>
      <c r="G36" s="375"/>
      <c r="H36" s="370"/>
      <c r="I36" s="378">
        <f>E36-F35</f>
        <v>5</v>
      </c>
      <c r="J36" s="987"/>
      <c r="K36" s="379"/>
      <c r="L36" s="356"/>
    </row>
    <row r="37" spans="1:16" ht="15.75" customHeight="1">
      <c r="A37" s="375"/>
      <c r="B37" s="782" t="s">
        <v>2108</v>
      </c>
      <c r="C37" s="375" t="s">
        <v>2074</v>
      </c>
      <c r="D37" s="375" t="s">
        <v>2073</v>
      </c>
      <c r="E37" s="698"/>
      <c r="F37" s="698">
        <v>45168</v>
      </c>
      <c r="G37" s="383">
        <f>F37-E36+1</f>
        <v>10</v>
      </c>
      <c r="H37" s="370">
        <f>G37</f>
        <v>10</v>
      </c>
      <c r="I37" s="378"/>
      <c r="J37" s="987">
        <f>F37-E36</f>
        <v>9</v>
      </c>
      <c r="K37" s="379"/>
      <c r="L37" s="356"/>
    </row>
    <row r="38" spans="1:16" ht="15.75" customHeight="1">
      <c r="A38" s="375"/>
      <c r="B38" s="782" t="s">
        <v>2109</v>
      </c>
      <c r="C38" s="375" t="s">
        <v>2073</v>
      </c>
      <c r="D38" s="375" t="s">
        <v>2074</v>
      </c>
      <c r="E38" s="698">
        <v>45202</v>
      </c>
      <c r="F38" s="698"/>
      <c r="G38" s="375"/>
      <c r="H38" s="370"/>
      <c r="I38" s="378">
        <f>E38-F37</f>
        <v>34</v>
      </c>
      <c r="J38" s="987"/>
      <c r="K38" s="379"/>
      <c r="L38" s="356"/>
    </row>
    <row r="39" spans="1:16" ht="15.75" customHeight="1">
      <c r="A39" s="375"/>
      <c r="B39" s="782" t="s">
        <v>2110</v>
      </c>
      <c r="C39" s="375" t="s">
        <v>2074</v>
      </c>
      <c r="D39" s="375" t="s">
        <v>2073</v>
      </c>
      <c r="E39" s="698"/>
      <c r="F39" s="698">
        <v>45232</v>
      </c>
      <c r="G39" s="375">
        <f>F39-E38+1</f>
        <v>31</v>
      </c>
      <c r="H39" s="356">
        <f>G39</f>
        <v>31</v>
      </c>
      <c r="I39" s="378"/>
      <c r="J39" s="987">
        <f>F39-E38</f>
        <v>30</v>
      </c>
      <c r="K39" s="379"/>
      <c r="L39" s="356"/>
    </row>
    <row r="40" spans="1:16" ht="15.75" customHeight="1" thickBot="1">
      <c r="A40" s="702"/>
      <c r="B40" s="784"/>
      <c r="C40" s="702" t="s">
        <v>2073</v>
      </c>
      <c r="D40" s="702"/>
      <c r="E40" s="703">
        <v>45291</v>
      </c>
      <c r="F40" s="703"/>
      <c r="G40" s="702"/>
      <c r="H40" s="704"/>
      <c r="I40" s="719">
        <f>E40-F39+1</f>
        <v>60</v>
      </c>
      <c r="J40" s="988"/>
      <c r="K40" s="758"/>
      <c r="L40" s="705">
        <f>SUM(I19:K40)</f>
        <v>339</v>
      </c>
      <c r="M40" s="759" t="s">
        <v>2111</v>
      </c>
    </row>
    <row r="41" spans="1:16" ht="15.75" customHeight="1">
      <c r="A41" s="401">
        <v>2024</v>
      </c>
      <c r="B41" s="790"/>
      <c r="C41" s="356" t="s">
        <v>2073</v>
      </c>
      <c r="D41" s="468"/>
      <c r="E41" s="698">
        <v>45292</v>
      </c>
      <c r="F41" s="698"/>
      <c r="G41" s="402">
        <f>SUM(G43:G69)</f>
        <v>173</v>
      </c>
      <c r="H41" s="370"/>
      <c r="I41" s="378"/>
      <c r="J41" s="987"/>
      <c r="K41" s="379"/>
      <c r="L41" s="356"/>
    </row>
    <row r="42" spans="1:16" ht="15.75" customHeight="1">
      <c r="A42" s="375"/>
      <c r="B42" s="782" t="s">
        <v>2110</v>
      </c>
      <c r="C42" s="375" t="s">
        <v>2073</v>
      </c>
      <c r="D42" s="375" t="s">
        <v>2074</v>
      </c>
      <c r="E42" s="698">
        <v>45299</v>
      </c>
      <c r="F42" s="698"/>
      <c r="G42" s="375"/>
      <c r="H42" s="370"/>
      <c r="I42" s="378">
        <f>E42-E41</f>
        <v>7</v>
      </c>
      <c r="J42" s="987"/>
      <c r="K42" s="379"/>
      <c r="L42" s="356"/>
    </row>
    <row r="43" spans="1:16" ht="15.75" customHeight="1">
      <c r="A43" s="375"/>
      <c r="B43" s="782" t="s">
        <v>2112</v>
      </c>
      <c r="C43" s="375" t="s">
        <v>2074</v>
      </c>
      <c r="D43" s="375" t="s">
        <v>2073</v>
      </c>
      <c r="E43" s="698"/>
      <c r="F43" s="698">
        <v>45317</v>
      </c>
      <c r="G43" s="383">
        <f>F43-E42+1</f>
        <v>19</v>
      </c>
      <c r="H43" s="370">
        <f>G43</f>
        <v>19</v>
      </c>
      <c r="I43" s="378"/>
      <c r="J43" s="987">
        <f>F43-E42</f>
        <v>18</v>
      </c>
      <c r="K43" s="379"/>
      <c r="L43" s="356"/>
    </row>
    <row r="44" spans="1:16" ht="15.75" customHeight="1">
      <c r="A44" s="375" t="s">
        <v>2113</v>
      </c>
      <c r="B44" s="782" t="s">
        <v>2112</v>
      </c>
      <c r="C44" s="375" t="s">
        <v>2073</v>
      </c>
      <c r="D44" s="375" t="s">
        <v>2074</v>
      </c>
      <c r="E44" s="698">
        <v>45341</v>
      </c>
      <c r="F44" s="698"/>
      <c r="G44" s="375"/>
      <c r="H44" s="370"/>
      <c r="I44" s="378">
        <f>E44-F43</f>
        <v>24</v>
      </c>
      <c r="J44" s="987"/>
      <c r="K44" s="379"/>
      <c r="L44" s="356"/>
    </row>
    <row r="45" spans="1:16" ht="15.75" customHeight="1">
      <c r="A45" s="375"/>
      <c r="B45" s="782" t="s">
        <v>2114</v>
      </c>
      <c r="C45" s="375" t="s">
        <v>2074</v>
      </c>
      <c r="D45" s="375" t="s">
        <v>2073</v>
      </c>
      <c r="E45" s="698"/>
      <c r="F45" s="698">
        <v>45359</v>
      </c>
      <c r="G45" s="383">
        <f>F45-E44+1</f>
        <v>19</v>
      </c>
      <c r="H45" s="370">
        <f>G45</f>
        <v>19</v>
      </c>
      <c r="I45" s="378"/>
      <c r="J45" s="987">
        <f>F45-E44</f>
        <v>18</v>
      </c>
      <c r="K45" s="379"/>
      <c r="L45" s="356"/>
      <c r="O45" s="407"/>
      <c r="P45" s="407"/>
    </row>
    <row r="46" spans="1:16" ht="15.75" customHeight="1">
      <c r="A46" s="375"/>
      <c r="B46" s="782" t="s">
        <v>2114</v>
      </c>
      <c r="C46" s="375" t="s">
        <v>2073</v>
      </c>
      <c r="D46" s="375" t="s">
        <v>2074</v>
      </c>
      <c r="E46" s="698">
        <v>45383</v>
      </c>
      <c r="F46" s="698"/>
      <c r="G46" s="375"/>
      <c r="H46" s="370"/>
      <c r="I46" s="378">
        <f>E46-F45</f>
        <v>24</v>
      </c>
      <c r="J46" s="987"/>
      <c r="K46" s="379"/>
      <c r="L46" s="356"/>
    </row>
    <row r="47" spans="1:16" ht="15.75" customHeight="1">
      <c r="A47" s="405"/>
      <c r="B47" s="783" t="s">
        <v>2115</v>
      </c>
      <c r="C47" s="971" t="s">
        <v>2074</v>
      </c>
      <c r="D47" s="972" t="s">
        <v>2079</v>
      </c>
      <c r="E47" s="973"/>
      <c r="F47" s="973">
        <v>45387</v>
      </c>
      <c r="G47" s="706"/>
      <c r="H47" s="708">
        <f>F47-E46+1</f>
        <v>5</v>
      </c>
      <c r="I47" s="714"/>
      <c r="J47" s="989">
        <v>0</v>
      </c>
      <c r="K47" s="709"/>
      <c r="L47" s="710">
        <f>SUM(I25:K47)</f>
        <v>335</v>
      </c>
      <c r="M47" s="720" t="s">
        <v>2116</v>
      </c>
    </row>
    <row r="48" spans="1:16" ht="15.75" customHeight="1">
      <c r="A48" s="375"/>
      <c r="B48" s="782"/>
      <c r="C48" s="969"/>
      <c r="D48" s="969"/>
      <c r="E48" s="970">
        <v>45388</v>
      </c>
      <c r="F48" s="970"/>
      <c r="G48" s="375"/>
      <c r="H48" s="370"/>
      <c r="I48" s="378"/>
      <c r="J48" s="987"/>
      <c r="K48" s="379">
        <f>E48-F47</f>
        <v>1</v>
      </c>
      <c r="L48" s="356"/>
    </row>
    <row r="49" spans="1:12" ht="15.75" customHeight="1">
      <c r="A49" s="375"/>
      <c r="B49" s="782" t="s">
        <v>2115</v>
      </c>
      <c r="C49" s="969" t="s">
        <v>2079</v>
      </c>
      <c r="D49" s="969" t="s">
        <v>2074</v>
      </c>
      <c r="E49" s="970"/>
      <c r="F49" s="970">
        <v>45402</v>
      </c>
      <c r="G49" s="375"/>
      <c r="H49" s="370"/>
      <c r="I49" s="378"/>
      <c r="J49" s="990">
        <v>0</v>
      </c>
      <c r="K49" s="379">
        <f>F49-E48</f>
        <v>14</v>
      </c>
      <c r="L49" s="356"/>
    </row>
    <row r="50" spans="1:12" ht="15.75" customHeight="1">
      <c r="A50" s="375"/>
      <c r="B50" s="782" t="s">
        <v>2117</v>
      </c>
      <c r="C50" s="375" t="s">
        <v>2118</v>
      </c>
      <c r="D50" s="375" t="s">
        <v>2119</v>
      </c>
      <c r="E50" s="698"/>
      <c r="F50" s="698">
        <v>45405</v>
      </c>
      <c r="G50" s="383"/>
      <c r="H50" s="370">
        <f>F50-F49+1</f>
        <v>4</v>
      </c>
      <c r="I50" s="378"/>
      <c r="J50" s="990">
        <v>0</v>
      </c>
      <c r="K50" s="379"/>
      <c r="L50" s="356"/>
    </row>
    <row r="51" spans="1:12" ht="15.75" customHeight="1">
      <c r="A51" s="375"/>
      <c r="B51" s="782" t="s">
        <v>2120</v>
      </c>
      <c r="C51" s="375" t="s">
        <v>2119</v>
      </c>
      <c r="D51" s="375" t="s">
        <v>2073</v>
      </c>
      <c r="E51" s="698"/>
      <c r="F51" s="698">
        <v>45406</v>
      </c>
      <c r="G51" s="383">
        <f>F51-E46+1</f>
        <v>24</v>
      </c>
      <c r="H51" s="370"/>
      <c r="I51" s="378"/>
      <c r="J51" s="987"/>
      <c r="K51" s="379">
        <f>F51-F50</f>
        <v>1</v>
      </c>
      <c r="L51" s="356"/>
    </row>
    <row r="52" spans="1:12" ht="15.75" customHeight="1">
      <c r="A52" s="375"/>
      <c r="B52" s="782" t="s">
        <v>2121</v>
      </c>
      <c r="C52" s="969" t="s">
        <v>2073</v>
      </c>
      <c r="D52" s="969" t="s">
        <v>2122</v>
      </c>
      <c r="E52" s="970">
        <v>45409</v>
      </c>
      <c r="F52" s="970"/>
      <c r="G52" s="383"/>
      <c r="H52" s="370"/>
      <c r="I52" s="378">
        <f>E52-F51</f>
        <v>3</v>
      </c>
      <c r="J52" s="987"/>
      <c r="K52" s="379"/>
      <c r="L52" s="356"/>
    </row>
    <row r="53" spans="1:12" ht="15.75" customHeight="1">
      <c r="A53" s="375"/>
      <c r="B53" s="782" t="s">
        <v>2121</v>
      </c>
      <c r="C53" s="969" t="s">
        <v>2122</v>
      </c>
      <c r="D53" s="969" t="s">
        <v>2073</v>
      </c>
      <c r="E53" s="970"/>
      <c r="F53" s="970">
        <v>45425</v>
      </c>
      <c r="G53" s="383">
        <f>F53-E52+1</f>
        <v>17</v>
      </c>
      <c r="H53" s="370"/>
      <c r="I53" s="378"/>
      <c r="J53" s="990">
        <v>0</v>
      </c>
      <c r="K53" s="379">
        <f>F53-E52</f>
        <v>16</v>
      </c>
      <c r="L53" s="356"/>
    </row>
    <row r="54" spans="1:12" ht="15.75" customHeight="1">
      <c r="A54" s="375"/>
      <c r="B54" s="782" t="s">
        <v>2123</v>
      </c>
      <c r="C54" s="375" t="s">
        <v>2073</v>
      </c>
      <c r="D54" s="375" t="s">
        <v>2074</v>
      </c>
      <c r="E54" s="698">
        <v>45432</v>
      </c>
      <c r="F54" s="698"/>
      <c r="G54" s="375"/>
      <c r="H54" s="370"/>
      <c r="I54" s="378">
        <f>E54-F53</f>
        <v>7</v>
      </c>
      <c r="J54" s="987"/>
      <c r="K54" s="379"/>
      <c r="L54" s="356"/>
    </row>
    <row r="55" spans="1:12" ht="15.75" customHeight="1">
      <c r="A55" s="375"/>
      <c r="B55" s="782" t="s">
        <v>2123</v>
      </c>
      <c r="C55" s="375" t="s">
        <v>2074</v>
      </c>
      <c r="D55" s="375" t="s">
        <v>2073</v>
      </c>
      <c r="E55" s="698"/>
      <c r="F55" s="698">
        <v>45450</v>
      </c>
      <c r="G55" s="383">
        <f>F55-E54+1</f>
        <v>19</v>
      </c>
      <c r="H55" s="370">
        <f>G55</f>
        <v>19</v>
      </c>
      <c r="I55" s="378"/>
      <c r="J55" s="987">
        <f>F55-E54</f>
        <v>18</v>
      </c>
      <c r="K55" s="379"/>
      <c r="L55" s="356"/>
    </row>
    <row r="56" spans="1:12" ht="15.75" customHeight="1">
      <c r="A56" s="375" t="s">
        <v>2124</v>
      </c>
      <c r="B56" s="782" t="s">
        <v>2125</v>
      </c>
      <c r="C56" s="375" t="s">
        <v>2073</v>
      </c>
      <c r="D56" s="375" t="s">
        <v>2074</v>
      </c>
      <c r="E56" s="698">
        <v>45474</v>
      </c>
      <c r="F56" s="698"/>
      <c r="G56" s="375"/>
      <c r="H56" s="370"/>
      <c r="I56" s="378">
        <f>E56-F55</f>
        <v>24</v>
      </c>
      <c r="J56" s="987"/>
      <c r="K56" s="379"/>
      <c r="L56" s="356"/>
    </row>
    <row r="57" spans="1:12" ht="15.75" customHeight="1">
      <c r="A57" s="375"/>
      <c r="B57" s="782" t="s">
        <v>2125</v>
      </c>
      <c r="C57" s="375" t="s">
        <v>2074</v>
      </c>
      <c r="D57" s="375" t="s">
        <v>2073</v>
      </c>
      <c r="E57" s="698"/>
      <c r="F57" s="698">
        <v>45492</v>
      </c>
      <c r="G57" s="383">
        <f>F57-E56+1</f>
        <v>19</v>
      </c>
      <c r="H57" s="370">
        <f>G57</f>
        <v>19</v>
      </c>
      <c r="I57" s="378"/>
      <c r="J57" s="987">
        <f>F57-E56</f>
        <v>18</v>
      </c>
      <c r="K57" s="379"/>
      <c r="L57" s="356"/>
    </row>
    <row r="58" spans="1:12" ht="15.75" customHeight="1">
      <c r="A58" s="375"/>
      <c r="B58" s="782" t="s">
        <v>2126</v>
      </c>
      <c r="C58" s="375" t="s">
        <v>2073</v>
      </c>
      <c r="D58" s="375" t="s">
        <v>2074</v>
      </c>
      <c r="E58" s="698">
        <v>45504</v>
      </c>
      <c r="F58" s="698"/>
      <c r="G58" s="375"/>
      <c r="H58" s="370"/>
      <c r="I58" s="378">
        <f>E58-F57</f>
        <v>12</v>
      </c>
      <c r="J58" s="987"/>
      <c r="K58" s="379"/>
      <c r="L58" s="356"/>
    </row>
    <row r="59" spans="1:12" ht="15.75" customHeight="1">
      <c r="A59" s="375"/>
      <c r="B59" s="782" t="s">
        <v>2126</v>
      </c>
      <c r="C59" s="375" t="s">
        <v>2074</v>
      </c>
      <c r="D59" s="375" t="s">
        <v>2073</v>
      </c>
      <c r="E59" s="698"/>
      <c r="F59" s="698">
        <v>45506</v>
      </c>
      <c r="G59" s="383">
        <f>F59-E58+1</f>
        <v>3</v>
      </c>
      <c r="H59" s="370">
        <f>G59</f>
        <v>3</v>
      </c>
      <c r="I59" s="378"/>
      <c r="J59" s="987">
        <f>F59-E58</f>
        <v>2</v>
      </c>
      <c r="K59" s="379"/>
      <c r="L59" s="356"/>
    </row>
    <row r="60" spans="1:12" ht="15.75" customHeight="1">
      <c r="A60" s="375"/>
      <c r="B60" s="782" t="s">
        <v>2127</v>
      </c>
      <c r="C60" s="375" t="s">
        <v>2073</v>
      </c>
      <c r="D60" s="375" t="s">
        <v>2074</v>
      </c>
      <c r="E60" s="698">
        <v>45516</v>
      </c>
      <c r="F60" s="698"/>
      <c r="G60" s="375"/>
      <c r="H60" s="370"/>
      <c r="I60" s="378">
        <f>E60-F59</f>
        <v>10</v>
      </c>
      <c r="J60" s="987"/>
      <c r="K60" s="379"/>
      <c r="L60" s="356"/>
    </row>
    <row r="61" spans="1:12" ht="15.75" customHeight="1">
      <c r="A61" s="375"/>
      <c r="B61" s="782" t="s">
        <v>2127</v>
      </c>
      <c r="C61" s="375" t="s">
        <v>2074</v>
      </c>
      <c r="D61" s="375" t="s">
        <v>2073</v>
      </c>
      <c r="E61" s="698"/>
      <c r="F61" s="698">
        <v>45534</v>
      </c>
      <c r="G61" s="383">
        <f>F61-E60+1</f>
        <v>19</v>
      </c>
      <c r="H61" s="370">
        <f>G61</f>
        <v>19</v>
      </c>
      <c r="I61" s="378"/>
      <c r="J61" s="987">
        <f>F61-E60</f>
        <v>18</v>
      </c>
      <c r="K61" s="379"/>
      <c r="L61" s="356"/>
    </row>
    <row r="62" spans="1:12" ht="15.75" customHeight="1">
      <c r="A62" s="375"/>
      <c r="B62" s="782" t="s">
        <v>2128</v>
      </c>
      <c r="C62" s="969" t="s">
        <v>2073</v>
      </c>
      <c r="D62" s="969" t="s">
        <v>2106</v>
      </c>
      <c r="E62" s="970">
        <v>45540</v>
      </c>
      <c r="F62" s="970"/>
      <c r="G62" s="375"/>
      <c r="H62" s="370"/>
      <c r="I62" s="378">
        <f>E62-F61</f>
        <v>6</v>
      </c>
      <c r="J62" s="987"/>
      <c r="K62" s="379"/>
      <c r="L62" s="356"/>
    </row>
    <row r="63" spans="1:12" ht="15.75" customHeight="1">
      <c r="A63" s="375"/>
      <c r="B63" s="782" t="s">
        <v>2128</v>
      </c>
      <c r="C63" s="969" t="s">
        <v>2106</v>
      </c>
      <c r="D63" s="969" t="s">
        <v>2073</v>
      </c>
      <c r="E63" s="970"/>
      <c r="F63" s="970">
        <v>45554</v>
      </c>
      <c r="G63" s="383">
        <f>F63-E62+1</f>
        <v>15</v>
      </c>
      <c r="H63" s="370"/>
      <c r="I63" s="378"/>
      <c r="J63" s="990">
        <v>0</v>
      </c>
      <c r="K63" s="379">
        <f>F63-E62</f>
        <v>14</v>
      </c>
      <c r="L63" s="356"/>
    </row>
    <row r="64" spans="1:12" ht="15.75" customHeight="1">
      <c r="A64" s="375"/>
      <c r="B64" s="782" t="s">
        <v>2129</v>
      </c>
      <c r="C64" s="375" t="s">
        <v>2073</v>
      </c>
      <c r="D64" s="375" t="s">
        <v>2074</v>
      </c>
      <c r="E64" s="698">
        <v>45566</v>
      </c>
      <c r="F64" s="698"/>
      <c r="G64" s="375"/>
      <c r="H64" s="370"/>
      <c r="I64" s="378">
        <f>E64-F63</f>
        <v>12</v>
      </c>
      <c r="J64" s="987"/>
      <c r="K64" s="379"/>
      <c r="L64" s="356"/>
    </row>
    <row r="65" spans="1:13" ht="15.75" customHeight="1">
      <c r="A65" s="375"/>
      <c r="B65" s="782" t="s">
        <v>2129</v>
      </c>
      <c r="C65" s="375" t="s">
        <v>2074</v>
      </c>
      <c r="D65" s="375" t="s">
        <v>2073</v>
      </c>
      <c r="E65" s="698"/>
      <c r="F65" s="698">
        <v>45584</v>
      </c>
      <c r="G65" s="383">
        <f>F65-E64+1</f>
        <v>19</v>
      </c>
      <c r="H65" s="370">
        <f>G65</f>
        <v>19</v>
      </c>
      <c r="I65" s="378"/>
      <c r="J65" s="987">
        <f>F65-E64</f>
        <v>18</v>
      </c>
      <c r="K65" s="379"/>
      <c r="L65" s="356"/>
      <c r="M65" s="356"/>
    </row>
    <row r="66" spans="1:13" ht="15.75" customHeight="1">
      <c r="A66" s="375"/>
      <c r="B66" s="782" t="s">
        <v>2130</v>
      </c>
      <c r="C66" s="969" t="s">
        <v>2073</v>
      </c>
      <c r="D66" s="969" t="s">
        <v>2079</v>
      </c>
      <c r="E66" s="970">
        <v>45607</v>
      </c>
      <c r="F66" s="970"/>
      <c r="G66" s="375"/>
      <c r="H66" s="370"/>
      <c r="I66" s="378">
        <f>E66-F65</f>
        <v>23</v>
      </c>
      <c r="J66" s="987"/>
      <c r="K66" s="379"/>
      <c r="L66" s="356"/>
    </row>
    <row r="67" spans="1:13" ht="15.75" customHeight="1">
      <c r="A67" s="375"/>
      <c r="B67" s="782" t="s">
        <v>2130</v>
      </c>
      <c r="C67" s="969" t="s">
        <v>2131</v>
      </c>
      <c r="D67" s="969" t="s">
        <v>2073</v>
      </c>
      <c r="E67" s="970"/>
      <c r="F67" s="970">
        <v>45623</v>
      </c>
      <c r="G67" s="375"/>
      <c r="H67" s="370"/>
      <c r="I67" s="378"/>
      <c r="J67" s="990">
        <v>0</v>
      </c>
      <c r="K67" s="379">
        <f>F67-E66</f>
        <v>16</v>
      </c>
      <c r="L67" s="356"/>
    </row>
    <row r="68" spans="1:13" ht="15.75" customHeight="1">
      <c r="A68" s="375"/>
      <c r="B68" s="782" t="s">
        <v>2132</v>
      </c>
      <c r="C68" s="375" t="s">
        <v>2073</v>
      </c>
      <c r="D68" s="375" t="s">
        <v>2074</v>
      </c>
      <c r="E68" s="698">
        <v>45635</v>
      </c>
      <c r="F68" s="698"/>
      <c r="G68" s="375"/>
      <c r="H68" s="370"/>
      <c r="I68" s="378">
        <f>E68-F67</f>
        <v>12</v>
      </c>
      <c r="J68" s="987"/>
      <c r="K68" s="379"/>
      <c r="L68" s="356"/>
    </row>
    <row r="69" spans="1:13" ht="15.75" customHeight="1">
      <c r="A69" s="375"/>
      <c r="B69" s="782" t="s">
        <v>2132</v>
      </c>
      <c r="C69" s="375" t="s">
        <v>2074</v>
      </c>
      <c r="D69" s="375" t="s">
        <v>2073</v>
      </c>
      <c r="E69" s="698"/>
      <c r="F69" s="698">
        <v>45639</v>
      </c>
      <c r="G69" s="375"/>
      <c r="H69" s="370"/>
      <c r="I69" s="378"/>
      <c r="J69" s="987">
        <f>F69-E68</f>
        <v>4</v>
      </c>
      <c r="K69" s="379"/>
      <c r="L69" s="356"/>
    </row>
    <row r="70" spans="1:13" ht="15.75" customHeight="1">
      <c r="A70" s="375"/>
      <c r="B70" s="782" t="s">
        <v>2133</v>
      </c>
      <c r="C70" s="969" t="s">
        <v>2073</v>
      </c>
      <c r="D70" s="969" t="s">
        <v>2122</v>
      </c>
      <c r="E70" s="970">
        <v>45647</v>
      </c>
      <c r="F70" s="970"/>
      <c r="G70" s="375"/>
      <c r="H70" s="370"/>
      <c r="I70" s="378">
        <f>E70-F69</f>
        <v>8</v>
      </c>
      <c r="J70" s="987"/>
      <c r="K70" s="379"/>
      <c r="L70" s="356"/>
    </row>
    <row r="71" spans="1:13" ht="15.75" customHeight="1" thickBot="1">
      <c r="A71" s="702"/>
      <c r="B71" s="784"/>
      <c r="C71" s="974"/>
      <c r="D71" s="974"/>
      <c r="E71" s="975"/>
      <c r="F71" s="975">
        <v>45657</v>
      </c>
      <c r="G71" s="702"/>
      <c r="H71" s="704"/>
      <c r="I71" s="719"/>
      <c r="J71" s="991">
        <v>0</v>
      </c>
      <c r="K71" s="758">
        <f>F71-E70</f>
        <v>10</v>
      </c>
      <c r="L71" s="705">
        <f>SUM(I41:J71)</f>
        <v>286</v>
      </c>
      <c r="M71" s="721" t="s">
        <v>2111</v>
      </c>
    </row>
    <row r="72" spans="1:13" ht="15.75" customHeight="1">
      <c r="A72" s="401">
        <v>2025</v>
      </c>
      <c r="B72" s="790"/>
      <c r="C72" s="976"/>
      <c r="D72" s="976"/>
      <c r="E72" s="977">
        <v>45658</v>
      </c>
      <c r="F72" s="978"/>
      <c r="G72" s="468"/>
      <c r="H72" s="468"/>
      <c r="I72" s="378"/>
      <c r="J72" s="987"/>
      <c r="K72" s="379"/>
      <c r="L72" s="356"/>
    </row>
    <row r="73" spans="1:13" ht="15.75" customHeight="1">
      <c r="A73" s="375"/>
      <c r="B73" s="782" t="s">
        <v>2133</v>
      </c>
      <c r="C73" s="969" t="s">
        <v>2122</v>
      </c>
      <c r="D73" s="969" t="s">
        <v>2073</v>
      </c>
      <c r="E73" s="970"/>
      <c r="F73" s="970">
        <v>45662</v>
      </c>
      <c r="G73" s="375"/>
      <c r="H73" s="370"/>
      <c r="I73" s="949">
        <v>0</v>
      </c>
      <c r="J73" s="987"/>
      <c r="K73" s="379"/>
      <c r="L73" s="356"/>
    </row>
    <row r="74" spans="1:13" ht="15.75" customHeight="1">
      <c r="A74" s="375"/>
      <c r="B74" s="782" t="s">
        <v>2134</v>
      </c>
      <c r="C74" s="375" t="s">
        <v>2073</v>
      </c>
      <c r="D74" s="375" t="s">
        <v>2074</v>
      </c>
      <c r="E74" s="698">
        <v>45670</v>
      </c>
      <c r="F74" s="698"/>
      <c r="G74" s="375"/>
      <c r="H74" s="370"/>
      <c r="I74" s="378">
        <f>E74-F73</f>
        <v>8</v>
      </c>
      <c r="J74" s="987"/>
      <c r="K74" s="379"/>
      <c r="L74" s="356"/>
    </row>
    <row r="75" spans="1:13" ht="15.75" customHeight="1">
      <c r="A75" s="375"/>
      <c r="B75" s="782" t="s">
        <v>2134</v>
      </c>
      <c r="C75" s="375" t="s">
        <v>2074</v>
      </c>
      <c r="D75" s="375" t="s">
        <v>2073</v>
      </c>
      <c r="E75" s="698"/>
      <c r="F75" s="698">
        <v>45688</v>
      </c>
      <c r="G75" s="375"/>
      <c r="H75" s="370"/>
      <c r="I75" s="378"/>
      <c r="J75" s="987">
        <f>F75-E74</f>
        <v>18</v>
      </c>
      <c r="K75" s="379"/>
      <c r="L75" s="356"/>
    </row>
    <row r="76" spans="1:13" ht="15.75" customHeight="1">
      <c r="A76" s="375"/>
      <c r="B76" s="782" t="s">
        <v>2135</v>
      </c>
      <c r="C76" s="375" t="s">
        <v>2073</v>
      </c>
      <c r="D76" s="375" t="s">
        <v>2074</v>
      </c>
      <c r="E76" s="698">
        <v>45712</v>
      </c>
      <c r="F76" s="698"/>
      <c r="G76" s="375"/>
      <c r="H76" s="370"/>
      <c r="I76" s="378">
        <f>E76-F75</f>
        <v>24</v>
      </c>
      <c r="J76" s="987"/>
      <c r="K76" s="379"/>
      <c r="L76" s="356"/>
    </row>
    <row r="77" spans="1:13" ht="15.75" customHeight="1">
      <c r="A77" s="711"/>
      <c r="B77" s="785" t="s">
        <v>2135</v>
      </c>
      <c r="C77" s="711" t="s">
        <v>2074</v>
      </c>
      <c r="D77" s="711" t="s">
        <v>2073</v>
      </c>
      <c r="E77" s="712"/>
      <c r="F77" s="712">
        <v>45730</v>
      </c>
      <c r="G77" s="711"/>
      <c r="H77" s="713"/>
      <c r="I77" s="378"/>
      <c r="J77" s="987">
        <f>F77-E76</f>
        <v>18</v>
      </c>
      <c r="K77" s="379"/>
      <c r="L77" s="356"/>
    </row>
    <row r="78" spans="1:13" ht="15.75" customHeight="1">
      <c r="A78" s="757" t="s">
        <v>2243</v>
      </c>
      <c r="B78" s="786"/>
      <c r="C78" s="706"/>
      <c r="D78" s="706"/>
      <c r="E78" s="715"/>
      <c r="F78" s="717">
        <v>45752</v>
      </c>
      <c r="G78" s="706"/>
      <c r="H78" s="708"/>
      <c r="I78" s="714"/>
      <c r="J78" s="992">
        <f>F78-F77</f>
        <v>22</v>
      </c>
      <c r="K78" s="709">
        <f>F78-F77</f>
        <v>22</v>
      </c>
      <c r="L78" s="714">
        <f>SUM(I48:J78)</f>
        <v>285</v>
      </c>
      <c r="M78" s="722" t="s">
        <v>2242</v>
      </c>
    </row>
    <row r="79" spans="1:13" ht="15.75" customHeight="1">
      <c r="A79" s="711"/>
      <c r="B79" s="785"/>
      <c r="C79" s="711"/>
      <c r="D79" s="711"/>
      <c r="E79" s="718">
        <v>45753</v>
      </c>
      <c r="F79" s="382"/>
      <c r="G79" s="711"/>
      <c r="H79" s="370"/>
      <c r="I79" s="378"/>
      <c r="J79" s="987"/>
      <c r="K79" s="379"/>
      <c r="L79" s="356"/>
    </row>
    <row r="80" spans="1:13" ht="15.75" customHeight="1">
      <c r="A80" s="375"/>
      <c r="B80" s="782" t="s">
        <v>2228</v>
      </c>
      <c r="C80" s="375" t="s">
        <v>2073</v>
      </c>
      <c r="D80" s="375" t="s">
        <v>2074</v>
      </c>
      <c r="E80" s="699">
        <v>45754</v>
      </c>
      <c r="F80" s="698"/>
      <c r="G80" s="375"/>
      <c r="H80" s="370"/>
      <c r="I80" s="378">
        <f>E80-E79+1</f>
        <v>2</v>
      </c>
      <c r="J80" s="987"/>
      <c r="K80" s="379"/>
      <c r="L80" s="356"/>
    </row>
    <row r="81" spans="1:13" ht="15.75" customHeight="1">
      <c r="A81" s="375"/>
      <c r="B81" s="787" t="s">
        <v>2229</v>
      </c>
      <c r="C81" s="700" t="s">
        <v>2074</v>
      </c>
      <c r="D81" s="700" t="s">
        <v>2073</v>
      </c>
      <c r="E81" s="698"/>
      <c r="F81" s="699">
        <v>45764</v>
      </c>
      <c r="G81" s="375"/>
      <c r="H81" s="370"/>
      <c r="I81" s="378"/>
      <c r="J81" s="987">
        <f>F81-E80</f>
        <v>10</v>
      </c>
      <c r="K81" s="379"/>
      <c r="L81" s="356"/>
    </row>
    <row r="82" spans="1:13" ht="15.75" customHeight="1">
      <c r="A82" s="375"/>
      <c r="B82" s="787" t="s">
        <v>2229</v>
      </c>
      <c r="C82" s="700" t="s">
        <v>2073</v>
      </c>
      <c r="D82" s="700" t="s">
        <v>2074</v>
      </c>
      <c r="E82" s="699">
        <v>45768</v>
      </c>
      <c r="F82" s="698"/>
      <c r="G82" s="375"/>
      <c r="H82" s="370"/>
      <c r="I82" s="378">
        <f>E82-F81</f>
        <v>4</v>
      </c>
      <c r="J82" s="987"/>
      <c r="K82" s="379"/>
      <c r="L82" s="356"/>
    </row>
    <row r="83" spans="1:13" ht="15.75" customHeight="1">
      <c r="A83" s="375"/>
      <c r="B83" s="782" t="s">
        <v>2228</v>
      </c>
      <c r="C83" s="700" t="s">
        <v>2074</v>
      </c>
      <c r="D83" s="700" t="s">
        <v>2073</v>
      </c>
      <c r="E83" s="698"/>
      <c r="F83" s="698">
        <v>45772</v>
      </c>
      <c r="G83" s="375"/>
      <c r="H83" s="370"/>
      <c r="I83" s="378"/>
      <c r="J83" s="987">
        <f>F83-E82</f>
        <v>4</v>
      </c>
      <c r="K83" s="379"/>
      <c r="L83" s="356"/>
    </row>
    <row r="84" spans="1:13" ht="15.75" customHeight="1">
      <c r="A84" s="375"/>
      <c r="B84" s="782" t="s">
        <v>2136</v>
      </c>
      <c r="C84" s="969" t="s">
        <v>2073</v>
      </c>
      <c r="D84" s="969" t="s">
        <v>2122</v>
      </c>
      <c r="E84" s="970">
        <v>45778</v>
      </c>
      <c r="F84" s="970"/>
      <c r="G84" s="375"/>
      <c r="H84" s="370"/>
      <c r="I84" s="378">
        <f>E84-F83</f>
        <v>6</v>
      </c>
      <c r="J84" s="987"/>
      <c r="K84" s="379"/>
      <c r="L84" s="356"/>
    </row>
    <row r="85" spans="1:13" ht="15.75" customHeight="1">
      <c r="A85" s="375"/>
      <c r="B85" s="782" t="s">
        <v>2136</v>
      </c>
      <c r="C85" s="969" t="s">
        <v>2122</v>
      </c>
      <c r="D85" s="969" t="s">
        <v>2073</v>
      </c>
      <c r="E85" s="970"/>
      <c r="F85" s="970">
        <v>45795</v>
      </c>
      <c r="G85" s="375"/>
      <c r="H85" s="370"/>
      <c r="I85" s="378"/>
      <c r="J85" s="990">
        <v>0</v>
      </c>
      <c r="K85" s="379"/>
      <c r="L85" s="356"/>
    </row>
    <row r="86" spans="1:13" ht="15.75" customHeight="1">
      <c r="A86" s="375"/>
      <c r="B86" s="782" t="s">
        <v>2137</v>
      </c>
      <c r="C86" s="375" t="s">
        <v>2073</v>
      </c>
      <c r="D86" s="700" t="s">
        <v>2074</v>
      </c>
      <c r="E86" s="698">
        <v>45803</v>
      </c>
      <c r="F86" s="698"/>
      <c r="G86" s="375"/>
      <c r="H86" s="370"/>
      <c r="I86" s="378">
        <f>E86-F85</f>
        <v>8</v>
      </c>
      <c r="J86" s="987"/>
      <c r="K86" s="379"/>
      <c r="L86" s="356"/>
    </row>
    <row r="87" spans="1:13" ht="15.75" customHeight="1">
      <c r="A87" s="375"/>
      <c r="B87" s="782" t="s">
        <v>2138</v>
      </c>
      <c r="C87" s="979" t="s">
        <v>2074</v>
      </c>
      <c r="D87" s="969" t="s">
        <v>2079</v>
      </c>
      <c r="E87" s="970"/>
      <c r="F87" s="970">
        <v>45806</v>
      </c>
      <c r="G87" s="375"/>
      <c r="H87" s="370"/>
      <c r="I87" s="378"/>
      <c r="J87" s="987">
        <f>F87-E86</f>
        <v>3</v>
      </c>
      <c r="K87" s="379"/>
      <c r="L87" s="356">
        <f>SUM(I79:J87)</f>
        <v>37</v>
      </c>
      <c r="M87">
        <f>F87-E79</f>
        <v>53</v>
      </c>
    </row>
    <row r="88" spans="1:13" ht="15.75" customHeight="1">
      <c r="A88" s="375"/>
      <c r="B88" s="782" t="s">
        <v>2138</v>
      </c>
      <c r="C88" s="969" t="s">
        <v>2079</v>
      </c>
      <c r="D88" s="969" t="s">
        <v>2073</v>
      </c>
      <c r="E88" s="970">
        <v>45826</v>
      </c>
      <c r="F88" s="970"/>
      <c r="G88" s="375"/>
      <c r="H88" s="370"/>
      <c r="I88" s="949">
        <v>0</v>
      </c>
      <c r="J88" s="987"/>
      <c r="K88" s="379"/>
      <c r="L88" s="356"/>
    </row>
    <row r="89" spans="1:13" ht="15.75" customHeight="1">
      <c r="A89" s="375"/>
      <c r="B89" s="787" t="s">
        <v>2230</v>
      </c>
      <c r="C89" s="700" t="s">
        <v>2073</v>
      </c>
      <c r="D89" s="700" t="s">
        <v>2074</v>
      </c>
      <c r="E89" s="698"/>
      <c r="F89" s="698">
        <v>45853</v>
      </c>
      <c r="G89" s="375"/>
      <c r="H89" s="370"/>
      <c r="I89" s="378"/>
      <c r="J89" s="987">
        <f>F89-E88</f>
        <v>27</v>
      </c>
      <c r="K89" s="379"/>
      <c r="L89" s="356"/>
    </row>
    <row r="90" spans="1:13" ht="15.75" customHeight="1">
      <c r="A90" s="375"/>
      <c r="B90" s="787" t="s">
        <v>2230</v>
      </c>
      <c r="C90" s="700" t="s">
        <v>2074</v>
      </c>
      <c r="D90" s="700" t="s">
        <v>2073</v>
      </c>
      <c r="E90" s="698">
        <v>45861</v>
      </c>
      <c r="F90" s="698"/>
      <c r="G90" s="375"/>
      <c r="H90" s="370"/>
      <c r="I90" s="378">
        <f>E90-F89</f>
        <v>8</v>
      </c>
      <c r="J90" s="987"/>
      <c r="K90" s="379"/>
      <c r="L90" s="356"/>
    </row>
    <row r="91" spans="1:13" ht="15.75" customHeight="1">
      <c r="A91" s="375"/>
      <c r="B91" s="782" t="s">
        <v>2231</v>
      </c>
      <c r="C91" s="700" t="s">
        <v>2073</v>
      </c>
      <c r="D91" s="700" t="s">
        <v>2074</v>
      </c>
      <c r="E91" s="698"/>
      <c r="F91" s="698">
        <v>45881</v>
      </c>
      <c r="G91" s="375"/>
      <c r="H91" s="370"/>
      <c r="I91" s="378"/>
      <c r="J91" s="987">
        <f>F91-E90</f>
        <v>20</v>
      </c>
      <c r="K91" s="379"/>
      <c r="L91" s="701"/>
    </row>
    <row r="92" spans="1:13" ht="15.75" customHeight="1">
      <c r="A92" s="375"/>
      <c r="B92" s="782" t="s">
        <v>2231</v>
      </c>
      <c r="C92" s="700" t="s">
        <v>2074</v>
      </c>
      <c r="D92" s="700" t="s">
        <v>2073</v>
      </c>
      <c r="E92" s="698">
        <v>45896</v>
      </c>
      <c r="F92" s="698"/>
      <c r="G92" s="375"/>
      <c r="H92" s="370"/>
      <c r="I92" s="378">
        <f>E92-F91</f>
        <v>15</v>
      </c>
      <c r="J92" s="987"/>
      <c r="K92" s="379"/>
      <c r="L92" s="356"/>
    </row>
    <row r="93" spans="1:13" ht="15.75" customHeight="1">
      <c r="A93" s="375"/>
      <c r="B93" s="787" t="s">
        <v>2232</v>
      </c>
      <c r="C93" s="979" t="s">
        <v>2073</v>
      </c>
      <c r="D93" s="979" t="s">
        <v>2122</v>
      </c>
      <c r="E93" s="970"/>
      <c r="F93" s="970">
        <v>45898</v>
      </c>
      <c r="G93" s="375"/>
      <c r="H93" s="370"/>
      <c r="I93" s="378"/>
      <c r="J93" s="987">
        <f>F93-E92</f>
        <v>2</v>
      </c>
      <c r="K93" s="379"/>
      <c r="L93" s="356"/>
    </row>
    <row r="94" spans="1:13" ht="15.75" customHeight="1">
      <c r="A94" s="375"/>
      <c r="B94" s="787" t="s">
        <v>2232</v>
      </c>
      <c r="C94" s="979" t="s">
        <v>2122</v>
      </c>
      <c r="D94" s="979" t="s">
        <v>2073</v>
      </c>
      <c r="E94" s="970">
        <v>45914</v>
      </c>
      <c r="F94" s="970"/>
      <c r="G94" s="375"/>
      <c r="H94" s="370"/>
      <c r="I94" s="949">
        <v>0</v>
      </c>
      <c r="J94" s="987"/>
      <c r="K94" s="379"/>
      <c r="L94" s="356"/>
    </row>
    <row r="95" spans="1:13" ht="15.75" customHeight="1">
      <c r="A95" s="375"/>
      <c r="B95" s="787" t="s">
        <v>2233</v>
      </c>
      <c r="C95" s="700" t="s">
        <v>2073</v>
      </c>
      <c r="D95" s="700" t="s">
        <v>2074</v>
      </c>
      <c r="E95" s="698"/>
      <c r="F95" s="698">
        <v>45916</v>
      </c>
      <c r="G95" s="375"/>
      <c r="H95" s="370"/>
      <c r="I95" s="378"/>
      <c r="J95" s="987">
        <f>F95-E94</f>
        <v>2</v>
      </c>
      <c r="K95" s="379"/>
      <c r="L95" s="356"/>
    </row>
    <row r="96" spans="1:13" ht="15.75" customHeight="1">
      <c r="A96" s="375"/>
      <c r="B96" s="787" t="s">
        <v>2233</v>
      </c>
      <c r="C96" s="700" t="s">
        <v>2074</v>
      </c>
      <c r="D96" s="700" t="s">
        <v>2073</v>
      </c>
      <c r="E96" s="698">
        <v>45926</v>
      </c>
      <c r="F96" s="698"/>
      <c r="G96" s="375"/>
      <c r="H96" s="370"/>
      <c r="I96" s="378">
        <f>E96-F95</f>
        <v>10</v>
      </c>
      <c r="J96" s="987"/>
      <c r="K96" s="379"/>
      <c r="L96" s="356"/>
    </row>
    <row r="97" spans="1:13" ht="15.75" customHeight="1">
      <c r="A97" s="375"/>
      <c r="B97" s="787" t="s">
        <v>2234</v>
      </c>
      <c r="C97" s="979" t="s">
        <v>2073</v>
      </c>
      <c r="D97" s="979" t="s">
        <v>2106</v>
      </c>
      <c r="E97" s="970"/>
      <c r="F97" s="970">
        <v>45932</v>
      </c>
      <c r="G97" s="375"/>
      <c r="H97" s="370"/>
      <c r="I97" s="378"/>
      <c r="J97" s="987">
        <f>F97-E96</f>
        <v>6</v>
      </c>
      <c r="K97" s="379"/>
      <c r="L97" s="356"/>
    </row>
    <row r="98" spans="1:13" ht="15.75" customHeight="1">
      <c r="A98" s="375"/>
      <c r="B98" s="787" t="s">
        <v>2234</v>
      </c>
      <c r="C98" s="979" t="s">
        <v>2106</v>
      </c>
      <c r="D98" s="979" t="s">
        <v>2073</v>
      </c>
      <c r="E98" s="980">
        <v>45946</v>
      </c>
      <c r="F98" s="970"/>
      <c r="G98" s="375"/>
      <c r="H98" s="370"/>
      <c r="I98" s="949">
        <v>0</v>
      </c>
      <c r="J98" s="987"/>
      <c r="K98" s="379"/>
      <c r="L98" s="356"/>
    </row>
    <row r="99" spans="1:13" ht="15.75" customHeight="1">
      <c r="A99" s="375"/>
      <c r="B99" s="787" t="s">
        <v>2235</v>
      </c>
      <c r="C99" s="979" t="s">
        <v>2073</v>
      </c>
      <c r="D99" s="979" t="s">
        <v>2236</v>
      </c>
      <c r="E99" s="970"/>
      <c r="F99" s="970">
        <v>45956</v>
      </c>
      <c r="G99" s="375"/>
      <c r="H99" s="370"/>
      <c r="I99" s="378"/>
      <c r="J99" s="987">
        <f>F99-E98</f>
        <v>10</v>
      </c>
      <c r="K99" s="379"/>
      <c r="L99" s="356"/>
    </row>
    <row r="100" spans="1:13" ht="15.75" customHeight="1">
      <c r="A100" s="375"/>
      <c r="B100" s="787" t="s">
        <v>2235</v>
      </c>
      <c r="C100" s="979" t="s">
        <v>2236</v>
      </c>
      <c r="D100" s="979" t="s">
        <v>2073</v>
      </c>
      <c r="E100" s="970">
        <v>45962</v>
      </c>
      <c r="F100" s="970"/>
      <c r="G100" s="375"/>
      <c r="H100" s="370"/>
      <c r="I100" s="949">
        <v>0</v>
      </c>
      <c r="J100" s="987"/>
      <c r="K100" s="379"/>
      <c r="L100" s="356"/>
    </row>
    <row r="101" spans="1:13" ht="15.75" customHeight="1">
      <c r="A101" s="375"/>
      <c r="B101" s="787" t="s">
        <v>2237</v>
      </c>
      <c r="C101" s="700" t="s">
        <v>2073</v>
      </c>
      <c r="D101" s="700" t="s">
        <v>2074</v>
      </c>
      <c r="E101" s="698"/>
      <c r="F101" s="698">
        <v>45972</v>
      </c>
      <c r="G101" s="375"/>
      <c r="H101" s="370"/>
      <c r="I101" s="378"/>
      <c r="J101" s="987">
        <f>F101-E100</f>
        <v>10</v>
      </c>
      <c r="K101" s="379"/>
      <c r="L101" s="356"/>
    </row>
    <row r="102" spans="1:13" ht="15.75" customHeight="1">
      <c r="A102" s="375"/>
      <c r="B102" s="787" t="s">
        <v>2238</v>
      </c>
      <c r="C102" s="700" t="s">
        <v>2074</v>
      </c>
      <c r="D102" s="700" t="s">
        <v>2073</v>
      </c>
      <c r="E102" s="699">
        <v>45989</v>
      </c>
      <c r="F102" s="698"/>
      <c r="G102" s="375"/>
      <c r="H102" s="370"/>
      <c r="I102" s="378">
        <f>E102-F101</f>
        <v>17</v>
      </c>
      <c r="J102" s="987"/>
      <c r="K102" s="379"/>
      <c r="L102" s="356"/>
    </row>
    <row r="103" spans="1:13" ht="15.75" customHeight="1">
      <c r="A103" s="375"/>
      <c r="B103" s="787" t="s">
        <v>2239</v>
      </c>
      <c r="C103" s="979" t="s">
        <v>2073</v>
      </c>
      <c r="D103" s="979" t="s">
        <v>2119</v>
      </c>
      <c r="E103" s="970"/>
      <c r="F103" s="970">
        <v>46000</v>
      </c>
      <c r="G103" s="375"/>
      <c r="H103" s="370"/>
      <c r="I103" s="378"/>
      <c r="J103" s="987">
        <f>F103-E102</f>
        <v>11</v>
      </c>
      <c r="K103" s="379"/>
      <c r="L103" s="356"/>
    </row>
    <row r="104" spans="1:13" ht="15.75" customHeight="1">
      <c r="A104" s="375"/>
      <c r="B104" s="787" t="s">
        <v>2239</v>
      </c>
      <c r="C104" s="979" t="s">
        <v>2119</v>
      </c>
      <c r="D104" s="979" t="s">
        <v>2073</v>
      </c>
      <c r="E104" s="970">
        <v>46001</v>
      </c>
      <c r="F104" s="970"/>
      <c r="G104" s="375"/>
      <c r="H104" s="370"/>
      <c r="I104" s="949">
        <v>0</v>
      </c>
      <c r="J104" s="987"/>
      <c r="K104" s="379"/>
      <c r="L104" s="356"/>
    </row>
    <row r="105" spans="1:13" ht="15.75" customHeight="1">
      <c r="A105" s="375"/>
      <c r="B105" s="787" t="s">
        <v>2240</v>
      </c>
      <c r="C105" s="700" t="s">
        <v>2073</v>
      </c>
      <c r="D105" s="700" t="s">
        <v>2074</v>
      </c>
      <c r="E105" s="468"/>
      <c r="F105" s="698">
        <v>46005</v>
      </c>
      <c r="G105" s="375"/>
      <c r="H105" s="370"/>
      <c r="I105" s="378"/>
      <c r="J105" s="987">
        <f>F105-E104</f>
        <v>4</v>
      </c>
      <c r="K105" s="379"/>
      <c r="L105" s="356"/>
    </row>
    <row r="106" spans="1:13" ht="15.75" customHeight="1">
      <c r="A106" s="375"/>
      <c r="B106" s="787" t="s">
        <v>2240</v>
      </c>
      <c r="C106" s="700" t="s">
        <v>2074</v>
      </c>
      <c r="D106" s="700" t="s">
        <v>2073</v>
      </c>
      <c r="E106" s="698">
        <v>46010</v>
      </c>
      <c r="F106" s="698"/>
      <c r="G106" s="375"/>
      <c r="H106" s="370"/>
      <c r="I106" s="378">
        <f>E106-F105</f>
        <v>5</v>
      </c>
      <c r="J106" s="987"/>
      <c r="K106" s="379"/>
      <c r="L106" s="356"/>
    </row>
    <row r="107" spans="1:13" ht="15.75" customHeight="1">
      <c r="A107" s="711"/>
      <c r="B107" s="981" t="s">
        <v>2241</v>
      </c>
      <c r="C107" s="982" t="s">
        <v>2073</v>
      </c>
      <c r="D107" s="982" t="s">
        <v>2122</v>
      </c>
      <c r="E107" s="983"/>
      <c r="F107" s="983">
        <v>46015</v>
      </c>
      <c r="G107" s="711"/>
      <c r="H107" s="370"/>
      <c r="I107" s="378"/>
      <c r="J107" s="987">
        <f>F107-E106</f>
        <v>5</v>
      </c>
      <c r="K107" s="713"/>
      <c r="L107" s="713"/>
      <c r="M107" s="984"/>
    </row>
    <row r="108" spans="1:13" ht="15.75" customHeight="1" thickBot="1">
      <c r="A108" s="789" t="s">
        <v>2244</v>
      </c>
      <c r="B108" s="784"/>
      <c r="C108" s="985"/>
      <c r="D108" s="985"/>
      <c r="E108" s="975"/>
      <c r="F108" s="975">
        <v>46021</v>
      </c>
      <c r="G108" s="702"/>
      <c r="H108" s="704"/>
      <c r="I108" s="719"/>
      <c r="J108" s="991">
        <v>0</v>
      </c>
      <c r="K108" s="758"/>
      <c r="L108" s="719">
        <f>SUM(I72:J108)</f>
        <v>279</v>
      </c>
      <c r="M108" s="721" t="s">
        <v>2111</v>
      </c>
    </row>
    <row r="109" spans="1:13" ht="15.75" customHeight="1">
      <c r="A109" s="375"/>
      <c r="B109" s="375"/>
      <c r="C109" s="375"/>
      <c r="D109" s="375"/>
      <c r="E109" s="698"/>
      <c r="F109" s="698"/>
      <c r="G109" s="698"/>
      <c r="H109" s="698"/>
      <c r="I109" s="698"/>
      <c r="J109" s="698"/>
      <c r="K109" s="698"/>
      <c r="L109" s="698"/>
      <c r="M109" s="698"/>
    </row>
    <row r="110" spans="1:13" ht="15.75" customHeight="1">
      <c r="A110" s="401">
        <v>2026</v>
      </c>
      <c r="B110" s="375"/>
      <c r="C110" s="375"/>
      <c r="D110" s="375"/>
      <c r="E110" s="698"/>
      <c r="F110" s="698"/>
      <c r="G110" s="698"/>
      <c r="H110" s="698"/>
      <c r="I110" s="698"/>
      <c r="J110" s="698"/>
      <c r="K110" s="698"/>
      <c r="L110" s="698"/>
      <c r="M110" s="698"/>
    </row>
    <row r="111" spans="1:13" ht="15.75" customHeight="1">
      <c r="A111" s="375"/>
      <c r="B111" s="375"/>
      <c r="C111" s="375"/>
      <c r="D111" s="375"/>
      <c r="E111" s="698"/>
      <c r="F111" s="698"/>
      <c r="G111" s="698"/>
      <c r="H111" s="698"/>
      <c r="I111" s="698"/>
      <c r="J111" s="698"/>
      <c r="K111" s="698"/>
      <c r="L111" s="698"/>
      <c r="M111" s="698"/>
    </row>
    <row r="112" spans="1:13" ht="15.75" customHeight="1">
      <c r="A112" s="468"/>
      <c r="B112" s="468"/>
      <c r="C112" s="468"/>
      <c r="D112" s="468"/>
      <c r="E112" s="698"/>
      <c r="F112" s="698"/>
      <c r="G112" s="468"/>
      <c r="H112" s="468"/>
      <c r="I112" s="356"/>
      <c r="J112" s="356"/>
      <c r="K112" s="356"/>
      <c r="L112" s="356"/>
    </row>
    <row r="113" spans="1:12" ht="15.75" customHeight="1">
      <c r="A113" s="468"/>
      <c r="B113" s="468"/>
      <c r="C113" s="468"/>
      <c r="D113" s="468"/>
      <c r="E113" s="698"/>
      <c r="F113" s="698"/>
      <c r="G113" s="468"/>
      <c r="H113" s="468"/>
      <c r="I113" s="356"/>
      <c r="J113" s="356"/>
      <c r="K113" s="356"/>
      <c r="L113" s="356"/>
    </row>
    <row r="114" spans="1:12" ht="15.75" customHeight="1">
      <c r="A114" s="468"/>
      <c r="B114" s="468"/>
      <c r="C114" s="468"/>
      <c r="D114" s="468"/>
      <c r="E114" s="698"/>
      <c r="F114" s="698"/>
      <c r="G114" s="468"/>
      <c r="H114" s="468"/>
      <c r="I114" s="356"/>
      <c r="J114" s="356"/>
      <c r="K114" s="356"/>
      <c r="L114" s="356"/>
    </row>
    <row r="115" spans="1:12" ht="15.75" customHeight="1">
      <c r="A115" s="468"/>
      <c r="B115" s="468"/>
      <c r="C115" s="468"/>
      <c r="D115" s="468"/>
      <c r="E115" s="698"/>
      <c r="F115" s="698"/>
      <c r="G115" s="468"/>
      <c r="H115" s="468"/>
      <c r="I115" s="356"/>
      <c r="J115" s="356"/>
      <c r="K115" s="356"/>
      <c r="L115" s="356"/>
    </row>
    <row r="116" spans="1:12" ht="15.75" customHeight="1">
      <c r="A116" s="468"/>
      <c r="B116" s="468"/>
      <c r="C116" s="468"/>
      <c r="D116" s="468"/>
      <c r="E116" s="698"/>
      <c r="F116" s="698"/>
      <c r="G116" s="468"/>
      <c r="H116" s="468"/>
      <c r="I116" s="356"/>
      <c r="J116" s="356"/>
      <c r="K116" s="356"/>
      <c r="L116" s="356"/>
    </row>
    <row r="117" spans="1:12" ht="15.75" customHeight="1">
      <c r="A117" s="468"/>
      <c r="B117" s="468"/>
      <c r="C117" s="468"/>
      <c r="D117" s="468"/>
      <c r="E117" s="698"/>
      <c r="F117" s="698"/>
      <c r="G117" s="468"/>
      <c r="H117" s="468"/>
      <c r="I117" s="356"/>
      <c r="J117" s="356"/>
      <c r="K117" s="356"/>
      <c r="L117" s="356"/>
    </row>
    <row r="118" spans="1:12" ht="15.75" customHeight="1">
      <c r="E118" s="698"/>
      <c r="F118" s="698"/>
      <c r="I118" s="356"/>
      <c r="J118" s="356"/>
      <c r="K118" s="356"/>
      <c r="L118" s="356"/>
    </row>
    <row r="119" spans="1:12" ht="15.75" customHeight="1">
      <c r="E119" s="698"/>
      <c r="F119" s="698"/>
      <c r="I119" s="356"/>
      <c r="J119" s="356"/>
      <c r="K119" s="356"/>
      <c r="L119" s="356"/>
    </row>
    <row r="120" spans="1:12" ht="15.75" customHeight="1">
      <c r="E120" s="698"/>
      <c r="F120" s="698"/>
      <c r="I120" s="356"/>
      <c r="J120" s="356"/>
      <c r="K120" s="356"/>
      <c r="L120" s="356"/>
    </row>
    <row r="121" spans="1:12" ht="15.75" customHeight="1">
      <c r="E121" s="698"/>
      <c r="F121" s="698"/>
      <c r="I121" s="356"/>
      <c r="J121" s="356"/>
      <c r="K121" s="356"/>
      <c r="L121" s="356"/>
    </row>
    <row r="122" spans="1:12" ht="15.75" customHeight="1">
      <c r="E122" s="698"/>
      <c r="F122" s="698"/>
      <c r="I122" s="356"/>
      <c r="J122" s="356"/>
      <c r="K122" s="356"/>
      <c r="L122" s="356"/>
    </row>
    <row r="123" spans="1:12" ht="15.75" customHeight="1">
      <c r="E123" s="698"/>
      <c r="F123" s="698"/>
      <c r="I123" s="356"/>
      <c r="J123" s="356"/>
      <c r="K123" s="356"/>
      <c r="L123" s="356"/>
    </row>
    <row r="124" spans="1:12" ht="15.75" customHeight="1">
      <c r="E124" s="698"/>
      <c r="F124" s="698"/>
      <c r="I124" s="356"/>
      <c r="J124" s="356"/>
      <c r="K124" s="356"/>
      <c r="L124" s="356"/>
    </row>
    <row r="125" spans="1:12" ht="15.75" customHeight="1">
      <c r="E125" s="698"/>
      <c r="F125" s="698"/>
      <c r="I125" s="356"/>
      <c r="J125" s="356"/>
      <c r="K125" s="356"/>
      <c r="L125" s="356"/>
    </row>
    <row r="126" spans="1:12" ht="15.75" customHeight="1">
      <c r="E126" s="698"/>
      <c r="F126" s="698"/>
      <c r="I126" s="356"/>
      <c r="J126" s="356"/>
      <c r="K126" s="356"/>
      <c r="L126" s="356"/>
    </row>
    <row r="127" spans="1:12" ht="15.75" customHeight="1">
      <c r="E127" s="698"/>
      <c r="F127" s="698"/>
      <c r="I127" s="356"/>
      <c r="J127" s="356"/>
      <c r="K127" s="356"/>
      <c r="L127" s="356"/>
    </row>
    <row r="128" spans="1:12" ht="15.75" customHeight="1">
      <c r="E128" s="698"/>
      <c r="F128" s="698"/>
      <c r="I128" s="356"/>
      <c r="J128" s="356"/>
      <c r="K128" s="356"/>
      <c r="L128" s="356"/>
    </row>
    <row r="129" spans="5:12" ht="15.75" customHeight="1">
      <c r="E129" s="698"/>
      <c r="F129" s="698"/>
      <c r="I129" s="356"/>
      <c r="J129" s="356"/>
      <c r="K129" s="356"/>
      <c r="L129" s="356"/>
    </row>
    <row r="130" spans="5:12" ht="15.75" customHeight="1">
      <c r="E130" s="698"/>
      <c r="F130" s="698"/>
      <c r="I130" s="356"/>
      <c r="J130" s="356"/>
      <c r="K130" s="356"/>
      <c r="L130" s="356"/>
    </row>
    <row r="131" spans="5:12" ht="15.75" customHeight="1">
      <c r="E131" s="698"/>
      <c r="F131" s="698"/>
      <c r="I131" s="356"/>
      <c r="J131" s="356"/>
      <c r="K131" s="356"/>
      <c r="L131" s="356"/>
    </row>
    <row r="132" spans="5:12" ht="15.75" customHeight="1">
      <c r="E132" s="698"/>
      <c r="F132" s="698"/>
      <c r="I132" s="356"/>
      <c r="J132" s="356"/>
      <c r="K132" s="356"/>
      <c r="L132" s="356"/>
    </row>
    <row r="133" spans="5:12" ht="15.75" customHeight="1">
      <c r="E133" s="698"/>
      <c r="F133" s="698"/>
      <c r="I133" s="356"/>
      <c r="J133" s="356"/>
      <c r="K133" s="356"/>
      <c r="L133" s="356"/>
    </row>
    <row r="134" spans="5:12" ht="15.75" customHeight="1">
      <c r="E134" s="698"/>
      <c r="F134" s="698"/>
      <c r="I134" s="356"/>
      <c r="J134" s="356"/>
      <c r="K134" s="356"/>
      <c r="L134" s="356"/>
    </row>
    <row r="135" spans="5:12" ht="15.75" customHeight="1">
      <c r="E135" s="698"/>
      <c r="F135" s="698"/>
      <c r="I135" s="356"/>
      <c r="J135" s="356"/>
      <c r="K135" s="356"/>
      <c r="L135" s="356"/>
    </row>
    <row r="136" spans="5:12" ht="15.75" customHeight="1">
      <c r="E136" s="698"/>
      <c r="F136" s="698"/>
      <c r="I136" s="356"/>
      <c r="J136" s="356"/>
      <c r="K136" s="356"/>
      <c r="L136" s="356"/>
    </row>
    <row r="137" spans="5:12" ht="15.75" customHeight="1">
      <c r="E137" s="698"/>
      <c r="F137" s="698"/>
      <c r="I137" s="356"/>
      <c r="J137" s="356"/>
      <c r="K137" s="356"/>
      <c r="L137" s="356"/>
    </row>
    <row r="138" spans="5:12" ht="15.75" customHeight="1">
      <c r="E138" s="698"/>
      <c r="F138" s="698"/>
      <c r="I138" s="356"/>
      <c r="J138" s="356"/>
      <c r="K138" s="356"/>
      <c r="L138" s="356"/>
    </row>
    <row r="139" spans="5:12" ht="15.75" customHeight="1">
      <c r="E139" s="698"/>
      <c r="F139" s="698"/>
      <c r="I139" s="356"/>
      <c r="J139" s="356"/>
      <c r="K139" s="356"/>
      <c r="L139" s="356"/>
    </row>
    <row r="140" spans="5:12" ht="15.75" customHeight="1">
      <c r="E140" s="698"/>
      <c r="F140" s="698"/>
      <c r="I140" s="356"/>
      <c r="J140" s="356"/>
      <c r="K140" s="356"/>
      <c r="L140" s="356"/>
    </row>
    <row r="141" spans="5:12" ht="15.75" customHeight="1">
      <c r="E141" s="698"/>
      <c r="F141" s="698"/>
      <c r="I141" s="356"/>
      <c r="J141" s="356"/>
      <c r="K141" s="356"/>
      <c r="L141" s="356"/>
    </row>
    <row r="142" spans="5:12" ht="15.75" customHeight="1">
      <c r="E142" s="698"/>
      <c r="F142" s="698"/>
      <c r="I142" s="356"/>
      <c r="J142" s="356"/>
      <c r="K142" s="356"/>
      <c r="L142" s="356"/>
    </row>
    <row r="143" spans="5:12" ht="15.75" customHeight="1">
      <c r="E143" s="698"/>
      <c r="F143" s="698"/>
      <c r="I143" s="356"/>
      <c r="J143" s="356"/>
      <c r="K143" s="356"/>
      <c r="L143" s="356"/>
    </row>
    <row r="144" spans="5:12" ht="15.75" customHeight="1">
      <c r="E144" s="698"/>
      <c r="F144" s="698"/>
      <c r="I144" s="356"/>
      <c r="J144" s="356"/>
      <c r="K144" s="356"/>
      <c r="L144" s="356"/>
    </row>
    <row r="145" spans="5:12" ht="15.75" customHeight="1">
      <c r="E145" s="698"/>
      <c r="F145" s="698"/>
      <c r="I145" s="356"/>
      <c r="J145" s="356"/>
      <c r="K145" s="356"/>
      <c r="L145" s="356"/>
    </row>
    <row r="146" spans="5:12" ht="15.75" customHeight="1">
      <c r="E146" s="698"/>
      <c r="F146" s="698"/>
      <c r="I146" s="356"/>
      <c r="J146" s="356"/>
      <c r="K146" s="356"/>
      <c r="L146" s="356"/>
    </row>
    <row r="147" spans="5:12" ht="15.75" customHeight="1">
      <c r="E147" s="698"/>
      <c r="F147" s="698"/>
      <c r="I147" s="356"/>
      <c r="J147" s="356"/>
      <c r="K147" s="356"/>
      <c r="L147" s="356"/>
    </row>
    <row r="148" spans="5:12" ht="15.75" customHeight="1">
      <c r="E148" s="698"/>
      <c r="F148" s="698"/>
      <c r="I148" s="356"/>
      <c r="J148" s="356"/>
      <c r="K148" s="356"/>
      <c r="L148" s="356"/>
    </row>
    <row r="149" spans="5:12" ht="15.75" customHeight="1">
      <c r="E149" s="698"/>
      <c r="F149" s="698"/>
      <c r="I149" s="356"/>
      <c r="J149" s="356"/>
      <c r="K149" s="356"/>
      <c r="L149" s="356"/>
    </row>
    <row r="150" spans="5:12" ht="15.75" customHeight="1">
      <c r="E150" s="698"/>
      <c r="F150" s="698"/>
      <c r="I150" s="356"/>
      <c r="J150" s="356"/>
      <c r="K150" s="356"/>
      <c r="L150" s="356"/>
    </row>
    <row r="151" spans="5:12" ht="15.75" customHeight="1">
      <c r="E151" s="698"/>
      <c r="F151" s="698"/>
      <c r="I151" s="356"/>
      <c r="J151" s="356"/>
      <c r="K151" s="356"/>
      <c r="L151" s="356"/>
    </row>
    <row r="152" spans="5:12" ht="15.75" customHeight="1">
      <c r="E152" s="698"/>
      <c r="F152" s="698"/>
      <c r="I152" s="356"/>
      <c r="J152" s="356"/>
      <c r="K152" s="356"/>
      <c r="L152" s="356"/>
    </row>
    <row r="153" spans="5:12" ht="15.75" customHeight="1">
      <c r="E153" s="698"/>
      <c r="F153" s="698"/>
      <c r="I153" s="356"/>
      <c r="J153" s="356"/>
      <c r="K153" s="356"/>
      <c r="L153" s="356"/>
    </row>
    <row r="154" spans="5:12" ht="15.75" customHeight="1">
      <c r="E154" s="698"/>
      <c r="F154" s="698"/>
      <c r="I154" s="356"/>
      <c r="J154" s="356"/>
      <c r="K154" s="356"/>
      <c r="L154" s="356"/>
    </row>
    <row r="155" spans="5:12" ht="15.75" customHeight="1">
      <c r="E155" s="698"/>
      <c r="F155" s="698"/>
      <c r="I155" s="356"/>
      <c r="J155" s="356"/>
      <c r="K155" s="356"/>
      <c r="L155" s="356"/>
    </row>
    <row r="156" spans="5:12" ht="15.75" customHeight="1">
      <c r="E156" s="698"/>
      <c r="F156" s="698"/>
      <c r="I156" s="356"/>
      <c r="J156" s="356"/>
      <c r="K156" s="356"/>
      <c r="L156" s="356"/>
    </row>
    <row r="157" spans="5:12" ht="15.75" customHeight="1">
      <c r="E157" s="698"/>
      <c r="F157" s="698"/>
      <c r="I157" s="356"/>
      <c r="J157" s="356"/>
      <c r="K157" s="356"/>
      <c r="L157" s="356"/>
    </row>
    <row r="158" spans="5:12" ht="15.75" customHeight="1">
      <c r="E158" s="698"/>
      <c r="F158" s="698"/>
      <c r="I158" s="356"/>
      <c r="J158" s="356"/>
      <c r="K158" s="356"/>
      <c r="L158" s="356"/>
    </row>
    <row r="159" spans="5:12" ht="15.75" customHeight="1">
      <c r="E159" s="698"/>
      <c r="F159" s="698"/>
      <c r="I159" s="356"/>
      <c r="J159" s="356"/>
      <c r="K159" s="356"/>
      <c r="L159" s="356"/>
    </row>
    <row r="160" spans="5:12" ht="15.75" customHeight="1">
      <c r="E160" s="698"/>
      <c r="F160" s="698"/>
      <c r="I160" s="356"/>
      <c r="J160" s="356"/>
      <c r="K160" s="356"/>
      <c r="L160" s="356"/>
    </row>
    <row r="161" spans="5:12" ht="15.75" customHeight="1">
      <c r="E161" s="698"/>
      <c r="F161" s="698"/>
      <c r="I161" s="356"/>
      <c r="J161" s="356"/>
      <c r="K161" s="356"/>
      <c r="L161" s="356"/>
    </row>
    <row r="162" spans="5:12" ht="15.75" customHeight="1">
      <c r="E162" s="698"/>
      <c r="F162" s="698"/>
      <c r="I162" s="356"/>
      <c r="J162" s="356"/>
      <c r="K162" s="356"/>
      <c r="L162" s="356"/>
    </row>
    <row r="163" spans="5:12" ht="15.75" customHeight="1">
      <c r="E163" s="698"/>
      <c r="F163" s="698"/>
      <c r="I163" s="356"/>
      <c r="J163" s="356"/>
      <c r="K163" s="356"/>
      <c r="L163" s="356"/>
    </row>
    <row r="164" spans="5:12" ht="15.75" customHeight="1">
      <c r="E164" s="698"/>
      <c r="F164" s="698"/>
      <c r="I164" s="356"/>
      <c r="J164" s="356"/>
      <c r="K164" s="356"/>
      <c r="L164" s="356"/>
    </row>
    <row r="165" spans="5:12" ht="15.75" customHeight="1">
      <c r="E165" s="698"/>
      <c r="F165" s="698"/>
      <c r="I165" s="356"/>
      <c r="J165" s="356"/>
      <c r="K165" s="356"/>
      <c r="L165" s="356"/>
    </row>
    <row r="166" spans="5:12" ht="15.75" customHeight="1">
      <c r="E166" s="698"/>
      <c r="F166" s="698"/>
      <c r="I166" s="356"/>
      <c r="J166" s="356"/>
      <c r="K166" s="356"/>
      <c r="L166" s="356"/>
    </row>
    <row r="167" spans="5:12" ht="15.75" customHeight="1">
      <c r="E167" s="698"/>
      <c r="F167" s="698"/>
      <c r="I167" s="356"/>
      <c r="J167" s="356"/>
      <c r="K167" s="356"/>
      <c r="L167" s="356"/>
    </row>
    <row r="168" spans="5:12" ht="15.75" customHeight="1">
      <c r="E168" s="698"/>
      <c r="F168" s="698"/>
      <c r="I168" s="356"/>
      <c r="J168" s="356"/>
      <c r="K168" s="356"/>
      <c r="L168" s="356"/>
    </row>
    <row r="169" spans="5:12" ht="15.75" customHeight="1">
      <c r="E169" s="698"/>
      <c r="F169" s="698"/>
      <c r="I169" s="356"/>
      <c r="J169" s="356"/>
      <c r="K169" s="356"/>
      <c r="L169" s="356"/>
    </row>
    <row r="170" spans="5:12" ht="15.75" customHeight="1">
      <c r="E170" s="698"/>
      <c r="F170" s="698"/>
      <c r="I170" s="356"/>
      <c r="J170" s="356"/>
      <c r="K170" s="356"/>
      <c r="L170" s="356"/>
    </row>
    <row r="171" spans="5:12" ht="15.75" customHeight="1">
      <c r="E171" s="698"/>
      <c r="F171" s="698"/>
      <c r="I171" s="356"/>
      <c r="J171" s="356"/>
      <c r="K171" s="356"/>
      <c r="L171" s="356"/>
    </row>
    <row r="172" spans="5:12" ht="15.75" customHeight="1">
      <c r="E172" s="698"/>
      <c r="F172" s="698"/>
      <c r="I172" s="356"/>
      <c r="J172" s="356"/>
      <c r="K172" s="356"/>
      <c r="L172" s="356"/>
    </row>
    <row r="173" spans="5:12" ht="15.75" customHeight="1">
      <c r="E173" s="698"/>
      <c r="F173" s="698"/>
      <c r="I173" s="356"/>
      <c r="J173" s="356"/>
      <c r="K173" s="356"/>
      <c r="L173" s="356"/>
    </row>
    <row r="174" spans="5:12" ht="15.75" customHeight="1">
      <c r="E174" s="698"/>
      <c r="F174" s="698"/>
      <c r="I174" s="356"/>
      <c r="J174" s="356"/>
      <c r="K174" s="356"/>
      <c r="L174" s="356"/>
    </row>
    <row r="175" spans="5:12" ht="15.75" customHeight="1">
      <c r="E175" s="698"/>
      <c r="F175" s="698"/>
      <c r="I175" s="356"/>
      <c r="J175" s="356"/>
      <c r="K175" s="356"/>
      <c r="L175" s="356"/>
    </row>
    <row r="176" spans="5:12" ht="15.75" customHeight="1">
      <c r="E176" s="698"/>
      <c r="F176" s="698"/>
      <c r="I176" s="356"/>
      <c r="J176" s="356"/>
      <c r="K176" s="356"/>
      <c r="L176" s="356"/>
    </row>
    <row r="177" spans="5:12" ht="15.75" customHeight="1">
      <c r="E177" s="698"/>
      <c r="F177" s="698"/>
      <c r="I177" s="356"/>
      <c r="J177" s="356"/>
      <c r="K177" s="356"/>
      <c r="L177" s="356"/>
    </row>
    <row r="178" spans="5:12" ht="15.75" customHeight="1">
      <c r="E178" s="698"/>
      <c r="F178" s="698"/>
      <c r="I178" s="356"/>
      <c r="J178" s="356"/>
      <c r="K178" s="356"/>
      <c r="L178" s="356"/>
    </row>
    <row r="179" spans="5:12" ht="15.75" customHeight="1">
      <c r="E179" s="698"/>
      <c r="F179" s="698"/>
      <c r="I179" s="356"/>
      <c r="J179" s="356"/>
      <c r="K179" s="356"/>
      <c r="L179" s="356"/>
    </row>
    <row r="180" spans="5:12" ht="15.75" customHeight="1">
      <c r="E180" s="698"/>
      <c r="F180" s="698"/>
      <c r="I180" s="356"/>
      <c r="J180" s="356"/>
      <c r="K180" s="356"/>
      <c r="L180" s="356"/>
    </row>
    <row r="181" spans="5:12" ht="15.75" customHeight="1">
      <c r="E181" s="698"/>
      <c r="F181" s="698"/>
      <c r="I181" s="356"/>
      <c r="J181" s="356"/>
      <c r="K181" s="356"/>
      <c r="L181" s="356"/>
    </row>
    <row r="182" spans="5:12" ht="15.75" customHeight="1">
      <c r="E182" s="698"/>
      <c r="F182" s="698"/>
      <c r="I182" s="356"/>
      <c r="J182" s="356"/>
      <c r="K182" s="356"/>
      <c r="L182" s="356"/>
    </row>
    <row r="183" spans="5:12" ht="15.75" customHeight="1">
      <c r="E183" s="698"/>
      <c r="F183" s="698"/>
      <c r="I183" s="356"/>
      <c r="J183" s="356"/>
      <c r="K183" s="356"/>
      <c r="L183" s="356"/>
    </row>
    <row r="184" spans="5:12" ht="15.75" customHeight="1">
      <c r="E184" s="698"/>
      <c r="F184" s="698"/>
      <c r="I184" s="356"/>
      <c r="J184" s="356"/>
      <c r="K184" s="356"/>
      <c r="L184" s="356"/>
    </row>
    <row r="185" spans="5:12" ht="15.75" customHeight="1">
      <c r="E185" s="698"/>
      <c r="F185" s="698"/>
      <c r="I185" s="356"/>
      <c r="J185" s="356"/>
      <c r="K185" s="356"/>
      <c r="L185" s="356"/>
    </row>
    <row r="186" spans="5:12" ht="15.75" customHeight="1">
      <c r="E186" s="698"/>
      <c r="F186" s="698"/>
      <c r="I186" s="356"/>
      <c r="J186" s="356"/>
      <c r="K186" s="356"/>
      <c r="L186" s="356"/>
    </row>
    <row r="187" spans="5:12" ht="15.75" customHeight="1">
      <c r="E187" s="698"/>
      <c r="F187" s="698"/>
      <c r="I187" s="356"/>
      <c r="J187" s="356"/>
      <c r="K187" s="356"/>
      <c r="L187" s="356"/>
    </row>
    <row r="188" spans="5:12" ht="15.75" customHeight="1">
      <c r="E188" s="698"/>
      <c r="F188" s="698"/>
      <c r="I188" s="356"/>
      <c r="J188" s="356"/>
      <c r="K188" s="356"/>
      <c r="L188" s="356"/>
    </row>
    <row r="189" spans="5:12" ht="15.75" customHeight="1">
      <c r="E189" s="698"/>
      <c r="F189" s="698"/>
      <c r="I189" s="356"/>
      <c r="J189" s="356"/>
      <c r="K189" s="356"/>
      <c r="L189" s="356"/>
    </row>
    <row r="190" spans="5:12" ht="15.75" customHeight="1">
      <c r="E190" s="698"/>
      <c r="F190" s="698"/>
      <c r="I190" s="356"/>
      <c r="J190" s="356"/>
      <c r="K190" s="356"/>
      <c r="L190" s="356"/>
    </row>
    <row r="191" spans="5:12" ht="15.75" customHeight="1">
      <c r="E191" s="698"/>
      <c r="F191" s="698"/>
      <c r="I191" s="356"/>
      <c r="J191" s="356"/>
      <c r="K191" s="356"/>
      <c r="L191" s="356"/>
    </row>
    <row r="192" spans="5:12" ht="15.75" customHeight="1">
      <c r="E192" s="698"/>
      <c r="F192" s="698"/>
      <c r="I192" s="356"/>
      <c r="J192" s="356"/>
      <c r="K192" s="356"/>
      <c r="L192" s="356"/>
    </row>
    <row r="193" spans="5:12" ht="15.75" customHeight="1">
      <c r="E193" s="698"/>
      <c r="F193" s="698"/>
      <c r="I193" s="356"/>
      <c r="J193" s="356"/>
      <c r="K193" s="356"/>
      <c r="L193" s="356"/>
    </row>
    <row r="194" spans="5:12" ht="15.75" customHeight="1">
      <c r="E194" s="698"/>
      <c r="F194" s="698"/>
      <c r="I194" s="356"/>
      <c r="J194" s="356"/>
      <c r="K194" s="356"/>
      <c r="L194" s="356"/>
    </row>
    <row r="195" spans="5:12" ht="15.75" customHeight="1">
      <c r="E195" s="698"/>
      <c r="F195" s="698"/>
      <c r="I195" s="356"/>
      <c r="J195" s="356"/>
      <c r="K195" s="356"/>
      <c r="L195" s="356"/>
    </row>
    <row r="196" spans="5:12" ht="15.75" customHeight="1">
      <c r="E196" s="698"/>
      <c r="F196" s="698"/>
      <c r="I196" s="356"/>
      <c r="J196" s="356"/>
      <c r="K196" s="356"/>
      <c r="L196" s="356"/>
    </row>
    <row r="197" spans="5:12" ht="15.75" customHeight="1">
      <c r="E197" s="698"/>
      <c r="F197" s="698"/>
      <c r="I197" s="356"/>
      <c r="J197" s="356"/>
      <c r="K197" s="356"/>
      <c r="L197" s="356"/>
    </row>
    <row r="198" spans="5:12" ht="15.75" customHeight="1">
      <c r="E198" s="698"/>
      <c r="F198" s="698"/>
      <c r="I198" s="356"/>
      <c r="J198" s="356"/>
      <c r="K198" s="356"/>
      <c r="L198" s="356"/>
    </row>
    <row r="199" spans="5:12" ht="15.75" customHeight="1">
      <c r="E199" s="698"/>
      <c r="F199" s="698"/>
      <c r="I199" s="356"/>
      <c r="J199" s="356"/>
      <c r="K199" s="356"/>
      <c r="L199" s="356"/>
    </row>
    <row r="200" spans="5:12" ht="15.75" customHeight="1">
      <c r="E200" s="698"/>
      <c r="F200" s="698"/>
      <c r="I200" s="356"/>
      <c r="J200" s="356"/>
      <c r="K200" s="356"/>
      <c r="L200" s="356"/>
    </row>
    <row r="201" spans="5:12" ht="15.75" customHeight="1">
      <c r="E201" s="698"/>
      <c r="F201" s="698"/>
      <c r="I201" s="356"/>
      <c r="J201" s="356"/>
      <c r="K201" s="356"/>
      <c r="L201" s="356"/>
    </row>
    <row r="202" spans="5:12" ht="15.75" customHeight="1">
      <c r="E202" s="698"/>
      <c r="F202" s="698"/>
      <c r="I202" s="356"/>
      <c r="J202" s="356"/>
      <c r="K202" s="356"/>
      <c r="L202" s="356"/>
    </row>
    <row r="203" spans="5:12" ht="15.75" customHeight="1">
      <c r="E203" s="698"/>
      <c r="F203" s="698"/>
      <c r="I203" s="356"/>
      <c r="J203" s="356"/>
      <c r="K203" s="356"/>
      <c r="L203" s="356"/>
    </row>
    <row r="204" spans="5:12" ht="15.75" customHeight="1">
      <c r="E204" s="698"/>
      <c r="F204" s="698"/>
      <c r="I204" s="356"/>
      <c r="J204" s="356"/>
      <c r="K204" s="356"/>
      <c r="L204" s="356"/>
    </row>
    <row r="205" spans="5:12" ht="15.75" customHeight="1">
      <c r="I205" s="356"/>
      <c r="J205" s="356"/>
      <c r="K205" s="356"/>
      <c r="L205" s="356"/>
    </row>
    <row r="206" spans="5:12" ht="15.75" customHeight="1">
      <c r="I206" s="356"/>
      <c r="J206" s="356"/>
      <c r="K206" s="356"/>
      <c r="L206" s="356"/>
    </row>
    <row r="207" spans="5:12" ht="15.75" customHeight="1">
      <c r="I207" s="356"/>
      <c r="J207" s="356"/>
      <c r="K207" s="356"/>
      <c r="L207" s="356"/>
    </row>
    <row r="208" spans="5:12" ht="15.75" customHeight="1">
      <c r="I208" s="356"/>
      <c r="J208" s="356"/>
      <c r="K208" s="356"/>
      <c r="L208" s="356"/>
    </row>
    <row r="209" spans="9:12" ht="15.75" customHeight="1">
      <c r="I209" s="356"/>
      <c r="J209" s="356"/>
      <c r="K209" s="356"/>
      <c r="L209" s="356"/>
    </row>
    <row r="210" spans="9:12" ht="15.75" customHeight="1">
      <c r="I210" s="356"/>
      <c r="J210" s="356"/>
      <c r="K210" s="356"/>
      <c r="L210" s="356"/>
    </row>
    <row r="211" spans="9:12" ht="15.75" customHeight="1">
      <c r="I211" s="356"/>
      <c r="J211" s="356"/>
      <c r="K211" s="356"/>
      <c r="L211" s="356"/>
    </row>
    <row r="212" spans="9:12" ht="15.75" customHeight="1">
      <c r="I212" s="356"/>
      <c r="J212" s="356"/>
      <c r="K212" s="356"/>
      <c r="L212" s="356"/>
    </row>
    <row r="213" spans="9:12" ht="15.75" customHeight="1">
      <c r="I213" s="356"/>
      <c r="J213" s="356"/>
      <c r="K213" s="356"/>
      <c r="L213" s="356"/>
    </row>
    <row r="214" spans="9:12" ht="15.75" customHeight="1">
      <c r="I214" s="356"/>
      <c r="J214" s="356"/>
      <c r="K214" s="356"/>
      <c r="L214" s="356"/>
    </row>
    <row r="215" spans="9:12" ht="15.75" customHeight="1">
      <c r="I215" s="356"/>
      <c r="J215" s="356"/>
      <c r="K215" s="356"/>
      <c r="L215" s="356"/>
    </row>
    <row r="216" spans="9:12" ht="15.75" customHeight="1">
      <c r="I216" s="356"/>
      <c r="J216" s="356"/>
      <c r="K216" s="356"/>
      <c r="L216" s="356"/>
    </row>
    <row r="217" spans="9:12" ht="15.75" customHeight="1">
      <c r="I217" s="356"/>
      <c r="J217" s="356"/>
      <c r="K217" s="356"/>
      <c r="L217" s="356"/>
    </row>
    <row r="218" spans="9:12" ht="15.75" customHeight="1">
      <c r="I218" s="356"/>
      <c r="J218" s="356"/>
      <c r="K218" s="356"/>
      <c r="L218" s="356"/>
    </row>
    <row r="219" spans="9:12" ht="15.75" customHeight="1">
      <c r="I219" s="356"/>
      <c r="J219" s="356"/>
      <c r="K219" s="356"/>
      <c r="L219" s="356"/>
    </row>
    <row r="220" spans="9:12" ht="15.75" customHeight="1">
      <c r="I220" s="356"/>
      <c r="J220" s="356"/>
      <c r="K220" s="356"/>
      <c r="L220" s="356"/>
    </row>
    <row r="221" spans="9:12" ht="15.75" customHeight="1">
      <c r="I221" s="356"/>
      <c r="J221" s="356"/>
      <c r="K221" s="356"/>
      <c r="L221" s="356"/>
    </row>
    <row r="222" spans="9:12" ht="15.75" customHeight="1">
      <c r="I222" s="356"/>
      <c r="J222" s="356"/>
      <c r="K222" s="356"/>
      <c r="L222" s="356"/>
    </row>
    <row r="223" spans="9:12" ht="15.75" customHeight="1">
      <c r="I223" s="356"/>
      <c r="J223" s="356"/>
      <c r="K223" s="356"/>
      <c r="L223" s="356"/>
    </row>
    <row r="224" spans="9:12" ht="15.75" customHeight="1">
      <c r="I224" s="356"/>
      <c r="J224" s="356"/>
      <c r="K224" s="356"/>
      <c r="L224" s="356"/>
    </row>
    <row r="225" spans="9:12" ht="15.75" customHeight="1">
      <c r="I225" s="356"/>
      <c r="J225" s="356"/>
      <c r="K225" s="356"/>
      <c r="L225" s="356"/>
    </row>
    <row r="226" spans="9:12" ht="15.75" customHeight="1">
      <c r="I226" s="356"/>
      <c r="J226" s="356"/>
      <c r="K226" s="356"/>
      <c r="L226" s="356"/>
    </row>
    <row r="227" spans="9:12" ht="15.75" customHeight="1">
      <c r="I227" s="356"/>
      <c r="J227" s="356"/>
      <c r="K227" s="356"/>
      <c r="L227" s="356"/>
    </row>
    <row r="228" spans="9:12" ht="15.75" customHeight="1">
      <c r="I228" s="356"/>
      <c r="J228" s="356"/>
      <c r="K228" s="356"/>
      <c r="L228" s="356"/>
    </row>
    <row r="229" spans="9:12" ht="15.75" customHeight="1">
      <c r="I229" s="356"/>
      <c r="J229" s="356"/>
      <c r="K229" s="356"/>
      <c r="L229" s="356"/>
    </row>
    <row r="230" spans="9:12" ht="15.75" customHeight="1">
      <c r="I230" s="356"/>
      <c r="J230" s="356"/>
      <c r="K230" s="356"/>
      <c r="L230" s="356"/>
    </row>
    <row r="231" spans="9:12" ht="15.75" customHeight="1">
      <c r="I231" s="356"/>
      <c r="J231" s="356"/>
      <c r="K231" s="356"/>
      <c r="L231" s="356"/>
    </row>
    <row r="232" spans="9:12" ht="15.75" customHeight="1">
      <c r="I232" s="356"/>
      <c r="J232" s="356"/>
      <c r="K232" s="356"/>
      <c r="L232" s="356"/>
    </row>
    <row r="233" spans="9:12" ht="15.75" customHeight="1">
      <c r="I233" s="356"/>
      <c r="J233" s="356"/>
      <c r="K233" s="356"/>
      <c r="L233" s="356"/>
    </row>
    <row r="234" spans="9:12" ht="15.75" customHeight="1">
      <c r="I234" s="356"/>
      <c r="J234" s="356"/>
      <c r="K234" s="356"/>
      <c r="L234" s="356"/>
    </row>
    <row r="235" spans="9:12" ht="15.75" customHeight="1">
      <c r="I235" s="356"/>
      <c r="J235" s="356"/>
      <c r="K235" s="356"/>
      <c r="L235" s="356"/>
    </row>
    <row r="236" spans="9:12" ht="15.75" customHeight="1">
      <c r="I236" s="356"/>
      <c r="J236" s="356"/>
      <c r="K236" s="356"/>
      <c r="L236" s="356"/>
    </row>
    <row r="237" spans="9:12" ht="15.75" customHeight="1">
      <c r="I237" s="356"/>
      <c r="J237" s="356"/>
      <c r="K237" s="356"/>
      <c r="L237" s="356"/>
    </row>
    <row r="238" spans="9:12" ht="15.75" customHeight="1">
      <c r="I238" s="356"/>
      <c r="J238" s="356"/>
      <c r="K238" s="356"/>
      <c r="L238" s="356"/>
    </row>
    <row r="239" spans="9:12" ht="15.75" customHeight="1">
      <c r="I239" s="356"/>
      <c r="J239" s="356"/>
      <c r="K239" s="356"/>
      <c r="L239" s="356"/>
    </row>
    <row r="240" spans="9:12" ht="15.75" customHeight="1">
      <c r="I240" s="356"/>
      <c r="J240" s="356"/>
      <c r="K240" s="356"/>
      <c r="L240" s="356"/>
    </row>
    <row r="241" spans="9:12" ht="15.75" customHeight="1">
      <c r="I241" s="356"/>
      <c r="J241" s="356"/>
      <c r="K241" s="356"/>
      <c r="L241" s="356"/>
    </row>
    <row r="242" spans="9:12" ht="15.75" customHeight="1">
      <c r="I242" s="356"/>
      <c r="J242" s="356"/>
      <c r="K242" s="356"/>
      <c r="L242" s="356"/>
    </row>
    <row r="243" spans="9:12" ht="15.75" customHeight="1">
      <c r="I243" s="356"/>
      <c r="J243" s="356"/>
      <c r="K243" s="356"/>
      <c r="L243" s="356"/>
    </row>
    <row r="244" spans="9:12" ht="15.75" customHeight="1">
      <c r="I244" s="356"/>
      <c r="J244" s="356"/>
      <c r="K244" s="356"/>
      <c r="L244" s="356"/>
    </row>
    <row r="245" spans="9:12" ht="15.75" customHeight="1">
      <c r="I245" s="356"/>
      <c r="J245" s="356"/>
      <c r="K245" s="356"/>
      <c r="L245" s="356"/>
    </row>
    <row r="246" spans="9:12" ht="15.75" customHeight="1">
      <c r="I246" s="356"/>
      <c r="J246" s="356"/>
      <c r="K246" s="356"/>
      <c r="L246" s="356"/>
    </row>
    <row r="247" spans="9:12" ht="15.75" customHeight="1">
      <c r="I247" s="356"/>
      <c r="J247" s="356"/>
      <c r="K247" s="356"/>
      <c r="L247" s="356"/>
    </row>
    <row r="248" spans="9:12" ht="15.75" customHeight="1">
      <c r="I248" s="356"/>
      <c r="J248" s="356"/>
      <c r="K248" s="356"/>
      <c r="L248" s="356"/>
    </row>
    <row r="249" spans="9:12" ht="15.75" customHeight="1">
      <c r="I249" s="356"/>
      <c r="J249" s="356"/>
      <c r="K249" s="356"/>
      <c r="L249" s="356"/>
    </row>
    <row r="250" spans="9:12" ht="15.75" customHeight="1">
      <c r="I250" s="356"/>
      <c r="J250" s="356"/>
      <c r="K250" s="356"/>
      <c r="L250" s="356"/>
    </row>
    <row r="251" spans="9:12" ht="15.75" customHeight="1">
      <c r="I251" s="356"/>
      <c r="J251" s="356"/>
      <c r="K251" s="356"/>
      <c r="L251" s="356"/>
    </row>
    <row r="252" spans="9:12" ht="15.75" customHeight="1">
      <c r="I252" s="356"/>
      <c r="J252" s="356"/>
      <c r="K252" s="356"/>
      <c r="L252" s="356"/>
    </row>
    <row r="253" spans="9:12" ht="15.75" customHeight="1">
      <c r="I253" s="356"/>
      <c r="J253" s="356"/>
      <c r="K253" s="356"/>
      <c r="L253" s="356"/>
    </row>
    <row r="254" spans="9:12" ht="15.75" customHeight="1">
      <c r="I254" s="356"/>
      <c r="J254" s="356"/>
      <c r="K254" s="356"/>
      <c r="L254" s="356"/>
    </row>
    <row r="255" spans="9:12" ht="15.75" customHeight="1">
      <c r="I255" s="356"/>
      <c r="J255" s="356"/>
      <c r="K255" s="356"/>
      <c r="L255" s="356"/>
    </row>
    <row r="256" spans="9:12" ht="15.75" customHeight="1">
      <c r="I256" s="356"/>
      <c r="J256" s="356"/>
      <c r="K256" s="356"/>
      <c r="L256" s="356"/>
    </row>
    <row r="257" spans="9:12" ht="15.75" customHeight="1">
      <c r="I257" s="356"/>
      <c r="J257" s="356"/>
      <c r="K257" s="356"/>
      <c r="L257" s="356"/>
    </row>
    <row r="258" spans="9:12" ht="15.75" customHeight="1">
      <c r="I258" s="356"/>
      <c r="J258" s="356"/>
      <c r="K258" s="356"/>
      <c r="L258" s="356"/>
    </row>
    <row r="259" spans="9:12" ht="15.75" customHeight="1">
      <c r="I259" s="356"/>
      <c r="J259" s="356"/>
      <c r="K259" s="356"/>
      <c r="L259" s="356"/>
    </row>
    <row r="260" spans="9:12" ht="15.75" customHeight="1">
      <c r="I260" s="356"/>
      <c r="J260" s="356"/>
      <c r="K260" s="356"/>
      <c r="L260" s="356"/>
    </row>
    <row r="261" spans="9:12" ht="15.75" customHeight="1">
      <c r="I261" s="356"/>
      <c r="J261" s="356"/>
      <c r="K261" s="356"/>
      <c r="L261" s="356"/>
    </row>
    <row r="262" spans="9:12" ht="15.75" customHeight="1">
      <c r="I262" s="356"/>
      <c r="J262" s="356"/>
      <c r="K262" s="356"/>
      <c r="L262" s="356"/>
    </row>
    <row r="263" spans="9:12" ht="15.75" customHeight="1">
      <c r="I263" s="356"/>
      <c r="J263" s="356"/>
      <c r="K263" s="356"/>
      <c r="L263" s="356"/>
    </row>
    <row r="264" spans="9:12" ht="15.75" customHeight="1">
      <c r="I264" s="356"/>
      <c r="J264" s="356"/>
      <c r="K264" s="356"/>
      <c r="L264" s="356"/>
    </row>
    <row r="265" spans="9:12" ht="15.75" customHeight="1">
      <c r="I265" s="356"/>
      <c r="J265" s="356"/>
      <c r="K265" s="356"/>
      <c r="L265" s="356"/>
    </row>
    <row r="266" spans="9:12" ht="15.75" customHeight="1">
      <c r="I266" s="356"/>
      <c r="J266" s="356"/>
      <c r="K266" s="356"/>
      <c r="L266" s="356"/>
    </row>
    <row r="267" spans="9:12" ht="15.75" customHeight="1">
      <c r="I267" s="356"/>
      <c r="J267" s="356"/>
      <c r="K267" s="356"/>
      <c r="L267" s="356"/>
    </row>
    <row r="268" spans="9:12" ht="15.75" customHeight="1">
      <c r="I268" s="356"/>
      <c r="J268" s="356"/>
      <c r="K268" s="356"/>
      <c r="L268" s="356"/>
    </row>
    <row r="269" spans="9:12" ht="15.75" customHeight="1">
      <c r="I269" s="356"/>
      <c r="J269" s="356"/>
      <c r="K269" s="356"/>
      <c r="L269" s="356"/>
    </row>
    <row r="270" spans="9:12" ht="15.75" customHeight="1">
      <c r="I270" s="356"/>
      <c r="J270" s="356"/>
      <c r="K270" s="356"/>
      <c r="L270" s="356"/>
    </row>
    <row r="271" spans="9:12" ht="15.75" customHeight="1">
      <c r="I271" s="356"/>
      <c r="J271" s="356"/>
      <c r="K271" s="356"/>
      <c r="L271" s="356"/>
    </row>
    <row r="272" spans="9:12" ht="15.75" customHeight="1">
      <c r="I272" s="356"/>
      <c r="J272" s="356"/>
      <c r="K272" s="356"/>
      <c r="L272" s="356"/>
    </row>
    <row r="273" spans="9:12" ht="15.75" customHeight="1">
      <c r="I273" s="356"/>
      <c r="J273" s="356"/>
      <c r="K273" s="356"/>
      <c r="L273" s="356"/>
    </row>
    <row r="274" spans="9:12" ht="15.75" customHeight="1">
      <c r="I274" s="356"/>
      <c r="J274" s="356"/>
      <c r="K274" s="356"/>
      <c r="L274" s="356"/>
    </row>
    <row r="275" spans="9:12" ht="15.75" customHeight="1">
      <c r="I275" s="356"/>
      <c r="J275" s="356"/>
      <c r="K275" s="356"/>
      <c r="L275" s="356"/>
    </row>
    <row r="276" spans="9:12" ht="15.75" customHeight="1">
      <c r="I276" s="356"/>
      <c r="J276" s="356"/>
      <c r="K276" s="356"/>
      <c r="L276" s="356"/>
    </row>
    <row r="277" spans="9:12" ht="15.75" customHeight="1">
      <c r="I277" s="356"/>
      <c r="J277" s="356"/>
      <c r="K277" s="356"/>
      <c r="L277" s="356"/>
    </row>
    <row r="278" spans="9:12" ht="15.75" customHeight="1">
      <c r="I278" s="356"/>
      <c r="J278" s="356"/>
      <c r="K278" s="356"/>
      <c r="L278" s="356"/>
    </row>
    <row r="279" spans="9:12" ht="15.75" customHeight="1">
      <c r="I279" s="356"/>
      <c r="J279" s="356"/>
      <c r="K279" s="356"/>
      <c r="L279" s="356"/>
    </row>
    <row r="280" spans="9:12" ht="15.75" customHeight="1">
      <c r="I280" s="356"/>
      <c r="J280" s="356"/>
      <c r="K280" s="356"/>
      <c r="L280" s="356"/>
    </row>
    <row r="281" spans="9:12" ht="15.75" customHeight="1">
      <c r="I281" s="356"/>
      <c r="J281" s="356"/>
      <c r="K281" s="356"/>
      <c r="L281" s="356"/>
    </row>
    <row r="282" spans="9:12" ht="15.75" customHeight="1">
      <c r="I282" s="356"/>
      <c r="J282" s="356"/>
      <c r="K282" s="356"/>
      <c r="L282" s="356"/>
    </row>
    <row r="283" spans="9:12" ht="15.75" customHeight="1">
      <c r="I283" s="356"/>
      <c r="J283" s="356"/>
      <c r="K283" s="356"/>
      <c r="L283" s="356"/>
    </row>
    <row r="284" spans="9:12" ht="15.75" customHeight="1">
      <c r="I284" s="356"/>
      <c r="J284" s="356"/>
      <c r="K284" s="356"/>
      <c r="L284" s="356"/>
    </row>
    <row r="285" spans="9:12" ht="15.75" customHeight="1">
      <c r="I285" s="356"/>
      <c r="J285" s="356"/>
      <c r="K285" s="356"/>
      <c r="L285" s="356"/>
    </row>
    <row r="286" spans="9:12" ht="15.75" customHeight="1">
      <c r="I286" s="356"/>
      <c r="J286" s="356"/>
      <c r="K286" s="356"/>
      <c r="L286" s="356"/>
    </row>
    <row r="287" spans="9:12" ht="15.75" customHeight="1">
      <c r="I287" s="356"/>
      <c r="J287" s="356"/>
      <c r="K287" s="356"/>
      <c r="L287" s="356"/>
    </row>
    <row r="288" spans="9:12" ht="15.75" customHeight="1">
      <c r="I288" s="356"/>
      <c r="J288" s="356"/>
      <c r="K288" s="356"/>
      <c r="L288" s="356"/>
    </row>
    <row r="289" spans="9:12" ht="15.75" customHeight="1">
      <c r="I289" s="356"/>
      <c r="J289" s="356"/>
      <c r="K289" s="356"/>
      <c r="L289" s="356"/>
    </row>
    <row r="290" spans="9:12" ht="15.75" customHeight="1">
      <c r="I290" s="356"/>
      <c r="J290" s="356"/>
      <c r="K290" s="356"/>
      <c r="L290" s="356"/>
    </row>
    <row r="291" spans="9:12" ht="15.75" customHeight="1">
      <c r="I291" s="356"/>
      <c r="J291" s="356"/>
      <c r="K291" s="356"/>
      <c r="L291" s="356"/>
    </row>
    <row r="292" spans="9:12" ht="15.75" customHeight="1">
      <c r="I292" s="356"/>
      <c r="J292" s="356"/>
      <c r="K292" s="356"/>
      <c r="L292" s="356"/>
    </row>
    <row r="293" spans="9:12" ht="15.75" customHeight="1">
      <c r="I293" s="356"/>
      <c r="J293" s="356"/>
      <c r="K293" s="356"/>
      <c r="L293" s="356"/>
    </row>
    <row r="294" spans="9:12" ht="15.75" customHeight="1">
      <c r="I294" s="356"/>
      <c r="J294" s="356"/>
      <c r="K294" s="356"/>
      <c r="L294" s="356"/>
    </row>
    <row r="295" spans="9:12" ht="15.75" customHeight="1">
      <c r="I295" s="356"/>
      <c r="J295" s="356"/>
      <c r="K295" s="356"/>
      <c r="L295" s="356"/>
    </row>
    <row r="296" spans="9:12" ht="15.75" customHeight="1">
      <c r="I296" s="356"/>
      <c r="J296" s="356"/>
      <c r="K296" s="356"/>
      <c r="L296" s="356"/>
    </row>
    <row r="297" spans="9:12" ht="15.75" customHeight="1">
      <c r="I297" s="356"/>
      <c r="J297" s="356"/>
      <c r="K297" s="356"/>
      <c r="L297" s="356"/>
    </row>
    <row r="298" spans="9:12" ht="15.75" customHeight="1">
      <c r="I298" s="356"/>
      <c r="J298" s="356"/>
      <c r="K298" s="356"/>
      <c r="L298" s="356"/>
    </row>
    <row r="299" spans="9:12" ht="15.75" customHeight="1">
      <c r="I299" s="356"/>
      <c r="J299" s="356"/>
      <c r="K299" s="356"/>
      <c r="L299" s="356"/>
    </row>
    <row r="300" spans="9:12" ht="15.75" customHeight="1">
      <c r="I300" s="356"/>
      <c r="J300" s="356"/>
      <c r="K300" s="356"/>
      <c r="L300" s="356"/>
    </row>
    <row r="301" spans="9:12" ht="15.75" customHeight="1">
      <c r="I301" s="356"/>
      <c r="J301" s="356"/>
      <c r="K301" s="356"/>
      <c r="L301" s="356"/>
    </row>
    <row r="302" spans="9:12" ht="15.75" customHeight="1">
      <c r="I302" s="356"/>
      <c r="J302" s="356"/>
      <c r="K302" s="356"/>
      <c r="L302" s="356"/>
    </row>
    <row r="303" spans="9:12" ht="15.75" customHeight="1">
      <c r="I303" s="356"/>
      <c r="J303" s="356"/>
      <c r="K303" s="356"/>
      <c r="L303" s="356"/>
    </row>
    <row r="304" spans="9:12" ht="15.75" customHeight="1">
      <c r="I304" s="356"/>
      <c r="J304" s="356"/>
      <c r="K304" s="356"/>
      <c r="L304" s="356"/>
    </row>
    <row r="305" spans="9:12" ht="15.75" customHeight="1">
      <c r="I305" s="356"/>
      <c r="J305" s="356"/>
      <c r="K305" s="356"/>
      <c r="L305" s="356"/>
    </row>
    <row r="306" spans="9:12" ht="15.75" customHeight="1">
      <c r="I306" s="356"/>
      <c r="J306" s="356"/>
      <c r="K306" s="356"/>
      <c r="L306" s="356"/>
    </row>
    <row r="307" spans="9:12" ht="15.75" customHeight="1">
      <c r="I307" s="356"/>
      <c r="J307" s="356"/>
      <c r="K307" s="356"/>
      <c r="L307" s="356"/>
    </row>
    <row r="308" spans="9:12" ht="15.75" customHeight="1">
      <c r="I308" s="356"/>
      <c r="J308" s="356"/>
      <c r="K308" s="356"/>
      <c r="L308" s="356"/>
    </row>
    <row r="309" spans="9:12" ht="15.75" customHeight="1">
      <c r="I309" s="356"/>
      <c r="J309" s="356"/>
      <c r="K309" s="356"/>
      <c r="L309" s="356"/>
    </row>
    <row r="310" spans="9:12" ht="15.75" customHeight="1">
      <c r="I310" s="356"/>
      <c r="J310" s="356"/>
      <c r="K310" s="356"/>
      <c r="L310" s="356"/>
    </row>
    <row r="311" spans="9:12" ht="15.75" customHeight="1">
      <c r="I311" s="356"/>
      <c r="J311" s="356"/>
      <c r="K311" s="356"/>
      <c r="L311" s="356"/>
    </row>
    <row r="312" spans="9:12" ht="15.75" customHeight="1">
      <c r="I312" s="356"/>
      <c r="J312" s="356"/>
      <c r="K312" s="356"/>
      <c r="L312" s="356"/>
    </row>
    <row r="313" spans="9:12" ht="15.75" customHeight="1">
      <c r="I313" s="356"/>
      <c r="J313" s="356"/>
      <c r="K313" s="356"/>
      <c r="L313" s="356"/>
    </row>
    <row r="314" spans="9:12" ht="15.75" customHeight="1">
      <c r="I314" s="356"/>
      <c r="J314" s="356"/>
      <c r="K314" s="356"/>
      <c r="L314" s="356"/>
    </row>
    <row r="315" spans="9:12" ht="15.75" customHeight="1">
      <c r="I315" s="356"/>
      <c r="J315" s="356"/>
      <c r="K315" s="356"/>
      <c r="L315" s="356"/>
    </row>
    <row r="316" spans="9:12" ht="15.75" customHeight="1">
      <c r="I316" s="356"/>
      <c r="J316" s="356"/>
      <c r="K316" s="356"/>
      <c r="L316" s="356"/>
    </row>
    <row r="317" spans="9:12" ht="15.75" customHeight="1">
      <c r="I317" s="356"/>
      <c r="J317" s="356"/>
      <c r="K317" s="356"/>
      <c r="L317" s="356"/>
    </row>
    <row r="318" spans="9:12" ht="15.75" customHeight="1">
      <c r="I318" s="356"/>
      <c r="J318" s="356"/>
      <c r="K318" s="356"/>
      <c r="L318" s="356"/>
    </row>
    <row r="319" spans="9:12" ht="15.75" customHeight="1">
      <c r="I319" s="356"/>
      <c r="J319" s="356"/>
      <c r="K319" s="356"/>
      <c r="L319" s="356"/>
    </row>
    <row r="320" spans="9:12" ht="15.75" customHeight="1">
      <c r="I320" s="356"/>
      <c r="J320" s="356"/>
      <c r="K320" s="356"/>
      <c r="L320" s="356"/>
    </row>
    <row r="321" spans="9:12" ht="15.75" customHeight="1">
      <c r="I321" s="356"/>
      <c r="J321" s="356"/>
      <c r="K321" s="356"/>
      <c r="L321" s="356"/>
    </row>
    <row r="322" spans="9:12" ht="15.75" customHeight="1">
      <c r="I322" s="356"/>
      <c r="J322" s="356"/>
      <c r="K322" s="356"/>
      <c r="L322" s="356"/>
    </row>
    <row r="323" spans="9:12" ht="15.75" customHeight="1">
      <c r="I323" s="356"/>
      <c r="J323" s="356"/>
      <c r="K323" s="356"/>
      <c r="L323" s="356"/>
    </row>
    <row r="324" spans="9:12" ht="15.75" customHeight="1">
      <c r="I324" s="356"/>
      <c r="J324" s="356"/>
      <c r="K324" s="356"/>
      <c r="L324" s="356"/>
    </row>
    <row r="325" spans="9:12" ht="15.75" customHeight="1">
      <c r="I325" s="356"/>
      <c r="J325" s="356"/>
      <c r="K325" s="356"/>
      <c r="L325" s="356"/>
    </row>
    <row r="326" spans="9:12" ht="15.75" customHeight="1">
      <c r="I326" s="356"/>
      <c r="J326" s="356"/>
      <c r="K326" s="356"/>
      <c r="L326" s="356"/>
    </row>
    <row r="327" spans="9:12" ht="15.75" customHeight="1">
      <c r="I327" s="356"/>
      <c r="J327" s="356"/>
      <c r="K327" s="356"/>
      <c r="L327" s="356"/>
    </row>
    <row r="328" spans="9:12" ht="15.75" customHeight="1">
      <c r="I328" s="356"/>
      <c r="J328" s="356"/>
      <c r="K328" s="356"/>
      <c r="L328" s="356"/>
    </row>
    <row r="329" spans="9:12" ht="15.75" customHeight="1">
      <c r="I329" s="356"/>
      <c r="J329" s="356"/>
      <c r="K329" s="356"/>
      <c r="L329" s="356"/>
    </row>
    <row r="330" spans="9:12" ht="15.75" customHeight="1">
      <c r="I330" s="356"/>
      <c r="J330" s="356"/>
      <c r="K330" s="356"/>
      <c r="L330" s="356"/>
    </row>
    <row r="331" spans="9:12" ht="15.75" customHeight="1">
      <c r="I331" s="356"/>
      <c r="J331" s="356"/>
      <c r="K331" s="356"/>
      <c r="L331" s="356"/>
    </row>
    <row r="332" spans="9:12" ht="15.75" customHeight="1">
      <c r="I332" s="356"/>
      <c r="J332" s="356"/>
      <c r="K332" s="356"/>
      <c r="L332" s="356"/>
    </row>
    <row r="333" spans="9:12" ht="15.75" customHeight="1">
      <c r="I333" s="356"/>
      <c r="J333" s="356"/>
      <c r="K333" s="356"/>
      <c r="L333" s="356"/>
    </row>
    <row r="334" spans="9:12" ht="15.75" customHeight="1">
      <c r="I334" s="356"/>
      <c r="J334" s="356"/>
      <c r="K334" s="356"/>
      <c r="L334" s="356"/>
    </row>
    <row r="335" spans="9:12" ht="15.75" customHeight="1">
      <c r="I335" s="356"/>
      <c r="J335" s="356"/>
      <c r="K335" s="356"/>
      <c r="L335" s="356"/>
    </row>
    <row r="336" spans="9:12" ht="15.75" customHeight="1">
      <c r="I336" s="356"/>
      <c r="J336" s="356"/>
      <c r="K336" s="356"/>
      <c r="L336" s="356"/>
    </row>
    <row r="337" spans="9:12" ht="15.75" customHeight="1">
      <c r="I337" s="356"/>
      <c r="J337" s="356"/>
      <c r="K337" s="356"/>
      <c r="L337" s="356"/>
    </row>
    <row r="338" spans="9:12" ht="15.75" customHeight="1">
      <c r="I338" s="356"/>
      <c r="J338" s="356"/>
      <c r="K338" s="356"/>
      <c r="L338" s="356"/>
    </row>
    <row r="339" spans="9:12" ht="15.75" customHeight="1">
      <c r="I339" s="356"/>
      <c r="J339" s="356"/>
      <c r="K339" s="356"/>
      <c r="L339" s="356"/>
    </row>
    <row r="340" spans="9:12" ht="15.75" customHeight="1">
      <c r="I340" s="356"/>
      <c r="J340" s="356"/>
      <c r="K340" s="356"/>
      <c r="L340" s="356"/>
    </row>
    <row r="341" spans="9:12" ht="15.75" customHeight="1">
      <c r="I341" s="356"/>
      <c r="J341" s="356"/>
      <c r="K341" s="356"/>
      <c r="L341" s="356"/>
    </row>
    <row r="342" spans="9:12" ht="15.75" customHeight="1">
      <c r="I342" s="356"/>
      <c r="J342" s="356"/>
      <c r="K342" s="356"/>
      <c r="L342" s="356"/>
    </row>
    <row r="343" spans="9:12" ht="15.75" customHeight="1">
      <c r="I343" s="356"/>
      <c r="J343" s="356"/>
      <c r="K343" s="356"/>
      <c r="L343" s="356"/>
    </row>
    <row r="344" spans="9:12" ht="15.75" customHeight="1">
      <c r="I344" s="356"/>
      <c r="J344" s="356"/>
      <c r="K344" s="356"/>
      <c r="L344" s="356"/>
    </row>
    <row r="345" spans="9:12" ht="15.75" customHeight="1">
      <c r="I345" s="356"/>
      <c r="J345" s="356"/>
      <c r="K345" s="356"/>
      <c r="L345" s="356"/>
    </row>
    <row r="346" spans="9:12" ht="15.75" customHeight="1">
      <c r="I346" s="356"/>
      <c r="J346" s="356"/>
      <c r="K346" s="356"/>
      <c r="L346" s="356"/>
    </row>
    <row r="347" spans="9:12" ht="15.75" customHeight="1">
      <c r="I347" s="356"/>
      <c r="J347" s="356"/>
      <c r="K347" s="356"/>
      <c r="L347" s="356"/>
    </row>
    <row r="348" spans="9:12" ht="15.75" customHeight="1">
      <c r="I348" s="356"/>
      <c r="J348" s="356"/>
      <c r="K348" s="356"/>
      <c r="L348" s="356"/>
    </row>
    <row r="349" spans="9:12" ht="15.75" customHeight="1">
      <c r="I349" s="356"/>
      <c r="J349" s="356"/>
      <c r="K349" s="356"/>
      <c r="L349" s="356"/>
    </row>
    <row r="350" spans="9:12" ht="15.75" customHeight="1">
      <c r="I350" s="356"/>
      <c r="J350" s="356"/>
      <c r="K350" s="356"/>
      <c r="L350" s="356"/>
    </row>
    <row r="351" spans="9:12" ht="15.75" customHeight="1">
      <c r="I351" s="356"/>
      <c r="J351" s="356"/>
      <c r="K351" s="356"/>
      <c r="L351" s="356"/>
    </row>
    <row r="352" spans="9:12" ht="15.75" customHeight="1">
      <c r="I352" s="356"/>
      <c r="J352" s="356"/>
      <c r="K352" s="356"/>
      <c r="L352" s="356"/>
    </row>
    <row r="353" spans="9:12" ht="15.75" customHeight="1">
      <c r="I353" s="356"/>
      <c r="J353" s="356"/>
      <c r="K353" s="356"/>
      <c r="L353" s="356"/>
    </row>
    <row r="354" spans="9:12" ht="15.75" customHeight="1">
      <c r="I354" s="356"/>
      <c r="J354" s="356"/>
      <c r="K354" s="356"/>
      <c r="L354" s="356"/>
    </row>
    <row r="355" spans="9:12" ht="15.75" customHeight="1">
      <c r="I355" s="356"/>
      <c r="J355" s="356"/>
      <c r="K355" s="356"/>
      <c r="L355" s="356"/>
    </row>
    <row r="356" spans="9:12" ht="15.75" customHeight="1">
      <c r="I356" s="356"/>
      <c r="J356" s="356"/>
      <c r="K356" s="356"/>
      <c r="L356" s="356"/>
    </row>
    <row r="357" spans="9:12" ht="15.75" customHeight="1">
      <c r="I357" s="356"/>
      <c r="J357" s="356"/>
      <c r="K357" s="356"/>
      <c r="L357" s="356"/>
    </row>
    <row r="358" spans="9:12" ht="15.75" customHeight="1">
      <c r="I358" s="356"/>
      <c r="J358" s="356"/>
      <c r="K358" s="356"/>
      <c r="L358" s="356"/>
    </row>
    <row r="359" spans="9:12" ht="15.75" customHeight="1">
      <c r="I359" s="356"/>
      <c r="J359" s="356"/>
      <c r="K359" s="356"/>
      <c r="L359" s="356"/>
    </row>
    <row r="360" spans="9:12" ht="15.75" customHeight="1">
      <c r="I360" s="356"/>
      <c r="J360" s="356"/>
      <c r="K360" s="356"/>
      <c r="L360" s="356"/>
    </row>
    <row r="361" spans="9:12" ht="15.75" customHeight="1">
      <c r="I361" s="356"/>
      <c r="J361" s="356"/>
      <c r="K361" s="356"/>
      <c r="L361" s="356"/>
    </row>
    <row r="362" spans="9:12" ht="15.75" customHeight="1">
      <c r="I362" s="356"/>
      <c r="J362" s="356"/>
      <c r="K362" s="356"/>
      <c r="L362" s="356"/>
    </row>
    <row r="363" spans="9:12" ht="15.75" customHeight="1">
      <c r="I363" s="356"/>
      <c r="J363" s="356"/>
      <c r="K363" s="356"/>
      <c r="L363" s="356"/>
    </row>
    <row r="364" spans="9:12" ht="15.75" customHeight="1">
      <c r="I364" s="356"/>
      <c r="J364" s="356"/>
      <c r="K364" s="356"/>
      <c r="L364" s="356"/>
    </row>
    <row r="365" spans="9:12" ht="15.75" customHeight="1">
      <c r="I365" s="356"/>
      <c r="J365" s="356"/>
      <c r="K365" s="356"/>
      <c r="L365" s="356"/>
    </row>
    <row r="366" spans="9:12" ht="15.75" customHeight="1">
      <c r="I366" s="356"/>
      <c r="J366" s="356"/>
      <c r="K366" s="356"/>
      <c r="L366" s="356"/>
    </row>
    <row r="367" spans="9:12" ht="15.75" customHeight="1">
      <c r="I367" s="356"/>
      <c r="J367" s="356"/>
      <c r="K367" s="356"/>
      <c r="L367" s="356"/>
    </row>
    <row r="368" spans="9:12" ht="15.75" customHeight="1">
      <c r="I368" s="356"/>
      <c r="J368" s="356"/>
      <c r="K368" s="356"/>
      <c r="L368" s="356"/>
    </row>
    <row r="369" spans="9:12" ht="15.75" customHeight="1">
      <c r="I369" s="356"/>
      <c r="J369" s="356"/>
      <c r="K369" s="356"/>
      <c r="L369" s="356"/>
    </row>
    <row r="370" spans="9:12" ht="15.75" customHeight="1">
      <c r="I370" s="356"/>
      <c r="J370" s="356"/>
      <c r="K370" s="356"/>
      <c r="L370" s="356"/>
    </row>
    <row r="371" spans="9:12" ht="15.75" customHeight="1">
      <c r="I371" s="356"/>
      <c r="J371" s="356"/>
      <c r="K371" s="356"/>
      <c r="L371" s="356"/>
    </row>
    <row r="372" spans="9:12" ht="15.75" customHeight="1">
      <c r="I372" s="356"/>
      <c r="J372" s="356"/>
      <c r="K372" s="356"/>
      <c r="L372" s="356"/>
    </row>
    <row r="373" spans="9:12" ht="15.75" customHeight="1">
      <c r="I373" s="356"/>
      <c r="J373" s="356"/>
      <c r="K373" s="356"/>
      <c r="L373" s="356"/>
    </row>
    <row r="374" spans="9:12" ht="15.75" customHeight="1">
      <c r="I374" s="356"/>
      <c r="J374" s="356"/>
      <c r="K374" s="356"/>
      <c r="L374" s="356"/>
    </row>
    <row r="375" spans="9:12" ht="15.75" customHeight="1">
      <c r="I375" s="356"/>
      <c r="J375" s="356"/>
      <c r="K375" s="356"/>
      <c r="L375" s="356"/>
    </row>
    <row r="376" spans="9:12" ht="15.75" customHeight="1">
      <c r="I376" s="356"/>
      <c r="J376" s="356"/>
      <c r="K376" s="356"/>
      <c r="L376" s="356"/>
    </row>
    <row r="377" spans="9:12" ht="15.75" customHeight="1">
      <c r="I377" s="356"/>
      <c r="J377" s="356"/>
      <c r="K377" s="356"/>
      <c r="L377" s="356"/>
    </row>
    <row r="378" spans="9:12" ht="15.75" customHeight="1">
      <c r="I378" s="356"/>
      <c r="J378" s="356"/>
      <c r="K378" s="356"/>
      <c r="L378" s="356"/>
    </row>
    <row r="379" spans="9:12" ht="15.75" customHeight="1">
      <c r="I379" s="356"/>
      <c r="J379" s="356"/>
      <c r="K379" s="356"/>
      <c r="L379" s="356"/>
    </row>
    <row r="380" spans="9:12" ht="15.75" customHeight="1">
      <c r="I380" s="356"/>
      <c r="J380" s="356"/>
      <c r="K380" s="356"/>
      <c r="L380" s="356"/>
    </row>
    <row r="381" spans="9:12" ht="15.75" customHeight="1">
      <c r="I381" s="356"/>
      <c r="J381" s="356"/>
      <c r="K381" s="356"/>
      <c r="L381" s="356"/>
    </row>
    <row r="382" spans="9:12" ht="15.75" customHeight="1">
      <c r="I382" s="356"/>
      <c r="J382" s="356"/>
      <c r="K382" s="356"/>
      <c r="L382" s="356"/>
    </row>
    <row r="383" spans="9:12" ht="15.75" customHeight="1">
      <c r="I383" s="356"/>
      <c r="J383" s="356"/>
      <c r="K383" s="356"/>
      <c r="L383" s="356"/>
    </row>
    <row r="384" spans="9:12" ht="15.75" customHeight="1">
      <c r="I384" s="356"/>
      <c r="J384" s="356"/>
      <c r="K384" s="356"/>
      <c r="L384" s="356"/>
    </row>
    <row r="385" spans="9:12" ht="15.75" customHeight="1">
      <c r="I385" s="356"/>
      <c r="J385" s="356"/>
      <c r="K385" s="356"/>
      <c r="L385" s="356"/>
    </row>
    <row r="386" spans="9:12" ht="15.75" customHeight="1">
      <c r="I386" s="356"/>
      <c r="J386" s="356"/>
      <c r="K386" s="356"/>
      <c r="L386" s="356"/>
    </row>
    <row r="387" spans="9:12" ht="15.75" customHeight="1">
      <c r="I387" s="356"/>
      <c r="J387" s="356"/>
      <c r="K387" s="356"/>
      <c r="L387" s="356"/>
    </row>
    <row r="388" spans="9:12" ht="15.75" customHeight="1">
      <c r="I388" s="356"/>
      <c r="J388" s="356"/>
      <c r="K388" s="356"/>
      <c r="L388" s="356"/>
    </row>
    <row r="389" spans="9:12" ht="15.75" customHeight="1">
      <c r="I389" s="356"/>
      <c r="J389" s="356"/>
      <c r="K389" s="356"/>
      <c r="L389" s="356"/>
    </row>
    <row r="390" spans="9:12" ht="15.75" customHeight="1">
      <c r="I390" s="356"/>
      <c r="J390" s="356"/>
      <c r="K390" s="356"/>
      <c r="L390" s="356"/>
    </row>
    <row r="391" spans="9:12" ht="15.75" customHeight="1">
      <c r="I391" s="356"/>
      <c r="J391" s="356"/>
      <c r="K391" s="356"/>
      <c r="L391" s="356"/>
    </row>
    <row r="392" spans="9:12" ht="15.75" customHeight="1">
      <c r="I392" s="356"/>
      <c r="J392" s="356"/>
      <c r="K392" s="356"/>
      <c r="L392" s="356"/>
    </row>
    <row r="393" spans="9:12" ht="15.75" customHeight="1">
      <c r="I393" s="356"/>
      <c r="J393" s="356"/>
      <c r="K393" s="356"/>
      <c r="L393" s="356"/>
    </row>
    <row r="394" spans="9:12" ht="15.75" customHeight="1">
      <c r="I394" s="356"/>
      <c r="J394" s="356"/>
      <c r="K394" s="356"/>
      <c r="L394" s="356"/>
    </row>
    <row r="395" spans="9:12" ht="15.75" customHeight="1">
      <c r="I395" s="356"/>
      <c r="J395" s="356"/>
      <c r="K395" s="356"/>
      <c r="L395" s="356"/>
    </row>
    <row r="396" spans="9:12" ht="15.75" customHeight="1">
      <c r="I396" s="356"/>
      <c r="J396" s="356"/>
      <c r="K396" s="356"/>
      <c r="L396" s="356"/>
    </row>
    <row r="397" spans="9:12" ht="15.75" customHeight="1">
      <c r="I397" s="356"/>
      <c r="J397" s="356"/>
      <c r="K397" s="356"/>
      <c r="L397" s="356"/>
    </row>
    <row r="398" spans="9:12" ht="15.75" customHeight="1">
      <c r="I398" s="356"/>
      <c r="J398" s="356"/>
      <c r="K398" s="356"/>
      <c r="L398" s="356"/>
    </row>
    <row r="399" spans="9:12" ht="15.75" customHeight="1">
      <c r="I399" s="356"/>
      <c r="J399" s="356"/>
      <c r="K399" s="356"/>
      <c r="L399" s="356"/>
    </row>
    <row r="400" spans="9:12" ht="15.75" customHeight="1">
      <c r="I400" s="356"/>
      <c r="J400" s="356"/>
      <c r="K400" s="356"/>
      <c r="L400" s="356"/>
    </row>
    <row r="401" spans="9:12" ht="15.75" customHeight="1">
      <c r="I401" s="356"/>
      <c r="J401" s="356"/>
      <c r="K401" s="356"/>
      <c r="L401" s="356"/>
    </row>
    <row r="402" spans="9:12" ht="15.75" customHeight="1">
      <c r="I402" s="356"/>
      <c r="J402" s="356"/>
      <c r="K402" s="356"/>
      <c r="L402" s="356"/>
    </row>
    <row r="403" spans="9:12" ht="15.75" customHeight="1">
      <c r="I403" s="356"/>
      <c r="J403" s="356"/>
      <c r="K403" s="356"/>
      <c r="L403" s="356"/>
    </row>
    <row r="404" spans="9:12" ht="15.75" customHeight="1">
      <c r="I404" s="356"/>
      <c r="J404" s="356"/>
      <c r="K404" s="356"/>
      <c r="L404" s="356"/>
    </row>
    <row r="405" spans="9:12" ht="15.75" customHeight="1">
      <c r="I405" s="356"/>
      <c r="J405" s="356"/>
      <c r="K405" s="356"/>
      <c r="L405" s="356"/>
    </row>
    <row r="406" spans="9:12" ht="15.75" customHeight="1">
      <c r="I406" s="356"/>
      <c r="J406" s="356"/>
      <c r="K406" s="356"/>
      <c r="L406" s="356"/>
    </row>
    <row r="407" spans="9:12" ht="15.75" customHeight="1">
      <c r="I407" s="356"/>
      <c r="J407" s="356"/>
      <c r="K407" s="356"/>
      <c r="L407" s="356"/>
    </row>
    <row r="408" spans="9:12" ht="15.75" customHeight="1">
      <c r="I408" s="356"/>
      <c r="J408" s="356"/>
      <c r="K408" s="356"/>
      <c r="L408" s="356"/>
    </row>
    <row r="409" spans="9:12" ht="15.75" customHeight="1">
      <c r="I409" s="356"/>
      <c r="J409" s="356"/>
      <c r="K409" s="356"/>
      <c r="L409" s="356"/>
    </row>
    <row r="410" spans="9:12" ht="15.75" customHeight="1">
      <c r="I410" s="356"/>
      <c r="J410" s="356"/>
      <c r="K410" s="356"/>
      <c r="L410" s="356"/>
    </row>
    <row r="411" spans="9:12" ht="15.75" customHeight="1">
      <c r="I411" s="356"/>
      <c r="J411" s="356"/>
      <c r="K411" s="356"/>
      <c r="L411" s="356"/>
    </row>
    <row r="412" spans="9:12" ht="15.75" customHeight="1">
      <c r="I412" s="356"/>
      <c r="J412" s="356"/>
      <c r="K412" s="356"/>
      <c r="L412" s="356"/>
    </row>
    <row r="413" spans="9:12" ht="15.75" customHeight="1">
      <c r="I413" s="356"/>
      <c r="J413" s="356"/>
      <c r="K413" s="356"/>
      <c r="L413" s="356"/>
    </row>
    <row r="414" spans="9:12" ht="15.75" customHeight="1">
      <c r="I414" s="356"/>
      <c r="J414" s="356"/>
      <c r="K414" s="356"/>
      <c r="L414" s="356"/>
    </row>
    <row r="415" spans="9:12" ht="15.75" customHeight="1">
      <c r="I415" s="356"/>
      <c r="J415" s="356"/>
      <c r="K415" s="356"/>
      <c r="L415" s="356"/>
    </row>
    <row r="416" spans="9:12" ht="15.75" customHeight="1">
      <c r="I416" s="356"/>
      <c r="J416" s="356"/>
      <c r="K416" s="356"/>
      <c r="L416" s="356"/>
    </row>
    <row r="417" spans="9:12" ht="15.75" customHeight="1">
      <c r="I417" s="356"/>
      <c r="J417" s="356"/>
      <c r="K417" s="356"/>
      <c r="L417" s="356"/>
    </row>
    <row r="418" spans="9:12" ht="15.75" customHeight="1">
      <c r="I418" s="356"/>
      <c r="J418" s="356"/>
      <c r="K418" s="356"/>
      <c r="L418" s="356"/>
    </row>
    <row r="419" spans="9:12" ht="15.75" customHeight="1">
      <c r="I419" s="356"/>
      <c r="J419" s="356"/>
      <c r="K419" s="356"/>
      <c r="L419" s="356"/>
    </row>
    <row r="420" spans="9:12" ht="15.75" customHeight="1">
      <c r="I420" s="356"/>
      <c r="J420" s="356"/>
      <c r="K420" s="356"/>
      <c r="L420" s="356"/>
    </row>
    <row r="421" spans="9:12" ht="15.75" customHeight="1">
      <c r="I421" s="356"/>
      <c r="J421" s="356"/>
      <c r="K421" s="356"/>
      <c r="L421" s="356"/>
    </row>
    <row r="422" spans="9:12" ht="15.75" customHeight="1">
      <c r="I422" s="356"/>
      <c r="J422" s="356"/>
      <c r="K422" s="356"/>
      <c r="L422" s="356"/>
    </row>
    <row r="423" spans="9:12" ht="15.75" customHeight="1">
      <c r="I423" s="356"/>
      <c r="J423" s="356"/>
      <c r="K423" s="356"/>
      <c r="L423" s="356"/>
    </row>
    <row r="424" spans="9:12" ht="15.75" customHeight="1">
      <c r="I424" s="356"/>
      <c r="J424" s="356"/>
      <c r="K424" s="356"/>
      <c r="L424" s="356"/>
    </row>
    <row r="425" spans="9:12" ht="15.75" customHeight="1">
      <c r="I425" s="356"/>
      <c r="J425" s="356"/>
      <c r="K425" s="356"/>
      <c r="L425" s="356"/>
    </row>
    <row r="426" spans="9:12" ht="15.75" customHeight="1">
      <c r="I426" s="356"/>
      <c r="J426" s="356"/>
      <c r="K426" s="356"/>
      <c r="L426" s="356"/>
    </row>
    <row r="427" spans="9:12" ht="15.75" customHeight="1">
      <c r="I427" s="356"/>
      <c r="J427" s="356"/>
      <c r="K427" s="356"/>
      <c r="L427" s="356"/>
    </row>
    <row r="428" spans="9:12" ht="15.75" customHeight="1">
      <c r="I428" s="356"/>
      <c r="J428" s="356"/>
      <c r="K428" s="356"/>
      <c r="L428" s="356"/>
    </row>
    <row r="429" spans="9:12" ht="15.75" customHeight="1">
      <c r="I429" s="356"/>
      <c r="J429" s="356"/>
      <c r="K429" s="356"/>
      <c r="L429" s="356"/>
    </row>
    <row r="430" spans="9:12" ht="15.75" customHeight="1">
      <c r="I430" s="356"/>
      <c r="J430" s="356"/>
      <c r="K430" s="356"/>
      <c r="L430" s="356"/>
    </row>
    <row r="431" spans="9:12" ht="15.75" customHeight="1">
      <c r="I431" s="356"/>
      <c r="J431" s="356"/>
      <c r="K431" s="356"/>
      <c r="L431" s="356"/>
    </row>
    <row r="432" spans="9:12" ht="15.75" customHeight="1">
      <c r="I432" s="356"/>
      <c r="J432" s="356"/>
      <c r="K432" s="356"/>
      <c r="L432" s="356"/>
    </row>
    <row r="433" spans="9:12" ht="15.75" customHeight="1">
      <c r="I433" s="356"/>
      <c r="J433" s="356"/>
      <c r="K433" s="356"/>
      <c r="L433" s="356"/>
    </row>
    <row r="434" spans="9:12" ht="15.75" customHeight="1">
      <c r="I434" s="356"/>
      <c r="J434" s="356"/>
      <c r="K434" s="356"/>
      <c r="L434" s="356"/>
    </row>
    <row r="435" spans="9:12" ht="15.75" customHeight="1">
      <c r="I435" s="356"/>
      <c r="J435" s="356"/>
      <c r="K435" s="356"/>
      <c r="L435" s="356"/>
    </row>
    <row r="436" spans="9:12" ht="15.75" customHeight="1">
      <c r="I436" s="356"/>
      <c r="J436" s="356"/>
      <c r="K436" s="356"/>
      <c r="L436" s="356"/>
    </row>
    <row r="437" spans="9:12" ht="15.75" customHeight="1">
      <c r="I437" s="356"/>
      <c r="J437" s="356"/>
      <c r="K437" s="356"/>
      <c r="L437" s="356"/>
    </row>
    <row r="438" spans="9:12" ht="15.75" customHeight="1">
      <c r="I438" s="356"/>
      <c r="J438" s="356"/>
      <c r="K438" s="356"/>
      <c r="L438" s="356"/>
    </row>
    <row r="439" spans="9:12" ht="15.75" customHeight="1">
      <c r="I439" s="356"/>
      <c r="J439" s="356"/>
      <c r="K439" s="356"/>
      <c r="L439" s="356"/>
    </row>
    <row r="440" spans="9:12" ht="15.75" customHeight="1">
      <c r="I440" s="356"/>
      <c r="J440" s="356"/>
      <c r="K440" s="356"/>
      <c r="L440" s="356"/>
    </row>
    <row r="441" spans="9:12" ht="15.75" customHeight="1">
      <c r="I441" s="356"/>
      <c r="J441" s="356"/>
      <c r="K441" s="356"/>
      <c r="L441" s="356"/>
    </row>
    <row r="442" spans="9:12" ht="15.75" customHeight="1">
      <c r="I442" s="356"/>
      <c r="J442" s="356"/>
      <c r="K442" s="356"/>
      <c r="L442" s="356"/>
    </row>
    <row r="443" spans="9:12" ht="15.75" customHeight="1">
      <c r="I443" s="356"/>
      <c r="J443" s="356"/>
      <c r="K443" s="356"/>
      <c r="L443" s="356"/>
    </row>
    <row r="444" spans="9:12" ht="15.75" customHeight="1">
      <c r="I444" s="356"/>
      <c r="J444" s="356"/>
      <c r="K444" s="356"/>
      <c r="L444" s="356"/>
    </row>
    <row r="445" spans="9:12" ht="15.75" customHeight="1">
      <c r="I445" s="356"/>
      <c r="J445" s="356"/>
      <c r="K445" s="356"/>
      <c r="L445" s="356"/>
    </row>
    <row r="446" spans="9:12" ht="15.75" customHeight="1">
      <c r="I446" s="356"/>
      <c r="J446" s="356"/>
      <c r="K446" s="356"/>
      <c r="L446" s="356"/>
    </row>
    <row r="447" spans="9:12" ht="15.75" customHeight="1">
      <c r="I447" s="356"/>
      <c r="J447" s="356"/>
      <c r="K447" s="356"/>
      <c r="L447" s="356"/>
    </row>
    <row r="448" spans="9:12" ht="15.75" customHeight="1">
      <c r="I448" s="356"/>
      <c r="J448" s="356"/>
      <c r="K448" s="356"/>
      <c r="L448" s="356"/>
    </row>
    <row r="449" spans="9:12" ht="15.75" customHeight="1">
      <c r="I449" s="356"/>
      <c r="J449" s="356"/>
      <c r="K449" s="356"/>
      <c r="L449" s="356"/>
    </row>
    <row r="450" spans="9:12" ht="15.75" customHeight="1">
      <c r="I450" s="356"/>
      <c r="J450" s="356"/>
      <c r="K450" s="356"/>
      <c r="L450" s="356"/>
    </row>
    <row r="451" spans="9:12" ht="15.75" customHeight="1">
      <c r="I451" s="356"/>
      <c r="J451" s="356"/>
      <c r="K451" s="356"/>
      <c r="L451" s="356"/>
    </row>
    <row r="452" spans="9:12" ht="15.75" customHeight="1">
      <c r="I452" s="356"/>
      <c r="J452" s="356"/>
      <c r="K452" s="356"/>
      <c r="L452" s="356"/>
    </row>
    <row r="453" spans="9:12" ht="15.75" customHeight="1">
      <c r="I453" s="356"/>
      <c r="J453" s="356"/>
      <c r="K453" s="356"/>
      <c r="L453" s="356"/>
    </row>
    <row r="454" spans="9:12" ht="15.75" customHeight="1">
      <c r="I454" s="356"/>
      <c r="J454" s="356"/>
      <c r="K454" s="356"/>
      <c r="L454" s="356"/>
    </row>
    <row r="455" spans="9:12" ht="15.75" customHeight="1">
      <c r="I455" s="356"/>
      <c r="J455" s="356"/>
      <c r="K455" s="356"/>
      <c r="L455" s="356"/>
    </row>
    <row r="456" spans="9:12" ht="15.75" customHeight="1">
      <c r="I456" s="356"/>
      <c r="J456" s="356"/>
      <c r="K456" s="356"/>
      <c r="L456" s="356"/>
    </row>
    <row r="457" spans="9:12" ht="15.75" customHeight="1">
      <c r="I457" s="356"/>
      <c r="J457" s="356"/>
      <c r="K457" s="356"/>
      <c r="L457" s="356"/>
    </row>
    <row r="458" spans="9:12" ht="15.75" customHeight="1">
      <c r="I458" s="356"/>
      <c r="J458" s="356"/>
      <c r="K458" s="356"/>
      <c r="L458" s="356"/>
    </row>
    <row r="459" spans="9:12" ht="15.75" customHeight="1">
      <c r="I459" s="356"/>
      <c r="J459" s="356"/>
      <c r="K459" s="356"/>
      <c r="L459" s="356"/>
    </row>
    <row r="460" spans="9:12" ht="15.75" customHeight="1">
      <c r="I460" s="356"/>
      <c r="J460" s="356"/>
      <c r="K460" s="356"/>
      <c r="L460" s="356"/>
    </row>
    <row r="461" spans="9:12" ht="15.75" customHeight="1">
      <c r="I461" s="356"/>
      <c r="J461" s="356"/>
      <c r="K461" s="356"/>
      <c r="L461" s="356"/>
    </row>
    <row r="462" spans="9:12" ht="15.75" customHeight="1">
      <c r="I462" s="356"/>
      <c r="J462" s="356"/>
      <c r="K462" s="356"/>
      <c r="L462" s="356"/>
    </row>
    <row r="463" spans="9:12" ht="15.75" customHeight="1">
      <c r="I463" s="356"/>
      <c r="J463" s="356"/>
      <c r="K463" s="356"/>
      <c r="L463" s="356"/>
    </row>
    <row r="464" spans="9:12" ht="15.75" customHeight="1">
      <c r="I464" s="356"/>
      <c r="J464" s="356"/>
      <c r="K464" s="356"/>
      <c r="L464" s="356"/>
    </row>
    <row r="465" spans="9:12" ht="15.75" customHeight="1">
      <c r="I465" s="356"/>
      <c r="J465" s="356"/>
      <c r="K465" s="356"/>
      <c r="L465" s="356"/>
    </row>
    <row r="466" spans="9:12" ht="15.75" customHeight="1">
      <c r="I466" s="356"/>
      <c r="J466" s="356"/>
      <c r="K466" s="356"/>
      <c r="L466" s="356"/>
    </row>
    <row r="467" spans="9:12" ht="15.75" customHeight="1">
      <c r="I467" s="356"/>
      <c r="J467" s="356"/>
      <c r="K467" s="356"/>
      <c r="L467" s="356"/>
    </row>
    <row r="468" spans="9:12" ht="15.75" customHeight="1">
      <c r="I468" s="356"/>
      <c r="J468" s="356"/>
      <c r="K468" s="356"/>
      <c r="L468" s="356"/>
    </row>
    <row r="469" spans="9:12" ht="15.75" customHeight="1">
      <c r="I469" s="356"/>
      <c r="J469" s="356"/>
      <c r="K469" s="356"/>
      <c r="L469" s="356"/>
    </row>
    <row r="470" spans="9:12" ht="15.75" customHeight="1">
      <c r="I470" s="356"/>
      <c r="J470" s="356"/>
      <c r="K470" s="356"/>
      <c r="L470" s="356"/>
    </row>
    <row r="471" spans="9:12" ht="15.75" customHeight="1">
      <c r="I471" s="356"/>
      <c r="J471" s="356"/>
      <c r="K471" s="356"/>
      <c r="L471" s="356"/>
    </row>
    <row r="472" spans="9:12" ht="15.75" customHeight="1">
      <c r="I472" s="356"/>
      <c r="J472" s="356"/>
      <c r="K472" s="356"/>
      <c r="L472" s="356"/>
    </row>
    <row r="473" spans="9:12" ht="15.75" customHeight="1">
      <c r="I473" s="356"/>
      <c r="J473" s="356"/>
      <c r="K473" s="356"/>
      <c r="L473" s="356"/>
    </row>
    <row r="474" spans="9:12" ht="15.75" customHeight="1">
      <c r="I474" s="356"/>
      <c r="J474" s="356"/>
      <c r="K474" s="356"/>
      <c r="L474" s="356"/>
    </row>
    <row r="475" spans="9:12" ht="15.75" customHeight="1">
      <c r="I475" s="356"/>
      <c r="J475" s="356"/>
      <c r="K475" s="356"/>
      <c r="L475" s="356"/>
    </row>
    <row r="476" spans="9:12" ht="15.75" customHeight="1">
      <c r="I476" s="356"/>
      <c r="J476" s="356"/>
      <c r="K476" s="356"/>
      <c r="L476" s="356"/>
    </row>
    <row r="477" spans="9:12" ht="15.75" customHeight="1">
      <c r="I477" s="356"/>
      <c r="J477" s="356"/>
      <c r="K477" s="356"/>
      <c r="L477" s="356"/>
    </row>
    <row r="478" spans="9:12" ht="15.75" customHeight="1">
      <c r="I478" s="356"/>
      <c r="J478" s="356"/>
      <c r="K478" s="356"/>
      <c r="L478" s="356"/>
    </row>
    <row r="479" spans="9:12" ht="15.75" customHeight="1">
      <c r="I479" s="356"/>
      <c r="J479" s="356"/>
      <c r="K479" s="356"/>
      <c r="L479" s="356"/>
    </row>
    <row r="480" spans="9:12" ht="15.75" customHeight="1">
      <c r="I480" s="356"/>
      <c r="J480" s="356"/>
      <c r="K480" s="356"/>
      <c r="L480" s="356"/>
    </row>
    <row r="481" spans="9:12" ht="15.75" customHeight="1">
      <c r="I481" s="356"/>
      <c r="J481" s="356"/>
      <c r="K481" s="356"/>
      <c r="L481" s="356"/>
    </row>
    <row r="482" spans="9:12" ht="15.75" customHeight="1">
      <c r="I482" s="356"/>
      <c r="J482" s="356"/>
      <c r="K482" s="356"/>
      <c r="L482" s="356"/>
    </row>
    <row r="483" spans="9:12" ht="15.75" customHeight="1">
      <c r="I483" s="356"/>
      <c r="J483" s="356"/>
      <c r="K483" s="356"/>
      <c r="L483" s="356"/>
    </row>
    <row r="484" spans="9:12" ht="15.75" customHeight="1">
      <c r="I484" s="356"/>
      <c r="J484" s="356"/>
      <c r="K484" s="356"/>
      <c r="L484" s="356"/>
    </row>
    <row r="485" spans="9:12" ht="15.75" customHeight="1">
      <c r="I485" s="356"/>
      <c r="J485" s="356"/>
      <c r="K485" s="356"/>
      <c r="L485" s="356"/>
    </row>
    <row r="486" spans="9:12" ht="15.75" customHeight="1">
      <c r="I486" s="356"/>
      <c r="J486" s="356"/>
      <c r="K486" s="356"/>
      <c r="L486" s="356"/>
    </row>
    <row r="487" spans="9:12" ht="15.75" customHeight="1">
      <c r="I487" s="356"/>
      <c r="J487" s="356"/>
      <c r="K487" s="356"/>
      <c r="L487" s="356"/>
    </row>
    <row r="488" spans="9:12" ht="15.75" customHeight="1">
      <c r="I488" s="356"/>
      <c r="J488" s="356"/>
      <c r="K488" s="356"/>
      <c r="L488" s="356"/>
    </row>
    <row r="489" spans="9:12" ht="15.75" customHeight="1">
      <c r="I489" s="356"/>
      <c r="J489" s="356"/>
      <c r="K489" s="356"/>
      <c r="L489" s="356"/>
    </row>
    <row r="490" spans="9:12" ht="15.75" customHeight="1">
      <c r="I490" s="356"/>
      <c r="J490" s="356"/>
      <c r="K490" s="356"/>
      <c r="L490" s="356"/>
    </row>
    <row r="491" spans="9:12" ht="15.75" customHeight="1">
      <c r="I491" s="356"/>
      <c r="J491" s="356"/>
      <c r="K491" s="356"/>
      <c r="L491" s="356"/>
    </row>
    <row r="492" spans="9:12" ht="15.75" customHeight="1">
      <c r="I492" s="356"/>
      <c r="J492" s="356"/>
      <c r="K492" s="356"/>
      <c r="L492" s="356"/>
    </row>
    <row r="493" spans="9:12" ht="15.75" customHeight="1">
      <c r="I493" s="356"/>
      <c r="J493" s="356"/>
      <c r="K493" s="356"/>
      <c r="L493" s="356"/>
    </row>
    <row r="494" spans="9:12" ht="15.75" customHeight="1">
      <c r="I494" s="356"/>
      <c r="J494" s="356"/>
      <c r="K494" s="356"/>
      <c r="L494" s="356"/>
    </row>
    <row r="495" spans="9:12" ht="15.75" customHeight="1">
      <c r="I495" s="356"/>
      <c r="J495" s="356"/>
      <c r="K495" s="356"/>
      <c r="L495" s="356"/>
    </row>
    <row r="496" spans="9:12" ht="15.75" customHeight="1">
      <c r="I496" s="356"/>
      <c r="J496" s="356"/>
      <c r="K496" s="356"/>
      <c r="L496" s="356"/>
    </row>
    <row r="497" spans="9:12" ht="15.75" customHeight="1">
      <c r="I497" s="356"/>
      <c r="J497" s="356"/>
      <c r="K497" s="356"/>
      <c r="L497" s="356"/>
    </row>
    <row r="498" spans="9:12" ht="15.75" customHeight="1">
      <c r="I498" s="356"/>
      <c r="J498" s="356"/>
      <c r="K498" s="356"/>
      <c r="L498" s="356"/>
    </row>
    <row r="499" spans="9:12" ht="15.75" customHeight="1">
      <c r="I499" s="356"/>
      <c r="J499" s="356"/>
      <c r="K499" s="356"/>
      <c r="L499" s="356"/>
    </row>
    <row r="500" spans="9:12" ht="15.75" customHeight="1">
      <c r="I500" s="356"/>
      <c r="J500" s="356"/>
      <c r="K500" s="356"/>
      <c r="L500" s="356"/>
    </row>
    <row r="501" spans="9:12" ht="15.75" customHeight="1">
      <c r="I501" s="356"/>
      <c r="J501" s="356"/>
      <c r="K501" s="356"/>
      <c r="L501" s="356"/>
    </row>
    <row r="502" spans="9:12" ht="15.75" customHeight="1">
      <c r="I502" s="356"/>
      <c r="J502" s="356"/>
      <c r="K502" s="356"/>
      <c r="L502" s="356"/>
    </row>
    <row r="503" spans="9:12" ht="15.75" customHeight="1">
      <c r="I503" s="356"/>
      <c r="J503" s="356"/>
      <c r="K503" s="356"/>
      <c r="L503" s="356"/>
    </row>
    <row r="504" spans="9:12" ht="15.75" customHeight="1">
      <c r="I504" s="356"/>
      <c r="J504" s="356"/>
      <c r="K504" s="356"/>
      <c r="L504" s="356"/>
    </row>
    <row r="505" spans="9:12" ht="15.75" customHeight="1">
      <c r="I505" s="356"/>
      <c r="J505" s="356"/>
      <c r="K505" s="356"/>
      <c r="L505" s="356"/>
    </row>
    <row r="506" spans="9:12" ht="15.75" customHeight="1">
      <c r="I506" s="356"/>
      <c r="J506" s="356"/>
      <c r="K506" s="356"/>
      <c r="L506" s="356"/>
    </row>
    <row r="507" spans="9:12" ht="15.75" customHeight="1">
      <c r="I507" s="356"/>
      <c r="J507" s="356"/>
      <c r="K507" s="356"/>
      <c r="L507" s="356"/>
    </row>
    <row r="508" spans="9:12" ht="15.75" customHeight="1">
      <c r="I508" s="356"/>
      <c r="J508" s="356"/>
      <c r="K508" s="356"/>
      <c r="L508" s="356"/>
    </row>
    <row r="509" spans="9:12" ht="15.75" customHeight="1">
      <c r="I509" s="356"/>
      <c r="J509" s="356"/>
      <c r="K509" s="356"/>
      <c r="L509" s="356"/>
    </row>
    <row r="510" spans="9:12" ht="15.75" customHeight="1">
      <c r="I510" s="356"/>
      <c r="J510" s="356"/>
      <c r="K510" s="356"/>
      <c r="L510" s="356"/>
    </row>
    <row r="511" spans="9:12" ht="15.75" customHeight="1">
      <c r="I511" s="356"/>
      <c r="J511" s="356"/>
      <c r="K511" s="356"/>
      <c r="L511" s="356"/>
    </row>
    <row r="512" spans="9:12" ht="15.75" customHeight="1">
      <c r="I512" s="356"/>
      <c r="J512" s="356"/>
      <c r="K512" s="356"/>
      <c r="L512" s="356"/>
    </row>
    <row r="513" spans="9:12" ht="15.75" customHeight="1">
      <c r="I513" s="356"/>
      <c r="J513" s="356"/>
      <c r="K513" s="356"/>
      <c r="L513" s="356"/>
    </row>
    <row r="514" spans="9:12" ht="15.75" customHeight="1">
      <c r="I514" s="356"/>
      <c r="J514" s="356"/>
      <c r="K514" s="356"/>
      <c r="L514" s="356"/>
    </row>
    <row r="515" spans="9:12" ht="15.75" customHeight="1">
      <c r="I515" s="356"/>
      <c r="J515" s="356"/>
      <c r="K515" s="356"/>
      <c r="L515" s="356"/>
    </row>
    <row r="516" spans="9:12" ht="15.75" customHeight="1">
      <c r="I516" s="356"/>
      <c r="J516" s="356"/>
      <c r="K516" s="356"/>
      <c r="L516" s="356"/>
    </row>
    <row r="517" spans="9:12" ht="15.75" customHeight="1">
      <c r="I517" s="356"/>
      <c r="J517" s="356"/>
      <c r="K517" s="356"/>
      <c r="L517" s="356"/>
    </row>
    <row r="518" spans="9:12" ht="15.75" customHeight="1">
      <c r="I518" s="356"/>
      <c r="J518" s="356"/>
      <c r="K518" s="356"/>
      <c r="L518" s="356"/>
    </row>
    <row r="519" spans="9:12" ht="15.75" customHeight="1">
      <c r="I519" s="356"/>
      <c r="J519" s="356"/>
      <c r="K519" s="356"/>
      <c r="L519" s="356"/>
    </row>
    <row r="520" spans="9:12" ht="15.75" customHeight="1">
      <c r="I520" s="356"/>
      <c r="J520" s="356"/>
      <c r="K520" s="356"/>
      <c r="L520" s="356"/>
    </row>
    <row r="521" spans="9:12" ht="15.75" customHeight="1">
      <c r="I521" s="356"/>
      <c r="J521" s="356"/>
      <c r="K521" s="356"/>
      <c r="L521" s="356"/>
    </row>
    <row r="522" spans="9:12" ht="15.75" customHeight="1">
      <c r="I522" s="356"/>
      <c r="J522" s="356"/>
      <c r="K522" s="356"/>
      <c r="L522" s="356"/>
    </row>
    <row r="523" spans="9:12" ht="15.75" customHeight="1">
      <c r="I523" s="356"/>
      <c r="J523" s="356"/>
      <c r="K523" s="356"/>
      <c r="L523" s="356"/>
    </row>
    <row r="524" spans="9:12" ht="15.75" customHeight="1">
      <c r="I524" s="356"/>
      <c r="J524" s="356"/>
      <c r="K524" s="356"/>
      <c r="L524" s="356"/>
    </row>
    <row r="525" spans="9:12" ht="15.75" customHeight="1">
      <c r="I525" s="356"/>
      <c r="J525" s="356"/>
      <c r="K525" s="356"/>
      <c r="L525" s="356"/>
    </row>
    <row r="526" spans="9:12" ht="15.75" customHeight="1">
      <c r="I526" s="356"/>
      <c r="J526" s="356"/>
      <c r="K526" s="356"/>
      <c r="L526" s="356"/>
    </row>
    <row r="527" spans="9:12" ht="15.75" customHeight="1">
      <c r="I527" s="356"/>
      <c r="J527" s="356"/>
      <c r="K527" s="356"/>
      <c r="L527" s="356"/>
    </row>
    <row r="528" spans="9:12" ht="15.75" customHeight="1">
      <c r="I528" s="356"/>
      <c r="J528" s="356"/>
      <c r="K528" s="356"/>
      <c r="L528" s="356"/>
    </row>
    <row r="529" spans="9:12" ht="15.75" customHeight="1">
      <c r="I529" s="356"/>
      <c r="J529" s="356"/>
      <c r="K529" s="356"/>
      <c r="L529" s="356"/>
    </row>
    <row r="530" spans="9:12" ht="15.75" customHeight="1">
      <c r="I530" s="356"/>
      <c r="J530" s="356"/>
      <c r="K530" s="356"/>
      <c r="L530" s="356"/>
    </row>
    <row r="531" spans="9:12" ht="15.75" customHeight="1">
      <c r="I531" s="356"/>
      <c r="J531" s="356"/>
      <c r="K531" s="356"/>
      <c r="L531" s="356"/>
    </row>
    <row r="532" spans="9:12" ht="15.75" customHeight="1">
      <c r="I532" s="356"/>
      <c r="J532" s="356"/>
      <c r="K532" s="356"/>
      <c r="L532" s="356"/>
    </row>
    <row r="533" spans="9:12" ht="15.75" customHeight="1">
      <c r="I533" s="356"/>
      <c r="J533" s="356"/>
      <c r="K533" s="356"/>
      <c r="L533" s="356"/>
    </row>
    <row r="534" spans="9:12" ht="15.75" customHeight="1">
      <c r="I534" s="356"/>
      <c r="J534" s="356"/>
      <c r="K534" s="356"/>
      <c r="L534" s="356"/>
    </row>
    <row r="535" spans="9:12" ht="15.75" customHeight="1">
      <c r="I535" s="356"/>
      <c r="J535" s="356"/>
      <c r="K535" s="356"/>
      <c r="L535" s="356"/>
    </row>
    <row r="536" spans="9:12" ht="15.75" customHeight="1">
      <c r="I536" s="356"/>
      <c r="J536" s="356"/>
      <c r="K536" s="356"/>
      <c r="L536" s="356"/>
    </row>
    <row r="537" spans="9:12" ht="15.75" customHeight="1">
      <c r="I537" s="356"/>
      <c r="J537" s="356"/>
      <c r="K537" s="356"/>
      <c r="L537" s="356"/>
    </row>
    <row r="538" spans="9:12" ht="15.75" customHeight="1">
      <c r="I538" s="356"/>
      <c r="J538" s="356"/>
      <c r="K538" s="356"/>
      <c r="L538" s="356"/>
    </row>
    <row r="539" spans="9:12" ht="15.75" customHeight="1">
      <c r="I539" s="356"/>
      <c r="J539" s="356"/>
      <c r="K539" s="356"/>
      <c r="L539" s="356"/>
    </row>
    <row r="540" spans="9:12" ht="15.75" customHeight="1">
      <c r="I540" s="356"/>
      <c r="J540" s="356"/>
      <c r="K540" s="356"/>
      <c r="L540" s="356"/>
    </row>
    <row r="541" spans="9:12" ht="15.75" customHeight="1">
      <c r="I541" s="356"/>
      <c r="J541" s="356"/>
      <c r="K541" s="356"/>
      <c r="L541" s="356"/>
    </row>
    <row r="542" spans="9:12" ht="15.75" customHeight="1">
      <c r="I542" s="356"/>
      <c r="J542" s="356"/>
      <c r="K542" s="356"/>
      <c r="L542" s="356"/>
    </row>
    <row r="543" spans="9:12" ht="15.75" customHeight="1">
      <c r="I543" s="356"/>
      <c r="J543" s="356"/>
      <c r="K543" s="356"/>
      <c r="L543" s="356"/>
    </row>
    <row r="544" spans="9:12" ht="15.75" customHeight="1">
      <c r="I544" s="356"/>
      <c r="J544" s="356"/>
      <c r="K544" s="356"/>
      <c r="L544" s="356"/>
    </row>
    <row r="545" spans="9:12" ht="15.75" customHeight="1">
      <c r="I545" s="356"/>
      <c r="J545" s="356"/>
      <c r="K545" s="356"/>
      <c r="L545" s="356"/>
    </row>
    <row r="546" spans="9:12" ht="15.75" customHeight="1">
      <c r="I546" s="356"/>
      <c r="J546" s="356"/>
      <c r="K546" s="356"/>
      <c r="L546" s="356"/>
    </row>
    <row r="547" spans="9:12" ht="15.75" customHeight="1">
      <c r="I547" s="356"/>
      <c r="J547" s="356"/>
      <c r="K547" s="356"/>
      <c r="L547" s="356"/>
    </row>
    <row r="548" spans="9:12" ht="15.75" customHeight="1">
      <c r="I548" s="356"/>
      <c r="J548" s="356"/>
      <c r="K548" s="356"/>
      <c r="L548" s="356"/>
    </row>
    <row r="549" spans="9:12" ht="15.75" customHeight="1">
      <c r="I549" s="356"/>
      <c r="J549" s="356"/>
      <c r="K549" s="356"/>
      <c r="L549" s="356"/>
    </row>
    <row r="550" spans="9:12" ht="15.75" customHeight="1">
      <c r="I550" s="356"/>
      <c r="J550" s="356"/>
      <c r="K550" s="356"/>
      <c r="L550" s="356"/>
    </row>
    <row r="551" spans="9:12" ht="15.75" customHeight="1">
      <c r="I551" s="356"/>
      <c r="J551" s="356"/>
      <c r="K551" s="356"/>
      <c r="L551" s="356"/>
    </row>
    <row r="552" spans="9:12" ht="15.75" customHeight="1">
      <c r="I552" s="356"/>
      <c r="J552" s="356"/>
      <c r="K552" s="356"/>
      <c r="L552" s="356"/>
    </row>
    <row r="553" spans="9:12" ht="15.75" customHeight="1">
      <c r="I553" s="356"/>
      <c r="J553" s="356"/>
      <c r="K553" s="356"/>
      <c r="L553" s="356"/>
    </row>
    <row r="554" spans="9:12" ht="15.75" customHeight="1">
      <c r="I554" s="356"/>
      <c r="J554" s="356"/>
      <c r="K554" s="356"/>
      <c r="L554" s="356"/>
    </row>
    <row r="555" spans="9:12" ht="15.75" customHeight="1">
      <c r="I555" s="356"/>
      <c r="J555" s="356"/>
      <c r="K555" s="356"/>
      <c r="L555" s="356"/>
    </row>
    <row r="556" spans="9:12" ht="15.75" customHeight="1">
      <c r="I556" s="356"/>
      <c r="J556" s="356"/>
      <c r="K556" s="356"/>
      <c r="L556" s="356"/>
    </row>
    <row r="557" spans="9:12" ht="15.75" customHeight="1">
      <c r="I557" s="356"/>
      <c r="J557" s="356"/>
      <c r="K557" s="356"/>
      <c r="L557" s="356"/>
    </row>
    <row r="558" spans="9:12" ht="15.75" customHeight="1">
      <c r="I558" s="356"/>
      <c r="J558" s="356"/>
      <c r="K558" s="356"/>
      <c r="L558" s="356"/>
    </row>
    <row r="559" spans="9:12" ht="15.75" customHeight="1">
      <c r="I559" s="356"/>
      <c r="J559" s="356"/>
      <c r="K559" s="356"/>
      <c r="L559" s="356"/>
    </row>
    <row r="560" spans="9:12" ht="15.75" customHeight="1">
      <c r="I560" s="356"/>
      <c r="J560" s="356"/>
      <c r="K560" s="356"/>
      <c r="L560" s="356"/>
    </row>
    <row r="561" spans="9:12" ht="15.75" customHeight="1">
      <c r="I561" s="356"/>
      <c r="J561" s="356"/>
      <c r="K561" s="356"/>
      <c r="L561" s="356"/>
    </row>
    <row r="562" spans="9:12" ht="15.75" customHeight="1">
      <c r="I562" s="356"/>
      <c r="J562" s="356"/>
      <c r="K562" s="356"/>
      <c r="L562" s="356"/>
    </row>
    <row r="563" spans="9:12" ht="15.75" customHeight="1">
      <c r="I563" s="356"/>
      <c r="J563" s="356"/>
      <c r="K563" s="356"/>
      <c r="L563" s="356"/>
    </row>
    <row r="564" spans="9:12" ht="15.75" customHeight="1">
      <c r="I564" s="356"/>
      <c r="J564" s="356"/>
      <c r="K564" s="356"/>
      <c r="L564" s="356"/>
    </row>
    <row r="565" spans="9:12" ht="15.75" customHeight="1">
      <c r="I565" s="356"/>
      <c r="J565" s="356"/>
      <c r="K565" s="356"/>
      <c r="L565" s="356"/>
    </row>
    <row r="566" spans="9:12" ht="15.75" customHeight="1">
      <c r="I566" s="356"/>
      <c r="J566" s="356"/>
      <c r="K566" s="356"/>
      <c r="L566" s="356"/>
    </row>
    <row r="567" spans="9:12" ht="15.75" customHeight="1">
      <c r="I567" s="356"/>
      <c r="J567" s="356"/>
      <c r="K567" s="356"/>
      <c r="L567" s="356"/>
    </row>
    <row r="568" spans="9:12" ht="15.75" customHeight="1">
      <c r="I568" s="356"/>
      <c r="J568" s="356"/>
      <c r="K568" s="356"/>
      <c r="L568" s="356"/>
    </row>
    <row r="569" spans="9:12" ht="15.75" customHeight="1">
      <c r="I569" s="356"/>
      <c r="J569" s="356"/>
      <c r="K569" s="356"/>
      <c r="L569" s="356"/>
    </row>
    <row r="570" spans="9:12" ht="15.75" customHeight="1">
      <c r="I570" s="356"/>
      <c r="J570" s="356"/>
      <c r="K570" s="356"/>
      <c r="L570" s="356"/>
    </row>
    <row r="571" spans="9:12" ht="15.75" customHeight="1">
      <c r="I571" s="356"/>
      <c r="J571" s="356"/>
      <c r="K571" s="356"/>
      <c r="L571" s="356"/>
    </row>
    <row r="572" spans="9:12" ht="15.75" customHeight="1">
      <c r="I572" s="356"/>
      <c r="J572" s="356"/>
      <c r="K572" s="356"/>
      <c r="L572" s="356"/>
    </row>
    <row r="573" spans="9:12" ht="15.75" customHeight="1">
      <c r="I573" s="356"/>
      <c r="J573" s="356"/>
      <c r="K573" s="356"/>
      <c r="L573" s="356"/>
    </row>
    <row r="574" spans="9:12" ht="15.75" customHeight="1">
      <c r="I574" s="356"/>
      <c r="J574" s="356"/>
      <c r="K574" s="356"/>
      <c r="L574" s="356"/>
    </row>
    <row r="575" spans="9:12" ht="15.75" customHeight="1">
      <c r="I575" s="356"/>
      <c r="J575" s="356"/>
      <c r="K575" s="356"/>
      <c r="L575" s="356"/>
    </row>
    <row r="576" spans="9:12" ht="15.75" customHeight="1">
      <c r="I576" s="356"/>
      <c r="J576" s="356"/>
      <c r="K576" s="356"/>
      <c r="L576" s="356"/>
    </row>
    <row r="577" spans="9:12" ht="15.75" customHeight="1">
      <c r="I577" s="356"/>
      <c r="J577" s="356"/>
      <c r="K577" s="356"/>
      <c r="L577" s="356"/>
    </row>
    <row r="578" spans="9:12" ht="15.75" customHeight="1">
      <c r="I578" s="356"/>
      <c r="J578" s="356"/>
      <c r="K578" s="356"/>
      <c r="L578" s="356"/>
    </row>
    <row r="579" spans="9:12" ht="15.75" customHeight="1">
      <c r="I579" s="356"/>
      <c r="J579" s="356"/>
      <c r="K579" s="356"/>
      <c r="L579" s="356"/>
    </row>
    <row r="580" spans="9:12" ht="15.75" customHeight="1">
      <c r="I580" s="356"/>
      <c r="J580" s="356"/>
      <c r="K580" s="356"/>
      <c r="L580" s="356"/>
    </row>
    <row r="581" spans="9:12" ht="15.75" customHeight="1">
      <c r="I581" s="356"/>
      <c r="J581" s="356"/>
      <c r="K581" s="356"/>
      <c r="L581" s="356"/>
    </row>
    <row r="582" spans="9:12" ht="15.75" customHeight="1">
      <c r="I582" s="356"/>
      <c r="J582" s="356"/>
      <c r="K582" s="356"/>
      <c r="L582" s="356"/>
    </row>
    <row r="583" spans="9:12" ht="15.75" customHeight="1">
      <c r="I583" s="356"/>
      <c r="J583" s="356"/>
      <c r="K583" s="356"/>
      <c r="L583" s="356"/>
    </row>
    <row r="584" spans="9:12" ht="15.75" customHeight="1">
      <c r="I584" s="356"/>
      <c r="J584" s="356"/>
      <c r="K584" s="356"/>
      <c r="L584" s="356"/>
    </row>
    <row r="585" spans="9:12" ht="15.75" customHeight="1">
      <c r="I585" s="356"/>
      <c r="J585" s="356"/>
      <c r="K585" s="356"/>
      <c r="L585" s="356"/>
    </row>
    <row r="586" spans="9:12" ht="15.75" customHeight="1">
      <c r="I586" s="356"/>
      <c r="J586" s="356"/>
      <c r="K586" s="356"/>
      <c r="L586" s="356"/>
    </row>
    <row r="587" spans="9:12" ht="15.75" customHeight="1">
      <c r="I587" s="356"/>
      <c r="J587" s="356"/>
      <c r="K587" s="356"/>
      <c r="L587" s="356"/>
    </row>
    <row r="588" spans="9:12" ht="15.75" customHeight="1">
      <c r="I588" s="356"/>
      <c r="J588" s="356"/>
      <c r="K588" s="356"/>
      <c r="L588" s="356"/>
    </row>
    <row r="589" spans="9:12" ht="15.75" customHeight="1">
      <c r="I589" s="356"/>
      <c r="J589" s="356"/>
      <c r="K589" s="356"/>
      <c r="L589" s="356"/>
    </row>
    <row r="590" spans="9:12" ht="15.75" customHeight="1">
      <c r="I590" s="356"/>
      <c r="J590" s="356"/>
      <c r="K590" s="356"/>
      <c r="L590" s="356"/>
    </row>
    <row r="591" spans="9:12" ht="15.75" customHeight="1">
      <c r="I591" s="356"/>
      <c r="J591" s="356"/>
      <c r="K591" s="356"/>
      <c r="L591" s="356"/>
    </row>
    <row r="592" spans="9:12" ht="15.75" customHeight="1">
      <c r="I592" s="356"/>
      <c r="J592" s="356"/>
      <c r="K592" s="356"/>
      <c r="L592" s="356"/>
    </row>
    <row r="593" spans="9:12" ht="15.75" customHeight="1">
      <c r="I593" s="356"/>
      <c r="J593" s="356"/>
      <c r="K593" s="356"/>
      <c r="L593" s="356"/>
    </row>
    <row r="594" spans="9:12" ht="15.75" customHeight="1">
      <c r="I594" s="356"/>
      <c r="J594" s="356"/>
      <c r="K594" s="356"/>
      <c r="L594" s="356"/>
    </row>
    <row r="595" spans="9:12" ht="15.75" customHeight="1">
      <c r="I595" s="356"/>
      <c r="J595" s="356"/>
      <c r="K595" s="356"/>
      <c r="L595" s="356"/>
    </row>
    <row r="596" spans="9:12" ht="15.75" customHeight="1">
      <c r="I596" s="356"/>
      <c r="J596" s="356"/>
      <c r="K596" s="356"/>
      <c r="L596" s="356"/>
    </row>
    <row r="597" spans="9:12" ht="15.75" customHeight="1">
      <c r="I597" s="356"/>
      <c r="J597" s="356"/>
      <c r="K597" s="356"/>
      <c r="L597" s="356"/>
    </row>
    <row r="598" spans="9:12" ht="15.75" customHeight="1">
      <c r="I598" s="356"/>
      <c r="J598" s="356"/>
      <c r="K598" s="356"/>
      <c r="L598" s="356"/>
    </row>
    <row r="599" spans="9:12" ht="15.75" customHeight="1">
      <c r="I599" s="356"/>
      <c r="J599" s="356"/>
      <c r="K599" s="356"/>
      <c r="L599" s="356"/>
    </row>
    <row r="600" spans="9:12" ht="15.75" customHeight="1">
      <c r="I600" s="356"/>
      <c r="J600" s="356"/>
      <c r="K600" s="356"/>
      <c r="L600" s="356"/>
    </row>
    <row r="601" spans="9:12" ht="15.75" customHeight="1">
      <c r="I601" s="356"/>
      <c r="J601" s="356"/>
      <c r="K601" s="356"/>
      <c r="L601" s="356"/>
    </row>
    <row r="602" spans="9:12" ht="15.75" customHeight="1">
      <c r="I602" s="356"/>
      <c r="J602" s="356"/>
      <c r="K602" s="356"/>
      <c r="L602" s="356"/>
    </row>
    <row r="603" spans="9:12" ht="15.75" customHeight="1">
      <c r="I603" s="356"/>
      <c r="J603" s="356"/>
      <c r="K603" s="356"/>
      <c r="L603" s="356"/>
    </row>
    <row r="604" spans="9:12" ht="15.75" customHeight="1">
      <c r="I604" s="356"/>
      <c r="J604" s="356"/>
      <c r="K604" s="356"/>
      <c r="L604" s="356"/>
    </row>
    <row r="605" spans="9:12" ht="15.75" customHeight="1">
      <c r="I605" s="356"/>
      <c r="J605" s="356"/>
      <c r="K605" s="356"/>
      <c r="L605" s="356"/>
    </row>
    <row r="606" spans="9:12" ht="15.75" customHeight="1">
      <c r="I606" s="356"/>
      <c r="J606" s="356"/>
      <c r="K606" s="356"/>
      <c r="L606" s="356"/>
    </row>
    <row r="607" spans="9:12" ht="15.75" customHeight="1">
      <c r="I607" s="356"/>
      <c r="J607" s="356"/>
      <c r="K607" s="356"/>
      <c r="L607" s="356"/>
    </row>
    <row r="608" spans="9:12" ht="15.75" customHeight="1">
      <c r="I608" s="356"/>
      <c r="J608" s="356"/>
      <c r="K608" s="356"/>
      <c r="L608" s="356"/>
    </row>
    <row r="609" spans="9:12" ht="15.75" customHeight="1">
      <c r="I609" s="356"/>
      <c r="J609" s="356"/>
      <c r="K609" s="356"/>
      <c r="L609" s="356"/>
    </row>
    <row r="610" spans="9:12" ht="15.75" customHeight="1">
      <c r="I610" s="356"/>
      <c r="J610" s="356"/>
      <c r="K610" s="356"/>
      <c r="L610" s="356"/>
    </row>
    <row r="611" spans="9:12" ht="15.75" customHeight="1">
      <c r="I611" s="356"/>
      <c r="J611" s="356"/>
      <c r="K611" s="356"/>
      <c r="L611" s="356"/>
    </row>
    <row r="612" spans="9:12" ht="15.75" customHeight="1">
      <c r="I612" s="356"/>
      <c r="J612" s="356"/>
      <c r="K612" s="356"/>
      <c r="L612" s="356"/>
    </row>
    <row r="613" spans="9:12" ht="15.75" customHeight="1">
      <c r="I613" s="356"/>
      <c r="J613" s="356"/>
      <c r="K613" s="356"/>
      <c r="L613" s="356"/>
    </row>
    <row r="614" spans="9:12" ht="15.75" customHeight="1">
      <c r="I614" s="356"/>
      <c r="J614" s="356"/>
      <c r="K614" s="356"/>
      <c r="L614" s="356"/>
    </row>
    <row r="615" spans="9:12" ht="15.75" customHeight="1">
      <c r="I615" s="356"/>
      <c r="J615" s="356"/>
      <c r="K615" s="356"/>
      <c r="L615" s="356"/>
    </row>
    <row r="616" spans="9:12" ht="15.75" customHeight="1">
      <c r="I616" s="356"/>
      <c r="J616" s="356"/>
      <c r="K616" s="356"/>
      <c r="L616" s="356"/>
    </row>
    <row r="617" spans="9:12" ht="15.75" customHeight="1">
      <c r="I617" s="356"/>
      <c r="J617" s="356"/>
      <c r="K617" s="356"/>
      <c r="L617" s="356"/>
    </row>
    <row r="618" spans="9:12" ht="15.75" customHeight="1">
      <c r="I618" s="356"/>
      <c r="J618" s="356"/>
      <c r="K618" s="356"/>
      <c r="L618" s="356"/>
    </row>
    <row r="619" spans="9:12" ht="15.75" customHeight="1">
      <c r="I619" s="356"/>
      <c r="J619" s="356"/>
      <c r="K619" s="356"/>
      <c r="L619" s="356"/>
    </row>
    <row r="620" spans="9:12" ht="15.75" customHeight="1">
      <c r="I620" s="356"/>
      <c r="J620" s="356"/>
      <c r="K620" s="356"/>
      <c r="L620" s="356"/>
    </row>
    <row r="621" spans="9:12" ht="15.75" customHeight="1">
      <c r="I621" s="356"/>
      <c r="J621" s="356"/>
      <c r="K621" s="356"/>
      <c r="L621" s="356"/>
    </row>
    <row r="622" spans="9:12" ht="15.75" customHeight="1">
      <c r="I622" s="356"/>
      <c r="J622" s="356"/>
      <c r="K622" s="356"/>
      <c r="L622" s="356"/>
    </row>
    <row r="623" spans="9:12" ht="15.75" customHeight="1">
      <c r="I623" s="356"/>
      <c r="J623" s="356"/>
      <c r="K623" s="356"/>
      <c r="L623" s="356"/>
    </row>
    <row r="624" spans="9:12" ht="15.75" customHeight="1">
      <c r="I624" s="356"/>
      <c r="J624" s="356"/>
      <c r="K624" s="356"/>
      <c r="L624" s="356"/>
    </row>
    <row r="625" spans="9:12" ht="15.75" customHeight="1">
      <c r="I625" s="356"/>
      <c r="J625" s="356"/>
      <c r="K625" s="356"/>
      <c r="L625" s="356"/>
    </row>
    <row r="626" spans="9:12" ht="15.75" customHeight="1">
      <c r="I626" s="356"/>
      <c r="J626" s="356"/>
      <c r="K626" s="356"/>
      <c r="L626" s="356"/>
    </row>
    <row r="627" spans="9:12" ht="15.75" customHeight="1">
      <c r="I627" s="356"/>
      <c r="J627" s="356"/>
      <c r="K627" s="356"/>
      <c r="L627" s="356"/>
    </row>
    <row r="628" spans="9:12" ht="15.75" customHeight="1">
      <c r="I628" s="356"/>
      <c r="J628" s="356"/>
      <c r="K628" s="356"/>
      <c r="L628" s="356"/>
    </row>
    <row r="629" spans="9:12" ht="15.75" customHeight="1">
      <c r="I629" s="356"/>
      <c r="J629" s="356"/>
      <c r="K629" s="356"/>
      <c r="L629" s="356"/>
    </row>
    <row r="630" spans="9:12" ht="15.75" customHeight="1">
      <c r="I630" s="356"/>
      <c r="J630" s="356"/>
      <c r="K630" s="356"/>
      <c r="L630" s="356"/>
    </row>
    <row r="631" spans="9:12" ht="15.75" customHeight="1">
      <c r="I631" s="356"/>
      <c r="J631" s="356"/>
      <c r="K631" s="356"/>
      <c r="L631" s="356"/>
    </row>
    <row r="632" spans="9:12" ht="15.75" customHeight="1">
      <c r="I632" s="356"/>
      <c r="J632" s="356"/>
      <c r="K632" s="356"/>
      <c r="L632" s="356"/>
    </row>
    <row r="633" spans="9:12" ht="15.75" customHeight="1">
      <c r="I633" s="356"/>
      <c r="J633" s="356"/>
      <c r="K633" s="356"/>
      <c r="L633" s="356"/>
    </row>
    <row r="634" spans="9:12" ht="15.75" customHeight="1">
      <c r="I634" s="356"/>
      <c r="J634" s="356"/>
      <c r="K634" s="356"/>
      <c r="L634" s="356"/>
    </row>
    <row r="635" spans="9:12" ht="15.75" customHeight="1">
      <c r="I635" s="356"/>
      <c r="J635" s="356"/>
      <c r="K635" s="356"/>
      <c r="L635" s="356"/>
    </row>
    <row r="636" spans="9:12" ht="15.75" customHeight="1">
      <c r="I636" s="356"/>
      <c r="J636" s="356"/>
      <c r="K636" s="356"/>
      <c r="L636" s="356"/>
    </row>
    <row r="637" spans="9:12" ht="15.75" customHeight="1">
      <c r="I637" s="356"/>
      <c r="J637" s="356"/>
      <c r="K637" s="356"/>
      <c r="L637" s="356"/>
    </row>
    <row r="638" spans="9:12" ht="15.75" customHeight="1">
      <c r="I638" s="356"/>
      <c r="J638" s="356"/>
      <c r="K638" s="356"/>
      <c r="L638" s="356"/>
    </row>
    <row r="639" spans="9:12" ht="15.75" customHeight="1">
      <c r="I639" s="356"/>
      <c r="J639" s="356"/>
      <c r="K639" s="356"/>
      <c r="L639" s="356"/>
    </row>
    <row r="640" spans="9:12" ht="15.75" customHeight="1">
      <c r="I640" s="356"/>
      <c r="J640" s="356"/>
      <c r="K640" s="356"/>
      <c r="L640" s="356"/>
    </row>
    <row r="641" spans="9:12" ht="15.75" customHeight="1">
      <c r="I641" s="356"/>
      <c r="J641" s="356"/>
      <c r="K641" s="356"/>
      <c r="L641" s="356"/>
    </row>
    <row r="642" spans="9:12" ht="15.75" customHeight="1">
      <c r="I642" s="356"/>
      <c r="J642" s="356"/>
      <c r="K642" s="356"/>
      <c r="L642" s="356"/>
    </row>
    <row r="643" spans="9:12" ht="15.75" customHeight="1">
      <c r="I643" s="356"/>
      <c r="J643" s="356"/>
      <c r="K643" s="356"/>
      <c r="L643" s="356"/>
    </row>
    <row r="644" spans="9:12" ht="15.75" customHeight="1">
      <c r="I644" s="356"/>
      <c r="J644" s="356"/>
      <c r="K644" s="356"/>
      <c r="L644" s="356"/>
    </row>
    <row r="645" spans="9:12" ht="15.75" customHeight="1">
      <c r="I645" s="356"/>
      <c r="J645" s="356"/>
      <c r="K645" s="356"/>
      <c r="L645" s="356"/>
    </row>
    <row r="646" spans="9:12" ht="15.75" customHeight="1">
      <c r="I646" s="356"/>
      <c r="J646" s="356"/>
      <c r="K646" s="356"/>
      <c r="L646" s="356"/>
    </row>
    <row r="647" spans="9:12" ht="15.75" customHeight="1">
      <c r="I647" s="356"/>
      <c r="J647" s="356"/>
      <c r="K647" s="356"/>
      <c r="L647" s="356"/>
    </row>
    <row r="648" spans="9:12" ht="15.75" customHeight="1">
      <c r="I648" s="356"/>
      <c r="J648" s="356"/>
      <c r="K648" s="356"/>
      <c r="L648" s="356"/>
    </row>
    <row r="649" spans="9:12" ht="15.75" customHeight="1">
      <c r="I649" s="356"/>
      <c r="J649" s="356"/>
      <c r="K649" s="356"/>
      <c r="L649" s="356"/>
    </row>
    <row r="650" spans="9:12" ht="15.75" customHeight="1">
      <c r="I650" s="356"/>
      <c r="J650" s="356"/>
      <c r="K650" s="356"/>
      <c r="L650" s="356"/>
    </row>
    <row r="651" spans="9:12" ht="15.75" customHeight="1">
      <c r="I651" s="356"/>
      <c r="J651" s="356"/>
      <c r="K651" s="356"/>
      <c r="L651" s="356"/>
    </row>
    <row r="652" spans="9:12" ht="15.75" customHeight="1">
      <c r="I652" s="356"/>
      <c r="J652" s="356"/>
      <c r="K652" s="356"/>
      <c r="L652" s="356"/>
    </row>
    <row r="653" spans="9:12" ht="15.75" customHeight="1">
      <c r="I653" s="356"/>
      <c r="J653" s="356"/>
      <c r="K653" s="356"/>
      <c r="L653" s="356"/>
    </row>
    <row r="654" spans="9:12" ht="15.75" customHeight="1">
      <c r="I654" s="356"/>
      <c r="J654" s="356"/>
      <c r="K654" s="356"/>
      <c r="L654" s="356"/>
    </row>
    <row r="655" spans="9:12" ht="15.75" customHeight="1">
      <c r="I655" s="356"/>
      <c r="J655" s="356"/>
      <c r="K655" s="356"/>
      <c r="L655" s="356"/>
    </row>
    <row r="656" spans="9:12" ht="15.75" customHeight="1">
      <c r="I656" s="356"/>
      <c r="J656" s="356"/>
      <c r="K656" s="356"/>
      <c r="L656" s="356"/>
    </row>
    <row r="657" spans="9:12" ht="15.75" customHeight="1">
      <c r="I657" s="356"/>
      <c r="J657" s="356"/>
      <c r="K657" s="356"/>
      <c r="L657" s="356"/>
    </row>
    <row r="658" spans="9:12" ht="15.75" customHeight="1">
      <c r="I658" s="356"/>
      <c r="J658" s="356"/>
      <c r="K658" s="356"/>
      <c r="L658" s="356"/>
    </row>
    <row r="659" spans="9:12" ht="15.75" customHeight="1">
      <c r="I659" s="356"/>
      <c r="J659" s="356"/>
      <c r="K659" s="356"/>
      <c r="L659" s="356"/>
    </row>
    <row r="660" spans="9:12" ht="15.75" customHeight="1">
      <c r="I660" s="356"/>
      <c r="J660" s="356"/>
      <c r="K660" s="356"/>
      <c r="L660" s="356"/>
    </row>
    <row r="661" spans="9:12" ht="15.75" customHeight="1">
      <c r="I661" s="356"/>
      <c r="J661" s="356"/>
      <c r="K661" s="356"/>
      <c r="L661" s="356"/>
    </row>
    <row r="662" spans="9:12" ht="15.75" customHeight="1">
      <c r="I662" s="356"/>
      <c r="J662" s="356"/>
      <c r="K662" s="356"/>
      <c r="L662" s="356"/>
    </row>
    <row r="663" spans="9:12" ht="15.75" customHeight="1">
      <c r="I663" s="356"/>
      <c r="J663" s="356"/>
      <c r="K663" s="356"/>
      <c r="L663" s="356"/>
    </row>
    <row r="664" spans="9:12" ht="15.75" customHeight="1">
      <c r="I664" s="356"/>
      <c r="J664" s="356"/>
      <c r="K664" s="356"/>
      <c r="L664" s="356"/>
    </row>
    <row r="665" spans="9:12" ht="15.75" customHeight="1">
      <c r="I665" s="356"/>
      <c r="J665" s="356"/>
      <c r="K665" s="356"/>
      <c r="L665" s="356"/>
    </row>
    <row r="666" spans="9:12" ht="15.75" customHeight="1">
      <c r="I666" s="356"/>
      <c r="J666" s="356"/>
      <c r="K666" s="356"/>
      <c r="L666" s="356"/>
    </row>
    <row r="667" spans="9:12" ht="15.75" customHeight="1">
      <c r="I667" s="356"/>
      <c r="J667" s="356"/>
      <c r="K667" s="356"/>
      <c r="L667" s="356"/>
    </row>
    <row r="668" spans="9:12" ht="15.75" customHeight="1">
      <c r="I668" s="356"/>
      <c r="J668" s="356"/>
      <c r="K668" s="356"/>
      <c r="L668" s="356"/>
    </row>
    <row r="669" spans="9:12" ht="15.75" customHeight="1">
      <c r="I669" s="356"/>
      <c r="J669" s="356"/>
      <c r="K669" s="356"/>
      <c r="L669" s="356"/>
    </row>
    <row r="670" spans="9:12" ht="15.75" customHeight="1">
      <c r="I670" s="356"/>
      <c r="J670" s="356"/>
      <c r="K670" s="356"/>
      <c r="L670" s="356"/>
    </row>
    <row r="671" spans="9:12" ht="15.75" customHeight="1">
      <c r="I671" s="356"/>
      <c r="J671" s="356"/>
      <c r="K671" s="356"/>
      <c r="L671" s="356"/>
    </row>
    <row r="672" spans="9:12" ht="15.75" customHeight="1">
      <c r="I672" s="356"/>
      <c r="J672" s="356"/>
      <c r="K672" s="356"/>
      <c r="L672" s="356"/>
    </row>
    <row r="673" spans="9:12" ht="15.75" customHeight="1">
      <c r="I673" s="356"/>
      <c r="J673" s="356"/>
      <c r="K673" s="356"/>
      <c r="L673" s="356"/>
    </row>
    <row r="674" spans="9:12" ht="15.75" customHeight="1">
      <c r="I674" s="356"/>
      <c r="J674" s="356"/>
      <c r="K674" s="356"/>
      <c r="L674" s="356"/>
    </row>
    <row r="675" spans="9:12" ht="15.75" customHeight="1">
      <c r="I675" s="356"/>
      <c r="J675" s="356"/>
      <c r="K675" s="356"/>
      <c r="L675" s="356"/>
    </row>
    <row r="676" spans="9:12" ht="15.75" customHeight="1">
      <c r="I676" s="356"/>
      <c r="J676" s="356"/>
      <c r="K676" s="356"/>
      <c r="L676" s="356"/>
    </row>
    <row r="677" spans="9:12" ht="15.75" customHeight="1">
      <c r="I677" s="356"/>
      <c r="J677" s="356"/>
      <c r="K677" s="356"/>
      <c r="L677" s="356"/>
    </row>
    <row r="678" spans="9:12" ht="15.75" customHeight="1">
      <c r="I678" s="356"/>
      <c r="J678" s="356"/>
      <c r="K678" s="356"/>
      <c r="L678" s="356"/>
    </row>
    <row r="679" spans="9:12" ht="15.75" customHeight="1">
      <c r="I679" s="356"/>
      <c r="J679" s="356"/>
      <c r="K679" s="356"/>
      <c r="L679" s="356"/>
    </row>
    <row r="680" spans="9:12" ht="15.75" customHeight="1">
      <c r="I680" s="356"/>
      <c r="J680" s="356"/>
      <c r="K680" s="356"/>
      <c r="L680" s="356"/>
    </row>
    <row r="681" spans="9:12" ht="15.75" customHeight="1">
      <c r="I681" s="356"/>
      <c r="J681" s="356"/>
      <c r="K681" s="356"/>
      <c r="L681" s="356"/>
    </row>
    <row r="682" spans="9:12" ht="15.75" customHeight="1">
      <c r="I682" s="356"/>
      <c r="J682" s="356"/>
      <c r="K682" s="356"/>
      <c r="L682" s="356"/>
    </row>
    <row r="683" spans="9:12" ht="15.75" customHeight="1">
      <c r="I683" s="356"/>
      <c r="J683" s="356"/>
      <c r="K683" s="356"/>
      <c r="L683" s="356"/>
    </row>
    <row r="684" spans="9:12" ht="15.75" customHeight="1">
      <c r="I684" s="356"/>
      <c r="J684" s="356"/>
      <c r="K684" s="356"/>
      <c r="L684" s="356"/>
    </row>
    <row r="685" spans="9:12" ht="15.75" customHeight="1">
      <c r="I685" s="356"/>
      <c r="J685" s="356"/>
      <c r="K685" s="356"/>
      <c r="L685" s="356"/>
    </row>
    <row r="686" spans="9:12" ht="15.75" customHeight="1">
      <c r="I686" s="356"/>
      <c r="J686" s="356"/>
      <c r="K686" s="356"/>
      <c r="L686" s="356"/>
    </row>
    <row r="687" spans="9:12" ht="15.75" customHeight="1">
      <c r="I687" s="356"/>
      <c r="J687" s="356"/>
      <c r="K687" s="356"/>
      <c r="L687" s="356"/>
    </row>
    <row r="688" spans="9:12" ht="15.75" customHeight="1">
      <c r="I688" s="356"/>
      <c r="J688" s="356"/>
      <c r="K688" s="356"/>
      <c r="L688" s="356"/>
    </row>
    <row r="689" spans="9:12" ht="15.75" customHeight="1">
      <c r="I689" s="356"/>
      <c r="J689" s="356"/>
      <c r="K689" s="356"/>
      <c r="L689" s="356"/>
    </row>
    <row r="690" spans="9:12" ht="15.75" customHeight="1">
      <c r="I690" s="356"/>
      <c r="J690" s="356"/>
      <c r="K690" s="356"/>
      <c r="L690" s="356"/>
    </row>
    <row r="691" spans="9:12" ht="15.75" customHeight="1">
      <c r="I691" s="356"/>
      <c r="J691" s="356"/>
      <c r="K691" s="356"/>
      <c r="L691" s="356"/>
    </row>
    <row r="692" spans="9:12" ht="15.75" customHeight="1">
      <c r="I692" s="356"/>
      <c r="J692" s="356"/>
      <c r="K692" s="356"/>
      <c r="L692" s="356"/>
    </row>
    <row r="693" spans="9:12" ht="15.75" customHeight="1">
      <c r="I693" s="356"/>
      <c r="J693" s="356"/>
      <c r="K693" s="356"/>
      <c r="L693" s="356"/>
    </row>
    <row r="694" spans="9:12" ht="15.75" customHeight="1">
      <c r="I694" s="356"/>
      <c r="J694" s="356"/>
      <c r="K694" s="356"/>
      <c r="L694" s="356"/>
    </row>
    <row r="695" spans="9:12" ht="15.75" customHeight="1">
      <c r="I695" s="356"/>
      <c r="J695" s="356"/>
      <c r="K695" s="356"/>
      <c r="L695" s="356"/>
    </row>
    <row r="696" spans="9:12" ht="15.75" customHeight="1">
      <c r="I696" s="356"/>
      <c r="J696" s="356"/>
      <c r="K696" s="356"/>
      <c r="L696" s="356"/>
    </row>
    <row r="697" spans="9:12" ht="15.75" customHeight="1">
      <c r="I697" s="356"/>
      <c r="J697" s="356"/>
      <c r="K697" s="356"/>
      <c r="L697" s="356"/>
    </row>
    <row r="698" spans="9:12" ht="15.75" customHeight="1">
      <c r="I698" s="356"/>
      <c r="J698" s="356"/>
      <c r="K698" s="356"/>
      <c r="L698" s="356"/>
    </row>
    <row r="699" spans="9:12" ht="15.75" customHeight="1">
      <c r="I699" s="356"/>
      <c r="J699" s="356"/>
      <c r="K699" s="356"/>
      <c r="L699" s="356"/>
    </row>
    <row r="700" spans="9:12" ht="15.75" customHeight="1">
      <c r="I700" s="356"/>
      <c r="J700" s="356"/>
      <c r="K700" s="356"/>
      <c r="L700" s="356"/>
    </row>
    <row r="701" spans="9:12" ht="15.75" customHeight="1">
      <c r="I701" s="356"/>
      <c r="J701" s="356"/>
      <c r="K701" s="356"/>
      <c r="L701" s="356"/>
    </row>
    <row r="702" spans="9:12" ht="15.75" customHeight="1">
      <c r="I702" s="356"/>
      <c r="J702" s="356"/>
      <c r="K702" s="356"/>
      <c r="L702" s="356"/>
    </row>
    <row r="703" spans="9:12" ht="15.75" customHeight="1">
      <c r="I703" s="356"/>
      <c r="J703" s="356"/>
      <c r="K703" s="356"/>
      <c r="L703" s="356"/>
    </row>
    <row r="704" spans="9:12" ht="15.75" customHeight="1">
      <c r="I704" s="356"/>
      <c r="J704" s="356"/>
      <c r="K704" s="356"/>
      <c r="L704" s="356"/>
    </row>
    <row r="705" spans="9:12" ht="15.75" customHeight="1">
      <c r="I705" s="356"/>
      <c r="J705" s="356"/>
      <c r="K705" s="356"/>
      <c r="L705" s="356"/>
    </row>
    <row r="706" spans="9:12" ht="15.75" customHeight="1">
      <c r="I706" s="356"/>
      <c r="J706" s="356"/>
      <c r="K706" s="356"/>
      <c r="L706" s="356"/>
    </row>
    <row r="707" spans="9:12" ht="15.75" customHeight="1">
      <c r="I707" s="356"/>
      <c r="J707" s="356"/>
      <c r="K707" s="356"/>
      <c r="L707" s="356"/>
    </row>
    <row r="708" spans="9:12" ht="15.75" customHeight="1">
      <c r="I708" s="356"/>
      <c r="J708" s="356"/>
      <c r="K708" s="356"/>
      <c r="L708" s="356"/>
    </row>
    <row r="709" spans="9:12" ht="15.75" customHeight="1">
      <c r="I709" s="356"/>
      <c r="J709" s="356"/>
      <c r="K709" s="356"/>
      <c r="L709" s="356"/>
    </row>
    <row r="710" spans="9:12" ht="15.75" customHeight="1">
      <c r="I710" s="356"/>
      <c r="J710" s="356"/>
      <c r="K710" s="356"/>
      <c r="L710" s="356"/>
    </row>
    <row r="711" spans="9:12" ht="15.75" customHeight="1">
      <c r="I711" s="356"/>
      <c r="J711" s="356"/>
      <c r="K711" s="356"/>
      <c r="L711" s="356"/>
    </row>
    <row r="712" spans="9:12" ht="15.75" customHeight="1">
      <c r="I712" s="356"/>
      <c r="J712" s="356"/>
      <c r="K712" s="356"/>
      <c r="L712" s="356"/>
    </row>
    <row r="713" spans="9:12" ht="15.75" customHeight="1">
      <c r="I713" s="356"/>
      <c r="J713" s="356"/>
      <c r="K713" s="356"/>
      <c r="L713" s="356"/>
    </row>
    <row r="714" spans="9:12" ht="15.75" customHeight="1">
      <c r="I714" s="356"/>
      <c r="J714" s="356"/>
      <c r="K714" s="356"/>
      <c r="L714" s="356"/>
    </row>
    <row r="715" spans="9:12" ht="15.75" customHeight="1">
      <c r="I715" s="356"/>
      <c r="J715" s="356"/>
      <c r="K715" s="356"/>
      <c r="L715" s="356"/>
    </row>
    <row r="716" spans="9:12" ht="15.75" customHeight="1">
      <c r="I716" s="356"/>
      <c r="J716" s="356"/>
      <c r="K716" s="356"/>
      <c r="L716" s="356"/>
    </row>
    <row r="717" spans="9:12" ht="15.75" customHeight="1">
      <c r="I717" s="356"/>
      <c r="J717" s="356"/>
      <c r="K717" s="356"/>
      <c r="L717" s="356"/>
    </row>
    <row r="718" spans="9:12" ht="15.75" customHeight="1">
      <c r="I718" s="356"/>
      <c r="J718" s="356"/>
      <c r="K718" s="356"/>
      <c r="L718" s="356"/>
    </row>
    <row r="719" spans="9:12" ht="15.75" customHeight="1">
      <c r="I719" s="356"/>
      <c r="J719" s="356"/>
      <c r="K719" s="356"/>
      <c r="L719" s="356"/>
    </row>
    <row r="720" spans="9:12" ht="15.75" customHeight="1">
      <c r="I720" s="356"/>
      <c r="J720" s="356"/>
      <c r="K720" s="356"/>
      <c r="L720" s="356"/>
    </row>
    <row r="721" spans="9:12" ht="15.75" customHeight="1">
      <c r="I721" s="356"/>
      <c r="J721" s="356"/>
      <c r="K721" s="356"/>
      <c r="L721" s="356"/>
    </row>
    <row r="722" spans="9:12" ht="15.75" customHeight="1">
      <c r="I722" s="356"/>
      <c r="J722" s="356"/>
      <c r="K722" s="356"/>
      <c r="L722" s="356"/>
    </row>
    <row r="723" spans="9:12" ht="15.75" customHeight="1">
      <c r="I723" s="356"/>
      <c r="J723" s="356"/>
      <c r="K723" s="356"/>
      <c r="L723" s="356"/>
    </row>
    <row r="724" spans="9:12" ht="15.75" customHeight="1">
      <c r="I724" s="356"/>
      <c r="J724" s="356"/>
      <c r="K724" s="356"/>
      <c r="L724" s="356"/>
    </row>
    <row r="725" spans="9:12" ht="15.75" customHeight="1">
      <c r="I725" s="356"/>
      <c r="J725" s="356"/>
      <c r="K725" s="356"/>
      <c r="L725" s="356"/>
    </row>
    <row r="726" spans="9:12" ht="15.75" customHeight="1">
      <c r="I726" s="356"/>
      <c r="J726" s="356"/>
      <c r="K726" s="356"/>
      <c r="L726" s="356"/>
    </row>
    <row r="727" spans="9:12" ht="15.75" customHeight="1">
      <c r="I727" s="356"/>
      <c r="J727" s="356"/>
      <c r="K727" s="356"/>
      <c r="L727" s="356"/>
    </row>
    <row r="728" spans="9:12" ht="15.75" customHeight="1">
      <c r="I728" s="356"/>
      <c r="J728" s="356"/>
      <c r="K728" s="356"/>
      <c r="L728" s="356"/>
    </row>
    <row r="729" spans="9:12" ht="15.75" customHeight="1">
      <c r="I729" s="356"/>
      <c r="J729" s="356"/>
      <c r="K729" s="356"/>
      <c r="L729" s="356"/>
    </row>
    <row r="730" spans="9:12" ht="15.75" customHeight="1">
      <c r="I730" s="356"/>
      <c r="J730" s="356"/>
      <c r="K730" s="356"/>
      <c r="L730" s="356"/>
    </row>
    <row r="731" spans="9:12" ht="15.75" customHeight="1">
      <c r="I731" s="356"/>
      <c r="J731" s="356"/>
      <c r="K731" s="356"/>
      <c r="L731" s="356"/>
    </row>
    <row r="732" spans="9:12" ht="15.75" customHeight="1">
      <c r="I732" s="356"/>
      <c r="J732" s="356"/>
      <c r="K732" s="356"/>
      <c r="L732" s="356"/>
    </row>
    <row r="733" spans="9:12" ht="15.75" customHeight="1">
      <c r="I733" s="356"/>
      <c r="J733" s="356"/>
      <c r="K733" s="356"/>
      <c r="L733" s="356"/>
    </row>
    <row r="734" spans="9:12" ht="15.75" customHeight="1">
      <c r="I734" s="356"/>
      <c r="J734" s="356"/>
      <c r="K734" s="356"/>
      <c r="L734" s="356"/>
    </row>
    <row r="735" spans="9:12" ht="15.75" customHeight="1">
      <c r="I735" s="356"/>
      <c r="J735" s="356"/>
      <c r="K735" s="356"/>
      <c r="L735" s="356"/>
    </row>
    <row r="736" spans="9:12" ht="15.75" customHeight="1">
      <c r="I736" s="356"/>
      <c r="J736" s="356"/>
      <c r="K736" s="356"/>
      <c r="L736" s="356"/>
    </row>
    <row r="737" spans="9:12" ht="15.75" customHeight="1">
      <c r="I737" s="356"/>
      <c r="J737" s="356"/>
      <c r="K737" s="356"/>
      <c r="L737" s="356"/>
    </row>
    <row r="738" spans="9:12" ht="15.75" customHeight="1">
      <c r="I738" s="356"/>
      <c r="J738" s="356"/>
      <c r="K738" s="356"/>
      <c r="L738" s="356"/>
    </row>
    <row r="739" spans="9:12" ht="15.75" customHeight="1">
      <c r="I739" s="356"/>
      <c r="J739" s="356"/>
      <c r="K739" s="356"/>
      <c r="L739" s="356"/>
    </row>
    <row r="740" spans="9:12" ht="15.75" customHeight="1">
      <c r="I740" s="356"/>
      <c r="J740" s="356"/>
      <c r="K740" s="356"/>
      <c r="L740" s="356"/>
    </row>
    <row r="741" spans="9:12" ht="15.75" customHeight="1">
      <c r="I741" s="356"/>
      <c r="J741" s="356"/>
      <c r="K741" s="356"/>
      <c r="L741" s="356"/>
    </row>
    <row r="742" spans="9:12" ht="15.75" customHeight="1">
      <c r="I742" s="356"/>
      <c r="J742" s="356"/>
      <c r="K742" s="356"/>
      <c r="L742" s="356"/>
    </row>
    <row r="743" spans="9:12" ht="15.75" customHeight="1">
      <c r="I743" s="356"/>
      <c r="J743" s="356"/>
      <c r="K743" s="356"/>
      <c r="L743" s="356"/>
    </row>
    <row r="744" spans="9:12" ht="15.75" customHeight="1">
      <c r="I744" s="356"/>
      <c r="J744" s="356"/>
      <c r="K744" s="356"/>
      <c r="L744" s="356"/>
    </row>
    <row r="745" spans="9:12" ht="15.75" customHeight="1">
      <c r="I745" s="356"/>
      <c r="J745" s="356"/>
      <c r="K745" s="356"/>
      <c r="L745" s="356"/>
    </row>
    <row r="746" spans="9:12" ht="15.75" customHeight="1">
      <c r="I746" s="356"/>
      <c r="J746" s="356"/>
      <c r="K746" s="356"/>
      <c r="L746" s="356"/>
    </row>
    <row r="747" spans="9:12" ht="15.75" customHeight="1">
      <c r="I747" s="356"/>
      <c r="J747" s="356"/>
      <c r="K747" s="356"/>
      <c r="L747" s="356"/>
    </row>
    <row r="748" spans="9:12" ht="15.75" customHeight="1">
      <c r="I748" s="356"/>
      <c r="J748" s="356"/>
      <c r="K748" s="356"/>
      <c r="L748" s="356"/>
    </row>
    <row r="749" spans="9:12" ht="15.75" customHeight="1">
      <c r="I749" s="356"/>
      <c r="J749" s="356"/>
      <c r="K749" s="356"/>
      <c r="L749" s="356"/>
    </row>
    <row r="750" spans="9:12" ht="15.75" customHeight="1">
      <c r="I750" s="356"/>
      <c r="J750" s="356"/>
      <c r="K750" s="356"/>
      <c r="L750" s="356"/>
    </row>
    <row r="751" spans="9:12" ht="15.75" customHeight="1">
      <c r="I751" s="356"/>
      <c r="J751" s="356"/>
      <c r="K751" s="356"/>
      <c r="L751" s="356"/>
    </row>
    <row r="752" spans="9:12" ht="15.75" customHeight="1">
      <c r="I752" s="356"/>
      <c r="J752" s="356"/>
      <c r="K752" s="356"/>
      <c r="L752" s="356"/>
    </row>
    <row r="753" spans="9:12" ht="15.75" customHeight="1">
      <c r="I753" s="356"/>
      <c r="J753" s="356"/>
      <c r="K753" s="356"/>
      <c r="L753" s="356"/>
    </row>
    <row r="754" spans="9:12" ht="15.75" customHeight="1">
      <c r="I754" s="356"/>
      <c r="J754" s="356"/>
      <c r="K754" s="356"/>
      <c r="L754" s="356"/>
    </row>
    <row r="755" spans="9:12" ht="15.75" customHeight="1">
      <c r="I755" s="356"/>
      <c r="J755" s="356"/>
      <c r="K755" s="356"/>
      <c r="L755" s="356"/>
    </row>
    <row r="756" spans="9:12" ht="15.75" customHeight="1">
      <c r="I756" s="356"/>
      <c r="J756" s="356"/>
      <c r="K756" s="356"/>
      <c r="L756" s="356"/>
    </row>
    <row r="757" spans="9:12" ht="15.75" customHeight="1">
      <c r="I757" s="356"/>
      <c r="J757" s="356"/>
      <c r="K757" s="356"/>
      <c r="L757" s="356"/>
    </row>
    <row r="758" spans="9:12" ht="15.75" customHeight="1">
      <c r="I758" s="356"/>
      <c r="J758" s="356"/>
      <c r="K758" s="356"/>
      <c r="L758" s="356"/>
    </row>
    <row r="759" spans="9:12" ht="15.75" customHeight="1">
      <c r="I759" s="356"/>
      <c r="J759" s="356"/>
      <c r="K759" s="356"/>
      <c r="L759" s="356"/>
    </row>
    <row r="760" spans="9:12" ht="15.75" customHeight="1">
      <c r="I760" s="356"/>
      <c r="J760" s="356"/>
      <c r="K760" s="356"/>
      <c r="L760" s="356"/>
    </row>
    <row r="761" spans="9:12" ht="15.75" customHeight="1">
      <c r="I761" s="356"/>
      <c r="J761" s="356"/>
      <c r="K761" s="356"/>
      <c r="L761" s="356"/>
    </row>
    <row r="762" spans="9:12" ht="15.75" customHeight="1">
      <c r="I762" s="356"/>
      <c r="J762" s="356"/>
      <c r="K762" s="356"/>
      <c r="L762" s="356"/>
    </row>
    <row r="763" spans="9:12" ht="15.75" customHeight="1">
      <c r="I763" s="356"/>
      <c r="J763" s="356"/>
      <c r="K763" s="356"/>
      <c r="L763" s="356"/>
    </row>
    <row r="764" spans="9:12" ht="15.75" customHeight="1">
      <c r="I764" s="356"/>
      <c r="J764" s="356"/>
      <c r="K764" s="356"/>
      <c r="L764" s="356"/>
    </row>
    <row r="765" spans="9:12" ht="15.75" customHeight="1">
      <c r="I765" s="356"/>
      <c r="J765" s="356"/>
      <c r="K765" s="356"/>
      <c r="L765" s="356"/>
    </row>
    <row r="766" spans="9:12" ht="15.75" customHeight="1">
      <c r="I766" s="356"/>
      <c r="J766" s="356"/>
      <c r="K766" s="356"/>
      <c r="L766" s="356"/>
    </row>
    <row r="767" spans="9:12" ht="15.75" customHeight="1">
      <c r="I767" s="356"/>
      <c r="J767" s="356"/>
      <c r="K767" s="356"/>
      <c r="L767" s="356"/>
    </row>
    <row r="768" spans="9:12" ht="15.75" customHeight="1">
      <c r="I768" s="356"/>
      <c r="J768" s="356"/>
      <c r="K768" s="356"/>
      <c r="L768" s="356"/>
    </row>
    <row r="769" spans="9:12" ht="15.75" customHeight="1">
      <c r="I769" s="356"/>
      <c r="J769" s="356"/>
      <c r="K769" s="356"/>
      <c r="L769" s="356"/>
    </row>
    <row r="770" spans="9:12" ht="15.75" customHeight="1">
      <c r="I770" s="356"/>
      <c r="J770" s="356"/>
      <c r="K770" s="356"/>
      <c r="L770" s="356"/>
    </row>
    <row r="771" spans="9:12" ht="15.75" customHeight="1">
      <c r="I771" s="356"/>
      <c r="J771" s="356"/>
      <c r="K771" s="356"/>
      <c r="L771" s="356"/>
    </row>
    <row r="772" spans="9:12" ht="15.75" customHeight="1">
      <c r="I772" s="356"/>
      <c r="J772" s="356"/>
      <c r="K772" s="356"/>
      <c r="L772" s="356"/>
    </row>
    <row r="773" spans="9:12" ht="15.75" customHeight="1">
      <c r="I773" s="356"/>
      <c r="J773" s="356"/>
      <c r="K773" s="356"/>
      <c r="L773" s="356"/>
    </row>
    <row r="774" spans="9:12" ht="15.75" customHeight="1">
      <c r="I774" s="356"/>
      <c r="J774" s="356"/>
      <c r="K774" s="356"/>
      <c r="L774" s="356"/>
    </row>
    <row r="775" spans="9:12" ht="15.75" customHeight="1">
      <c r="I775" s="356"/>
      <c r="J775" s="356"/>
      <c r="K775" s="356"/>
      <c r="L775" s="356"/>
    </row>
    <row r="776" spans="9:12" ht="15.75" customHeight="1">
      <c r="I776" s="356"/>
      <c r="J776" s="356"/>
      <c r="K776" s="356"/>
      <c r="L776" s="356"/>
    </row>
    <row r="777" spans="9:12" ht="15.75" customHeight="1">
      <c r="I777" s="356"/>
      <c r="J777" s="356"/>
      <c r="K777" s="356"/>
      <c r="L777" s="356"/>
    </row>
    <row r="778" spans="9:12" ht="15.75" customHeight="1">
      <c r="I778" s="356"/>
      <c r="J778" s="356"/>
      <c r="K778" s="356"/>
      <c r="L778" s="356"/>
    </row>
    <row r="779" spans="9:12" ht="15.75" customHeight="1">
      <c r="I779" s="356"/>
      <c r="J779" s="356"/>
      <c r="K779" s="356"/>
      <c r="L779" s="356"/>
    </row>
    <row r="780" spans="9:12" ht="15.75" customHeight="1">
      <c r="I780" s="356"/>
      <c r="J780" s="356"/>
      <c r="K780" s="356"/>
      <c r="L780" s="356"/>
    </row>
    <row r="781" spans="9:12" ht="15.75" customHeight="1">
      <c r="I781" s="356"/>
      <c r="J781" s="356"/>
      <c r="K781" s="356"/>
      <c r="L781" s="356"/>
    </row>
    <row r="782" spans="9:12" ht="15.75" customHeight="1">
      <c r="I782" s="356"/>
      <c r="J782" s="356"/>
      <c r="K782" s="356"/>
      <c r="L782" s="356"/>
    </row>
    <row r="783" spans="9:12" ht="15.75" customHeight="1">
      <c r="I783" s="356"/>
      <c r="J783" s="356"/>
      <c r="K783" s="356"/>
      <c r="L783" s="356"/>
    </row>
    <row r="784" spans="9:12" ht="15.75" customHeight="1">
      <c r="I784" s="356"/>
      <c r="J784" s="356"/>
      <c r="K784" s="356"/>
      <c r="L784" s="356"/>
    </row>
    <row r="785" spans="9:12" ht="15.75" customHeight="1">
      <c r="I785" s="356"/>
      <c r="J785" s="356"/>
      <c r="K785" s="356"/>
      <c r="L785" s="356"/>
    </row>
    <row r="786" spans="9:12" ht="15.75" customHeight="1">
      <c r="I786" s="356"/>
      <c r="J786" s="356"/>
      <c r="K786" s="356"/>
      <c r="L786" s="356"/>
    </row>
    <row r="787" spans="9:12" ht="15.75" customHeight="1">
      <c r="I787" s="356"/>
      <c r="J787" s="356"/>
      <c r="K787" s="356"/>
      <c r="L787" s="356"/>
    </row>
    <row r="788" spans="9:12" ht="15.75" customHeight="1">
      <c r="I788" s="356"/>
      <c r="J788" s="356"/>
      <c r="K788" s="356"/>
      <c r="L788" s="356"/>
    </row>
    <row r="789" spans="9:12" ht="15.75" customHeight="1">
      <c r="I789" s="356"/>
      <c r="J789" s="356"/>
      <c r="K789" s="356"/>
      <c r="L789" s="356"/>
    </row>
    <row r="790" spans="9:12" ht="15.75" customHeight="1">
      <c r="I790" s="356"/>
      <c r="J790" s="356"/>
      <c r="K790" s="356"/>
      <c r="L790" s="356"/>
    </row>
    <row r="791" spans="9:12" ht="15.75" customHeight="1">
      <c r="I791" s="356"/>
      <c r="J791" s="356"/>
      <c r="K791" s="356"/>
      <c r="L791" s="356"/>
    </row>
    <row r="792" spans="9:12" ht="15.75" customHeight="1">
      <c r="I792" s="356"/>
      <c r="J792" s="356"/>
      <c r="K792" s="356"/>
      <c r="L792" s="356"/>
    </row>
    <row r="793" spans="9:12" ht="15.75" customHeight="1">
      <c r="I793" s="356"/>
      <c r="J793" s="356"/>
      <c r="K793" s="356"/>
      <c r="L793" s="356"/>
    </row>
    <row r="794" spans="9:12" ht="15.75" customHeight="1">
      <c r="I794" s="356"/>
      <c r="J794" s="356"/>
      <c r="K794" s="356"/>
      <c r="L794" s="356"/>
    </row>
    <row r="795" spans="9:12" ht="15.75" customHeight="1">
      <c r="I795" s="356"/>
      <c r="J795" s="356"/>
      <c r="K795" s="356"/>
      <c r="L795" s="356"/>
    </row>
    <row r="796" spans="9:12" ht="15.75" customHeight="1">
      <c r="I796" s="356"/>
      <c r="J796" s="356"/>
      <c r="K796" s="356"/>
      <c r="L796" s="356"/>
    </row>
    <row r="797" spans="9:12" ht="15.75" customHeight="1">
      <c r="I797" s="356"/>
      <c r="J797" s="356"/>
      <c r="K797" s="356"/>
      <c r="L797" s="356"/>
    </row>
    <row r="798" spans="9:12" ht="15.75" customHeight="1">
      <c r="I798" s="356"/>
      <c r="J798" s="356"/>
      <c r="K798" s="356"/>
      <c r="L798" s="356"/>
    </row>
    <row r="799" spans="9:12" ht="15.75" customHeight="1">
      <c r="I799" s="356"/>
      <c r="J799" s="356"/>
      <c r="K799" s="356"/>
      <c r="L799" s="356"/>
    </row>
    <row r="800" spans="9:12" ht="15.75" customHeight="1">
      <c r="I800" s="356"/>
      <c r="J800" s="356"/>
      <c r="K800" s="356"/>
      <c r="L800" s="356"/>
    </row>
    <row r="801" spans="9:12" ht="15.75" customHeight="1">
      <c r="I801" s="356"/>
      <c r="J801" s="356"/>
      <c r="K801" s="356"/>
      <c r="L801" s="356"/>
    </row>
    <row r="802" spans="9:12" ht="15.75" customHeight="1">
      <c r="I802" s="356"/>
      <c r="J802" s="356"/>
      <c r="K802" s="356"/>
      <c r="L802" s="356"/>
    </row>
    <row r="803" spans="9:12" ht="15.75" customHeight="1">
      <c r="I803" s="356"/>
      <c r="J803" s="356"/>
      <c r="K803" s="356"/>
      <c r="L803" s="356"/>
    </row>
    <row r="804" spans="9:12" ht="15.75" customHeight="1">
      <c r="I804" s="356"/>
      <c r="J804" s="356"/>
      <c r="K804" s="356"/>
      <c r="L804" s="356"/>
    </row>
    <row r="805" spans="9:12" ht="15.75" customHeight="1">
      <c r="I805" s="356"/>
      <c r="J805" s="356"/>
      <c r="K805" s="356"/>
      <c r="L805" s="356"/>
    </row>
    <row r="806" spans="9:12" ht="15.75" customHeight="1">
      <c r="I806" s="356"/>
      <c r="J806" s="356"/>
      <c r="K806" s="356"/>
      <c r="L806" s="356"/>
    </row>
    <row r="807" spans="9:12" ht="15.75" customHeight="1">
      <c r="I807" s="356"/>
      <c r="J807" s="356"/>
      <c r="K807" s="356"/>
      <c r="L807" s="356"/>
    </row>
    <row r="808" spans="9:12" ht="15.75" customHeight="1">
      <c r="I808" s="356"/>
      <c r="J808" s="356"/>
      <c r="K808" s="356"/>
      <c r="L808" s="356"/>
    </row>
    <row r="809" spans="9:12" ht="15.75" customHeight="1">
      <c r="I809" s="356"/>
      <c r="J809" s="356"/>
      <c r="K809" s="356"/>
      <c r="L809" s="356"/>
    </row>
    <row r="810" spans="9:12" ht="15.75" customHeight="1">
      <c r="I810" s="356"/>
      <c r="J810" s="356"/>
      <c r="K810" s="356"/>
      <c r="L810" s="356"/>
    </row>
    <row r="811" spans="9:12" ht="15.75" customHeight="1">
      <c r="I811" s="356"/>
      <c r="J811" s="356"/>
      <c r="K811" s="356"/>
      <c r="L811" s="356"/>
    </row>
    <row r="812" spans="9:12" ht="15.75" customHeight="1">
      <c r="I812" s="356"/>
      <c r="J812" s="356"/>
      <c r="K812" s="356"/>
      <c r="L812" s="356"/>
    </row>
    <row r="813" spans="9:12" ht="15.75" customHeight="1">
      <c r="I813" s="356"/>
      <c r="J813" s="356"/>
      <c r="K813" s="356"/>
      <c r="L813" s="356"/>
    </row>
    <row r="814" spans="9:12" ht="15.75" customHeight="1">
      <c r="I814" s="356"/>
      <c r="J814" s="356"/>
      <c r="K814" s="356"/>
      <c r="L814" s="356"/>
    </row>
    <row r="815" spans="9:12" ht="15.75" customHeight="1">
      <c r="I815" s="356"/>
      <c r="J815" s="356"/>
      <c r="K815" s="356"/>
      <c r="L815" s="356"/>
    </row>
    <row r="816" spans="9:12" ht="15.75" customHeight="1">
      <c r="I816" s="356"/>
      <c r="J816" s="356"/>
      <c r="K816" s="356"/>
      <c r="L816" s="356"/>
    </row>
    <row r="817" spans="9:12" ht="15.75" customHeight="1">
      <c r="I817" s="356"/>
      <c r="J817" s="356"/>
      <c r="K817" s="356"/>
      <c r="L817" s="356"/>
    </row>
    <row r="818" spans="9:12" ht="15.75" customHeight="1">
      <c r="I818" s="356"/>
      <c r="J818" s="356"/>
      <c r="K818" s="356"/>
      <c r="L818" s="356"/>
    </row>
    <row r="819" spans="9:12" ht="15.75" customHeight="1">
      <c r="I819" s="356"/>
      <c r="J819" s="356"/>
      <c r="K819" s="356"/>
      <c r="L819" s="356"/>
    </row>
    <row r="820" spans="9:12" ht="15.75" customHeight="1">
      <c r="I820" s="356"/>
      <c r="J820" s="356"/>
      <c r="K820" s="356"/>
      <c r="L820" s="356"/>
    </row>
    <row r="821" spans="9:12" ht="15.75" customHeight="1">
      <c r="I821" s="356"/>
      <c r="J821" s="356"/>
      <c r="K821" s="356"/>
      <c r="L821" s="356"/>
    </row>
    <row r="822" spans="9:12" ht="15.75" customHeight="1">
      <c r="I822" s="356"/>
      <c r="J822" s="356"/>
      <c r="K822" s="356"/>
      <c r="L822" s="356"/>
    </row>
    <row r="823" spans="9:12" ht="15.75" customHeight="1">
      <c r="I823" s="356"/>
      <c r="J823" s="356"/>
      <c r="K823" s="356"/>
      <c r="L823" s="356"/>
    </row>
    <row r="824" spans="9:12" ht="15.75" customHeight="1">
      <c r="I824" s="356"/>
      <c r="J824" s="356"/>
      <c r="K824" s="356"/>
      <c r="L824" s="356"/>
    </row>
    <row r="825" spans="9:12" ht="15.75" customHeight="1">
      <c r="I825" s="356"/>
      <c r="J825" s="356"/>
      <c r="K825" s="356"/>
      <c r="L825" s="356"/>
    </row>
    <row r="826" spans="9:12" ht="15.75" customHeight="1">
      <c r="I826" s="356"/>
      <c r="J826" s="356"/>
      <c r="K826" s="356"/>
      <c r="L826" s="356"/>
    </row>
    <row r="827" spans="9:12" ht="15.75" customHeight="1">
      <c r="I827" s="356"/>
      <c r="J827" s="356"/>
      <c r="K827" s="356"/>
      <c r="L827" s="356"/>
    </row>
    <row r="828" spans="9:12" ht="15.75" customHeight="1">
      <c r="I828" s="356"/>
      <c r="J828" s="356"/>
      <c r="K828" s="356"/>
      <c r="L828" s="356"/>
    </row>
    <row r="829" spans="9:12" ht="15.75" customHeight="1">
      <c r="I829" s="356"/>
      <c r="J829" s="356"/>
      <c r="K829" s="356"/>
      <c r="L829" s="356"/>
    </row>
    <row r="830" spans="9:12" ht="15.75" customHeight="1">
      <c r="I830" s="356"/>
      <c r="J830" s="356"/>
      <c r="K830" s="356"/>
      <c r="L830" s="356"/>
    </row>
    <row r="831" spans="9:12" ht="15.75" customHeight="1">
      <c r="I831" s="356"/>
      <c r="J831" s="356"/>
      <c r="K831" s="356"/>
      <c r="L831" s="356"/>
    </row>
    <row r="832" spans="9:12" ht="15.75" customHeight="1">
      <c r="I832" s="356"/>
      <c r="J832" s="356"/>
      <c r="K832" s="356"/>
      <c r="L832" s="356"/>
    </row>
    <row r="833" spans="9:12" ht="15.75" customHeight="1">
      <c r="I833" s="356"/>
      <c r="J833" s="356"/>
      <c r="K833" s="356"/>
      <c r="L833" s="356"/>
    </row>
    <row r="834" spans="9:12" ht="15.75" customHeight="1">
      <c r="I834" s="356"/>
      <c r="J834" s="356"/>
      <c r="K834" s="356"/>
      <c r="L834" s="356"/>
    </row>
    <row r="835" spans="9:12" ht="15.75" customHeight="1">
      <c r="I835" s="356"/>
      <c r="J835" s="356"/>
      <c r="K835" s="356"/>
      <c r="L835" s="356"/>
    </row>
    <row r="836" spans="9:12" ht="15.75" customHeight="1">
      <c r="I836" s="356"/>
      <c r="J836" s="356"/>
      <c r="K836" s="356"/>
      <c r="L836" s="356"/>
    </row>
    <row r="837" spans="9:12" ht="15.75" customHeight="1">
      <c r="I837" s="356"/>
      <c r="J837" s="356"/>
      <c r="K837" s="356"/>
      <c r="L837" s="356"/>
    </row>
    <row r="838" spans="9:12" ht="15.75" customHeight="1">
      <c r="I838" s="356"/>
      <c r="J838" s="356"/>
      <c r="K838" s="356"/>
      <c r="L838" s="356"/>
    </row>
    <row r="839" spans="9:12" ht="15.75" customHeight="1">
      <c r="I839" s="356"/>
      <c r="J839" s="356"/>
      <c r="K839" s="356"/>
      <c r="L839" s="356"/>
    </row>
    <row r="840" spans="9:12" ht="15.75" customHeight="1">
      <c r="I840" s="356"/>
      <c r="J840" s="356"/>
      <c r="K840" s="356"/>
      <c r="L840" s="356"/>
    </row>
    <row r="841" spans="9:12" ht="15.75" customHeight="1">
      <c r="I841" s="356"/>
      <c r="J841" s="356"/>
      <c r="K841" s="356"/>
      <c r="L841" s="356"/>
    </row>
    <row r="842" spans="9:12" ht="15.75" customHeight="1">
      <c r="I842" s="356"/>
      <c r="J842" s="356"/>
      <c r="K842" s="356"/>
      <c r="L842" s="356"/>
    </row>
    <row r="843" spans="9:12" ht="15.75" customHeight="1">
      <c r="I843" s="356"/>
      <c r="J843" s="356"/>
      <c r="K843" s="356"/>
      <c r="L843" s="356"/>
    </row>
    <row r="844" spans="9:12" ht="15.75" customHeight="1">
      <c r="I844" s="356"/>
      <c r="J844" s="356"/>
      <c r="K844" s="356"/>
      <c r="L844" s="356"/>
    </row>
    <row r="845" spans="9:12" ht="15.75" customHeight="1">
      <c r="I845" s="356"/>
      <c r="J845" s="356"/>
      <c r="K845" s="356"/>
      <c r="L845" s="356"/>
    </row>
    <row r="846" spans="9:12" ht="15.75" customHeight="1">
      <c r="I846" s="356"/>
      <c r="J846" s="356"/>
      <c r="K846" s="356"/>
      <c r="L846" s="356"/>
    </row>
    <row r="847" spans="9:12" ht="15.75" customHeight="1">
      <c r="I847" s="356"/>
      <c r="J847" s="356"/>
      <c r="K847" s="356"/>
      <c r="L847" s="356"/>
    </row>
    <row r="848" spans="9:12" ht="15.75" customHeight="1">
      <c r="I848" s="356"/>
      <c r="J848" s="356"/>
      <c r="K848" s="356"/>
      <c r="L848" s="356"/>
    </row>
    <row r="849" spans="9:12" ht="15.75" customHeight="1">
      <c r="I849" s="356"/>
      <c r="J849" s="356"/>
      <c r="K849" s="356"/>
      <c r="L849" s="356"/>
    </row>
    <row r="850" spans="9:12" ht="15.75" customHeight="1">
      <c r="I850" s="356"/>
      <c r="J850" s="356"/>
      <c r="K850" s="356"/>
      <c r="L850" s="356"/>
    </row>
    <row r="851" spans="9:12" ht="15.75" customHeight="1">
      <c r="I851" s="356"/>
      <c r="J851" s="356"/>
      <c r="K851" s="356"/>
      <c r="L851" s="356"/>
    </row>
    <row r="852" spans="9:12" ht="15.75" customHeight="1">
      <c r="I852" s="356"/>
      <c r="J852" s="356"/>
      <c r="K852" s="356"/>
      <c r="L852" s="356"/>
    </row>
    <row r="853" spans="9:12" ht="15.75" customHeight="1">
      <c r="I853" s="356"/>
      <c r="J853" s="356"/>
      <c r="K853" s="356"/>
      <c r="L853" s="356"/>
    </row>
    <row r="854" spans="9:12" ht="15.75" customHeight="1">
      <c r="I854" s="356"/>
      <c r="J854" s="356"/>
      <c r="K854" s="356"/>
      <c r="L854" s="356"/>
    </row>
    <row r="855" spans="9:12" ht="15.75" customHeight="1">
      <c r="I855" s="356"/>
      <c r="J855" s="356"/>
      <c r="K855" s="356"/>
      <c r="L855" s="356"/>
    </row>
    <row r="856" spans="9:12" ht="15.75" customHeight="1">
      <c r="I856" s="356"/>
      <c r="J856" s="356"/>
      <c r="K856" s="356"/>
      <c r="L856" s="356"/>
    </row>
    <row r="857" spans="9:12" ht="15.75" customHeight="1">
      <c r="I857" s="356"/>
      <c r="J857" s="356"/>
      <c r="K857" s="356"/>
      <c r="L857" s="356"/>
    </row>
    <row r="858" spans="9:12" ht="15.75" customHeight="1">
      <c r="I858" s="356"/>
      <c r="J858" s="356"/>
      <c r="K858" s="356"/>
      <c r="L858" s="356"/>
    </row>
    <row r="859" spans="9:12" ht="15.75" customHeight="1">
      <c r="I859" s="356"/>
      <c r="J859" s="356"/>
      <c r="K859" s="356"/>
      <c r="L859" s="356"/>
    </row>
    <row r="860" spans="9:12" ht="15.75" customHeight="1">
      <c r="I860" s="356"/>
      <c r="J860" s="356"/>
      <c r="K860" s="356"/>
      <c r="L860" s="356"/>
    </row>
    <row r="861" spans="9:12" ht="15.75" customHeight="1">
      <c r="I861" s="356"/>
      <c r="J861" s="356"/>
      <c r="K861" s="356"/>
      <c r="L861" s="356"/>
    </row>
    <row r="862" spans="9:12" ht="15.75" customHeight="1">
      <c r="I862" s="356"/>
      <c r="J862" s="356"/>
      <c r="K862" s="356"/>
      <c r="L862" s="356"/>
    </row>
    <row r="863" spans="9:12" ht="15.75" customHeight="1">
      <c r="I863" s="356"/>
      <c r="J863" s="356"/>
      <c r="K863" s="356"/>
      <c r="L863" s="356"/>
    </row>
    <row r="864" spans="9:12" ht="15.75" customHeight="1">
      <c r="I864" s="356"/>
      <c r="J864" s="356"/>
      <c r="K864" s="356"/>
      <c r="L864" s="356"/>
    </row>
    <row r="865" spans="9:12" ht="15.75" customHeight="1">
      <c r="I865" s="356"/>
      <c r="J865" s="356"/>
      <c r="K865" s="356"/>
      <c r="L865" s="356"/>
    </row>
    <row r="866" spans="9:12" ht="15.75" customHeight="1">
      <c r="I866" s="356"/>
      <c r="J866" s="356"/>
      <c r="K866" s="356"/>
      <c r="L866" s="356"/>
    </row>
    <row r="867" spans="9:12" ht="15.75" customHeight="1">
      <c r="I867" s="356"/>
      <c r="J867" s="356"/>
      <c r="K867" s="356"/>
      <c r="L867" s="356"/>
    </row>
    <row r="868" spans="9:12" ht="15.75" customHeight="1">
      <c r="I868" s="356"/>
      <c r="J868" s="356"/>
      <c r="K868" s="356"/>
      <c r="L868" s="356"/>
    </row>
    <row r="869" spans="9:12" ht="15.75" customHeight="1">
      <c r="I869" s="356"/>
      <c r="J869" s="356"/>
      <c r="K869" s="356"/>
      <c r="L869" s="356"/>
    </row>
    <row r="870" spans="9:12" ht="15.75" customHeight="1">
      <c r="I870" s="356"/>
      <c r="J870" s="356"/>
      <c r="K870" s="356"/>
      <c r="L870" s="356"/>
    </row>
    <row r="871" spans="9:12" ht="15.75" customHeight="1">
      <c r="I871" s="356"/>
      <c r="J871" s="356"/>
      <c r="K871" s="356"/>
      <c r="L871" s="356"/>
    </row>
    <row r="872" spans="9:12" ht="15.75" customHeight="1">
      <c r="I872" s="356"/>
      <c r="J872" s="356"/>
      <c r="K872" s="356"/>
      <c r="L872" s="356"/>
    </row>
    <row r="873" spans="9:12" ht="15.75" customHeight="1">
      <c r="I873" s="356"/>
      <c r="J873" s="356"/>
      <c r="K873" s="356"/>
      <c r="L873" s="356"/>
    </row>
    <row r="874" spans="9:12" ht="15.75" customHeight="1">
      <c r="I874" s="356"/>
      <c r="J874" s="356"/>
      <c r="K874" s="356"/>
      <c r="L874" s="356"/>
    </row>
    <row r="875" spans="9:12" ht="15.75" customHeight="1">
      <c r="I875" s="356"/>
      <c r="J875" s="356"/>
      <c r="K875" s="356"/>
      <c r="L875" s="356"/>
    </row>
    <row r="876" spans="9:12" ht="15.75" customHeight="1">
      <c r="I876" s="356"/>
      <c r="J876" s="356"/>
      <c r="K876" s="356"/>
      <c r="L876" s="356"/>
    </row>
    <row r="877" spans="9:12" ht="15.75" customHeight="1">
      <c r="I877" s="356"/>
      <c r="J877" s="356"/>
      <c r="K877" s="356"/>
      <c r="L877" s="356"/>
    </row>
    <row r="878" spans="9:12" ht="15.75" customHeight="1">
      <c r="I878" s="356"/>
      <c r="J878" s="356"/>
      <c r="K878" s="356"/>
      <c r="L878" s="356"/>
    </row>
    <row r="879" spans="9:12" ht="15.75" customHeight="1">
      <c r="I879" s="356"/>
      <c r="J879" s="356"/>
      <c r="K879" s="356"/>
      <c r="L879" s="356"/>
    </row>
    <row r="880" spans="9:12" ht="15.75" customHeight="1">
      <c r="I880" s="356"/>
      <c r="J880" s="356"/>
      <c r="K880" s="356"/>
      <c r="L880" s="356"/>
    </row>
    <row r="881" spans="9:12" ht="15.75" customHeight="1">
      <c r="I881" s="356"/>
      <c r="J881" s="356"/>
      <c r="K881" s="356"/>
      <c r="L881" s="356"/>
    </row>
    <row r="882" spans="9:12" ht="15.75" customHeight="1">
      <c r="I882" s="356"/>
      <c r="J882" s="356"/>
      <c r="K882" s="356"/>
      <c r="L882" s="356"/>
    </row>
    <row r="883" spans="9:12" ht="15.75" customHeight="1">
      <c r="I883" s="356"/>
      <c r="J883" s="356"/>
      <c r="K883" s="356"/>
      <c r="L883" s="356"/>
    </row>
    <row r="884" spans="9:12" ht="15.75" customHeight="1">
      <c r="I884" s="356"/>
      <c r="J884" s="356"/>
      <c r="K884" s="356"/>
      <c r="L884" s="356"/>
    </row>
    <row r="885" spans="9:12" ht="15.75" customHeight="1">
      <c r="I885" s="356"/>
      <c r="J885" s="356"/>
      <c r="K885" s="356"/>
      <c r="L885" s="356"/>
    </row>
    <row r="886" spans="9:12" ht="15.75" customHeight="1">
      <c r="I886" s="356"/>
      <c r="J886" s="356"/>
      <c r="K886" s="356"/>
      <c r="L886" s="356"/>
    </row>
    <row r="887" spans="9:12" ht="15.75" customHeight="1">
      <c r="I887" s="356"/>
      <c r="J887" s="356"/>
      <c r="K887" s="356"/>
      <c r="L887" s="356"/>
    </row>
    <row r="888" spans="9:12" ht="15.75" customHeight="1">
      <c r="I888" s="356"/>
      <c r="J888" s="356"/>
      <c r="K888" s="356"/>
      <c r="L888" s="356"/>
    </row>
    <row r="889" spans="9:12" ht="15.75" customHeight="1">
      <c r="I889" s="356"/>
      <c r="J889" s="356"/>
      <c r="K889" s="356"/>
      <c r="L889" s="356"/>
    </row>
    <row r="890" spans="9:12" ht="15.75" customHeight="1">
      <c r="I890" s="356"/>
      <c r="J890" s="356"/>
      <c r="K890" s="356"/>
      <c r="L890" s="356"/>
    </row>
    <row r="891" spans="9:12" ht="15.75" customHeight="1">
      <c r="I891" s="356"/>
      <c r="J891" s="356"/>
      <c r="K891" s="356"/>
      <c r="L891" s="356"/>
    </row>
    <row r="892" spans="9:12" ht="15.75" customHeight="1">
      <c r="I892" s="356"/>
      <c r="J892" s="356"/>
      <c r="K892" s="356"/>
      <c r="L892" s="356"/>
    </row>
    <row r="893" spans="9:12" ht="15.75" customHeight="1">
      <c r="I893" s="356"/>
      <c r="J893" s="356"/>
      <c r="K893" s="356"/>
      <c r="L893" s="356"/>
    </row>
    <row r="894" spans="9:12" ht="15.75" customHeight="1">
      <c r="I894" s="356"/>
      <c r="J894" s="356"/>
      <c r="K894" s="356"/>
      <c r="L894" s="356"/>
    </row>
    <row r="895" spans="9:12" ht="15.75" customHeight="1">
      <c r="I895" s="356"/>
      <c r="J895" s="356"/>
      <c r="K895" s="356"/>
      <c r="L895" s="356"/>
    </row>
    <row r="896" spans="9:12" ht="15.75" customHeight="1">
      <c r="I896" s="356"/>
      <c r="J896" s="356"/>
      <c r="K896" s="356"/>
      <c r="L896" s="356"/>
    </row>
    <row r="897" spans="9:12" ht="15.75" customHeight="1">
      <c r="I897" s="356"/>
      <c r="J897" s="356"/>
      <c r="K897" s="356"/>
      <c r="L897" s="356"/>
    </row>
    <row r="898" spans="9:12" ht="15.75" customHeight="1">
      <c r="I898" s="356"/>
      <c r="J898" s="356"/>
      <c r="K898" s="356"/>
      <c r="L898" s="356"/>
    </row>
    <row r="899" spans="9:12" ht="15.75" customHeight="1">
      <c r="I899" s="356"/>
      <c r="J899" s="356"/>
      <c r="K899" s="356"/>
      <c r="L899" s="356"/>
    </row>
    <row r="900" spans="9:12" ht="15.75" customHeight="1">
      <c r="I900" s="356"/>
      <c r="J900" s="356"/>
      <c r="K900" s="356"/>
      <c r="L900" s="356"/>
    </row>
    <row r="901" spans="9:12" ht="15.75" customHeight="1">
      <c r="I901" s="356"/>
      <c r="J901" s="356"/>
      <c r="K901" s="356"/>
      <c r="L901" s="356"/>
    </row>
    <row r="902" spans="9:12" ht="15.75" customHeight="1">
      <c r="I902" s="356"/>
      <c r="J902" s="356"/>
      <c r="K902" s="356"/>
      <c r="L902" s="356"/>
    </row>
    <row r="903" spans="9:12" ht="15.75" customHeight="1">
      <c r="I903" s="356"/>
      <c r="J903" s="356"/>
      <c r="K903" s="356"/>
      <c r="L903" s="356"/>
    </row>
    <row r="904" spans="9:12" ht="15.75" customHeight="1">
      <c r="I904" s="356"/>
      <c r="J904" s="356"/>
      <c r="K904" s="356"/>
      <c r="L904" s="356"/>
    </row>
    <row r="905" spans="9:12" ht="15.75" customHeight="1">
      <c r="I905" s="356"/>
      <c r="J905" s="356"/>
      <c r="K905" s="356"/>
      <c r="L905" s="356"/>
    </row>
    <row r="906" spans="9:12" ht="15.75" customHeight="1">
      <c r="I906" s="356"/>
      <c r="J906" s="356"/>
      <c r="K906" s="356"/>
      <c r="L906" s="356"/>
    </row>
    <row r="907" spans="9:12" ht="15.75" customHeight="1">
      <c r="I907" s="356"/>
      <c r="J907" s="356"/>
      <c r="K907" s="356"/>
      <c r="L907" s="356"/>
    </row>
    <row r="908" spans="9:12" ht="15.75" customHeight="1">
      <c r="I908" s="356"/>
      <c r="J908" s="356"/>
      <c r="K908" s="356"/>
      <c r="L908" s="356"/>
    </row>
    <row r="909" spans="9:12" ht="15.75" customHeight="1">
      <c r="I909" s="356"/>
      <c r="J909" s="356"/>
      <c r="K909" s="356"/>
      <c r="L909" s="356"/>
    </row>
    <row r="910" spans="9:12" ht="15.75" customHeight="1">
      <c r="I910" s="356"/>
      <c r="J910" s="356"/>
      <c r="K910" s="356"/>
      <c r="L910" s="356"/>
    </row>
    <row r="911" spans="9:12" ht="15.75" customHeight="1">
      <c r="I911" s="356"/>
      <c r="J911" s="356"/>
      <c r="K911" s="356"/>
      <c r="L911" s="356"/>
    </row>
    <row r="912" spans="9:12" ht="15.75" customHeight="1">
      <c r="I912" s="356"/>
      <c r="J912" s="356"/>
      <c r="K912" s="356"/>
      <c r="L912" s="356"/>
    </row>
    <row r="913" spans="9:12" ht="15.75" customHeight="1">
      <c r="I913" s="356"/>
      <c r="J913" s="356"/>
      <c r="K913" s="356"/>
      <c r="L913" s="356"/>
    </row>
    <row r="914" spans="9:12" ht="15.75" customHeight="1">
      <c r="I914" s="356"/>
      <c r="J914" s="356"/>
      <c r="K914" s="356"/>
      <c r="L914" s="356"/>
    </row>
    <row r="915" spans="9:12" ht="15.75" customHeight="1">
      <c r="I915" s="356"/>
      <c r="J915" s="356"/>
      <c r="K915" s="356"/>
      <c r="L915" s="356"/>
    </row>
    <row r="916" spans="9:12" ht="15.75" customHeight="1">
      <c r="I916" s="356"/>
      <c r="J916" s="356"/>
      <c r="K916" s="356"/>
      <c r="L916" s="356"/>
    </row>
    <row r="917" spans="9:12" ht="15.75" customHeight="1">
      <c r="I917" s="356"/>
      <c r="J917" s="356"/>
      <c r="K917" s="356"/>
      <c r="L917" s="356"/>
    </row>
    <row r="918" spans="9:12" ht="15.75" customHeight="1">
      <c r="I918" s="356"/>
      <c r="J918" s="356"/>
      <c r="K918" s="356"/>
      <c r="L918" s="356"/>
    </row>
    <row r="919" spans="9:12" ht="15.75" customHeight="1">
      <c r="I919" s="356"/>
      <c r="J919" s="356"/>
      <c r="K919" s="356"/>
      <c r="L919" s="356"/>
    </row>
    <row r="920" spans="9:12" ht="15.75" customHeight="1">
      <c r="I920" s="356"/>
      <c r="J920" s="356"/>
      <c r="K920" s="356"/>
      <c r="L920" s="356"/>
    </row>
    <row r="921" spans="9:12" ht="15.75" customHeight="1">
      <c r="I921" s="356"/>
      <c r="J921" s="356"/>
      <c r="K921" s="356"/>
      <c r="L921" s="356"/>
    </row>
    <row r="922" spans="9:12" ht="15.75" customHeight="1">
      <c r="I922" s="356"/>
      <c r="J922" s="356"/>
      <c r="K922" s="356"/>
      <c r="L922" s="356"/>
    </row>
    <row r="923" spans="9:12" ht="15.75" customHeight="1">
      <c r="I923" s="356"/>
      <c r="J923" s="356"/>
      <c r="K923" s="356"/>
      <c r="L923" s="356"/>
    </row>
    <row r="924" spans="9:12" ht="15.75" customHeight="1">
      <c r="I924" s="356"/>
      <c r="J924" s="356"/>
      <c r="K924" s="356"/>
      <c r="L924" s="356"/>
    </row>
    <row r="925" spans="9:12" ht="15.75" customHeight="1">
      <c r="I925" s="356"/>
      <c r="J925" s="356"/>
      <c r="K925" s="356"/>
      <c r="L925" s="356"/>
    </row>
    <row r="926" spans="9:12" ht="15.75" customHeight="1">
      <c r="I926" s="356"/>
      <c r="J926" s="356"/>
      <c r="K926" s="356"/>
      <c r="L926" s="356"/>
    </row>
    <row r="927" spans="9:12" ht="15.75" customHeight="1">
      <c r="I927" s="356"/>
      <c r="J927" s="356"/>
      <c r="K927" s="356"/>
      <c r="L927" s="356"/>
    </row>
    <row r="928" spans="9:12" ht="15.75" customHeight="1">
      <c r="I928" s="356"/>
      <c r="J928" s="356"/>
      <c r="K928" s="356"/>
      <c r="L928" s="356"/>
    </row>
    <row r="929" spans="9:12" ht="15.75" customHeight="1">
      <c r="I929" s="356"/>
      <c r="J929" s="356"/>
      <c r="K929" s="356"/>
      <c r="L929" s="356"/>
    </row>
    <row r="930" spans="9:12" ht="15.75" customHeight="1">
      <c r="I930" s="356"/>
      <c r="J930" s="356"/>
      <c r="K930" s="356"/>
      <c r="L930" s="356"/>
    </row>
    <row r="931" spans="9:12" ht="15.75" customHeight="1">
      <c r="I931" s="356"/>
      <c r="J931" s="356"/>
      <c r="K931" s="356"/>
      <c r="L931" s="356"/>
    </row>
    <row r="932" spans="9:12" ht="15.75" customHeight="1">
      <c r="I932" s="356"/>
      <c r="J932" s="356"/>
      <c r="K932" s="356"/>
      <c r="L932" s="356"/>
    </row>
    <row r="933" spans="9:12" ht="15.75" customHeight="1">
      <c r="I933" s="356"/>
      <c r="J933" s="356"/>
      <c r="K933" s="356"/>
      <c r="L933" s="356"/>
    </row>
    <row r="934" spans="9:12" ht="15.75" customHeight="1">
      <c r="I934" s="356"/>
      <c r="J934" s="356"/>
      <c r="K934" s="356"/>
      <c r="L934" s="356"/>
    </row>
    <row r="935" spans="9:12" ht="15.75" customHeight="1">
      <c r="I935" s="356"/>
      <c r="J935" s="356"/>
      <c r="K935" s="356"/>
      <c r="L935" s="356"/>
    </row>
    <row r="936" spans="9:12" ht="15.75" customHeight="1">
      <c r="I936" s="356"/>
      <c r="J936" s="356"/>
      <c r="K936" s="356"/>
      <c r="L936" s="356"/>
    </row>
    <row r="937" spans="9:12" ht="15.75" customHeight="1">
      <c r="I937" s="356"/>
      <c r="J937" s="356"/>
      <c r="K937" s="356"/>
      <c r="L937" s="356"/>
    </row>
    <row r="938" spans="9:12" ht="15.75" customHeight="1">
      <c r="I938" s="356"/>
      <c r="J938" s="356"/>
      <c r="K938" s="356"/>
      <c r="L938" s="356"/>
    </row>
    <row r="939" spans="9:12" ht="15.75" customHeight="1">
      <c r="I939" s="356"/>
      <c r="J939" s="356"/>
      <c r="K939" s="356"/>
      <c r="L939" s="356"/>
    </row>
    <row r="940" spans="9:12" ht="15.75" customHeight="1">
      <c r="I940" s="356"/>
      <c r="J940" s="356"/>
      <c r="K940" s="356"/>
      <c r="L940" s="356"/>
    </row>
    <row r="941" spans="9:12" ht="15.75" customHeight="1">
      <c r="I941" s="356"/>
      <c r="J941" s="356"/>
      <c r="K941" s="356"/>
      <c r="L941" s="356"/>
    </row>
    <row r="942" spans="9:12" ht="15.75" customHeight="1">
      <c r="I942" s="356"/>
      <c r="J942" s="356"/>
      <c r="K942" s="356"/>
      <c r="L942" s="356"/>
    </row>
    <row r="943" spans="9:12" ht="15.75" customHeight="1">
      <c r="I943" s="356"/>
      <c r="J943" s="356"/>
      <c r="K943" s="356"/>
      <c r="L943" s="356"/>
    </row>
    <row r="944" spans="9:12" ht="15.75" customHeight="1">
      <c r="I944" s="356"/>
      <c r="J944" s="356"/>
      <c r="K944" s="356"/>
      <c r="L944" s="356"/>
    </row>
    <row r="945" spans="9:12" ht="15.75" customHeight="1">
      <c r="I945" s="356"/>
      <c r="J945" s="356"/>
      <c r="K945" s="356"/>
      <c r="L945" s="356"/>
    </row>
    <row r="946" spans="9:12" ht="15.75" customHeight="1">
      <c r="I946" s="356"/>
      <c r="J946" s="356"/>
      <c r="K946" s="356"/>
      <c r="L946" s="356"/>
    </row>
    <row r="947" spans="9:12" ht="15.75" customHeight="1">
      <c r="I947" s="356"/>
      <c r="J947" s="356"/>
      <c r="K947" s="356"/>
      <c r="L947" s="356"/>
    </row>
    <row r="948" spans="9:12" ht="15.75" customHeight="1">
      <c r="I948" s="356"/>
      <c r="J948" s="356"/>
      <c r="K948" s="356"/>
      <c r="L948" s="356"/>
    </row>
    <row r="949" spans="9:12" ht="15.75" customHeight="1">
      <c r="I949" s="356"/>
      <c r="J949" s="356"/>
      <c r="K949" s="356"/>
      <c r="L949" s="356"/>
    </row>
    <row r="950" spans="9:12" ht="15.75" customHeight="1">
      <c r="I950" s="356"/>
      <c r="J950" s="356"/>
      <c r="K950" s="356"/>
      <c r="L950" s="356"/>
    </row>
    <row r="951" spans="9:12" ht="15.75" customHeight="1">
      <c r="I951" s="356"/>
      <c r="J951" s="356"/>
      <c r="K951" s="356"/>
      <c r="L951" s="356"/>
    </row>
    <row r="952" spans="9:12" ht="15.75" customHeight="1">
      <c r="I952" s="356"/>
      <c r="J952" s="356"/>
      <c r="K952" s="356"/>
      <c r="L952" s="356"/>
    </row>
    <row r="953" spans="9:12" ht="15.75" customHeight="1">
      <c r="I953" s="356"/>
      <c r="J953" s="356"/>
      <c r="K953" s="356"/>
      <c r="L953" s="356"/>
    </row>
    <row r="954" spans="9:12" ht="15.75" customHeight="1">
      <c r="I954" s="356"/>
      <c r="J954" s="356"/>
      <c r="K954" s="356"/>
      <c r="L954" s="356"/>
    </row>
    <row r="955" spans="9:12" ht="15.75" customHeight="1">
      <c r="I955" s="356"/>
      <c r="J955" s="356"/>
      <c r="K955" s="356"/>
      <c r="L955" s="356"/>
    </row>
    <row r="956" spans="9:12" ht="15.75" customHeight="1">
      <c r="I956" s="356"/>
      <c r="J956" s="356"/>
      <c r="K956" s="356"/>
      <c r="L956" s="356"/>
    </row>
    <row r="957" spans="9:12" ht="15.75" customHeight="1">
      <c r="I957" s="356"/>
      <c r="J957" s="356"/>
      <c r="K957" s="356"/>
      <c r="L957" s="356"/>
    </row>
    <row r="958" spans="9:12" ht="15.75" customHeight="1">
      <c r="I958" s="356"/>
      <c r="J958" s="356"/>
      <c r="K958" s="356"/>
      <c r="L958" s="356"/>
    </row>
    <row r="959" spans="9:12" ht="15.75" customHeight="1">
      <c r="I959" s="356"/>
      <c r="J959" s="356"/>
      <c r="K959" s="356"/>
      <c r="L959" s="356"/>
    </row>
    <row r="960" spans="9:12" ht="15.75" customHeight="1">
      <c r="I960" s="356"/>
      <c r="J960" s="356"/>
      <c r="K960" s="356"/>
      <c r="L960" s="356"/>
    </row>
    <row r="961" spans="9:12" ht="15.75" customHeight="1">
      <c r="I961" s="356"/>
      <c r="J961" s="356"/>
      <c r="K961" s="356"/>
      <c r="L961" s="356"/>
    </row>
    <row r="962" spans="9:12" ht="15.75" customHeight="1">
      <c r="I962" s="356"/>
      <c r="J962" s="356"/>
      <c r="K962" s="356"/>
      <c r="L962" s="356"/>
    </row>
    <row r="963" spans="9:12" ht="15.75" customHeight="1">
      <c r="I963" s="356"/>
      <c r="J963" s="356"/>
      <c r="K963" s="356"/>
      <c r="L963" s="356"/>
    </row>
    <row r="964" spans="9:12" ht="15.75" customHeight="1">
      <c r="I964" s="356"/>
      <c r="J964" s="356"/>
      <c r="K964" s="356"/>
      <c r="L964" s="356"/>
    </row>
    <row r="965" spans="9:12" ht="15.75" customHeight="1">
      <c r="I965" s="356"/>
      <c r="J965" s="356"/>
      <c r="K965" s="356"/>
      <c r="L965" s="356"/>
    </row>
    <row r="966" spans="9:12" ht="15.75" customHeight="1">
      <c r="I966" s="356"/>
      <c r="J966" s="356"/>
      <c r="K966" s="356"/>
      <c r="L966" s="356"/>
    </row>
    <row r="967" spans="9:12" ht="15.75" customHeight="1">
      <c r="I967" s="356"/>
      <c r="J967" s="356"/>
      <c r="K967" s="356"/>
      <c r="L967" s="356"/>
    </row>
    <row r="968" spans="9:12" ht="15.75" customHeight="1">
      <c r="I968" s="356"/>
      <c r="J968" s="356"/>
      <c r="K968" s="356"/>
      <c r="L968" s="356"/>
    </row>
    <row r="969" spans="9:12" ht="15.75" customHeight="1">
      <c r="I969" s="356"/>
      <c r="J969" s="356"/>
      <c r="K969" s="356"/>
      <c r="L969" s="356"/>
    </row>
    <row r="970" spans="9:12" ht="15.75" customHeight="1">
      <c r="I970" s="356"/>
      <c r="J970" s="356"/>
      <c r="K970" s="356"/>
      <c r="L970" s="356"/>
    </row>
    <row r="971" spans="9:12" ht="15.75" customHeight="1">
      <c r="I971" s="356"/>
      <c r="J971" s="356"/>
      <c r="K971" s="356"/>
      <c r="L971" s="356"/>
    </row>
    <row r="972" spans="9:12" ht="15.75" customHeight="1">
      <c r="I972" s="356"/>
      <c r="J972" s="356"/>
      <c r="K972" s="356"/>
      <c r="L972" s="356"/>
    </row>
    <row r="973" spans="9:12" ht="15.75" customHeight="1">
      <c r="I973" s="356"/>
      <c r="J973" s="356"/>
      <c r="K973" s="356"/>
      <c r="L973" s="356"/>
    </row>
    <row r="974" spans="9:12" ht="15.75" customHeight="1">
      <c r="I974" s="356"/>
      <c r="J974" s="356"/>
      <c r="K974" s="356"/>
      <c r="L974" s="356"/>
    </row>
    <row r="975" spans="9:12" ht="15.75" customHeight="1">
      <c r="I975" s="356"/>
      <c r="J975" s="356"/>
      <c r="K975" s="356"/>
      <c r="L975" s="356"/>
    </row>
    <row r="976" spans="9:12" ht="15.75" customHeight="1">
      <c r="I976" s="356"/>
      <c r="J976" s="356"/>
      <c r="K976" s="356"/>
      <c r="L976" s="356"/>
    </row>
    <row r="977" spans="9:12" ht="15.75" customHeight="1">
      <c r="I977" s="356"/>
      <c r="J977" s="356"/>
      <c r="K977" s="356"/>
      <c r="L977" s="356"/>
    </row>
    <row r="978" spans="9:12" ht="15.75" customHeight="1">
      <c r="I978" s="356"/>
      <c r="J978" s="356"/>
      <c r="K978" s="356"/>
      <c r="L978" s="356"/>
    </row>
    <row r="979" spans="9:12" ht="15.75" customHeight="1">
      <c r="I979" s="356"/>
      <c r="J979" s="356"/>
      <c r="K979" s="356"/>
      <c r="L979" s="356"/>
    </row>
    <row r="980" spans="9:12" ht="15.75" customHeight="1">
      <c r="I980" s="356"/>
      <c r="J980" s="356"/>
      <c r="K980" s="356"/>
      <c r="L980" s="356"/>
    </row>
    <row r="981" spans="9:12" ht="15.75" customHeight="1">
      <c r="I981" s="356"/>
      <c r="J981" s="356"/>
      <c r="K981" s="356"/>
      <c r="L981" s="356"/>
    </row>
    <row r="982" spans="9:12" ht="15.75" customHeight="1">
      <c r="I982" s="356"/>
      <c r="J982" s="356"/>
      <c r="K982" s="356"/>
      <c r="L982" s="356"/>
    </row>
    <row r="983" spans="9:12" ht="15.75" customHeight="1">
      <c r="I983" s="356"/>
      <c r="J983" s="356"/>
      <c r="K983" s="356"/>
      <c r="L983" s="356"/>
    </row>
    <row r="984" spans="9:12" ht="15.75" customHeight="1">
      <c r="I984" s="356"/>
      <c r="J984" s="356"/>
      <c r="K984" s="356"/>
      <c r="L984" s="356"/>
    </row>
    <row r="985" spans="9:12" ht="15.75" customHeight="1">
      <c r="I985" s="356"/>
      <c r="J985" s="356"/>
      <c r="K985" s="356"/>
      <c r="L985" s="356"/>
    </row>
    <row r="986" spans="9:12" ht="15.75" customHeight="1">
      <c r="I986" s="356"/>
      <c r="J986" s="356"/>
      <c r="K986" s="356"/>
      <c r="L986" s="356"/>
    </row>
    <row r="987" spans="9:12" ht="15.75" customHeight="1">
      <c r="I987" s="356"/>
      <c r="J987" s="356"/>
      <c r="K987" s="356"/>
      <c r="L987" s="356"/>
    </row>
    <row r="988" spans="9:12" ht="15.75" customHeight="1">
      <c r="I988" s="356"/>
      <c r="J988" s="356"/>
      <c r="K988" s="356"/>
      <c r="L988" s="356"/>
    </row>
    <row r="989" spans="9:12" ht="15.75" customHeight="1">
      <c r="I989" s="356"/>
      <c r="J989" s="356"/>
      <c r="K989" s="356"/>
      <c r="L989" s="356"/>
    </row>
    <row r="990" spans="9:12" ht="15.75" customHeight="1">
      <c r="I990" s="356"/>
      <c r="J990" s="356"/>
      <c r="K990" s="356"/>
      <c r="L990" s="356"/>
    </row>
    <row r="991" spans="9:12" ht="15.75" customHeight="1">
      <c r="I991" s="356"/>
      <c r="J991" s="356"/>
      <c r="K991" s="356"/>
      <c r="L991" s="356"/>
    </row>
    <row r="992" spans="9:12" ht="15.75" customHeight="1">
      <c r="I992" s="356"/>
      <c r="J992" s="356"/>
      <c r="K992" s="356"/>
      <c r="L992" s="356"/>
    </row>
    <row r="993" spans="9:12" ht="15.75" customHeight="1">
      <c r="I993" s="356"/>
      <c r="J993" s="356"/>
      <c r="K993" s="356"/>
      <c r="L993" s="356"/>
    </row>
    <row r="994" spans="9:12" ht="15.75" customHeight="1">
      <c r="I994" s="356"/>
      <c r="J994" s="356"/>
      <c r="K994" s="356"/>
      <c r="L994" s="356"/>
    </row>
    <row r="995" spans="9:12" ht="15.75" customHeight="1">
      <c r="I995" s="356"/>
      <c r="J995" s="356"/>
      <c r="K995" s="356"/>
      <c r="L995" s="356"/>
    </row>
    <row r="996" spans="9:12" ht="15.75" customHeight="1">
      <c r="I996" s="356"/>
      <c r="J996" s="356"/>
      <c r="K996" s="356"/>
      <c r="L996" s="356"/>
    </row>
    <row r="997" spans="9:12" ht="15.75" customHeight="1">
      <c r="I997" s="356"/>
      <c r="J997" s="356"/>
      <c r="K997" s="356"/>
      <c r="L997" s="356"/>
    </row>
    <row r="998" spans="9:12" ht="15.75" customHeight="1">
      <c r="I998" s="356"/>
      <c r="J998" s="356"/>
      <c r="K998" s="356"/>
      <c r="L998" s="356"/>
    </row>
    <row r="999" spans="9:12" ht="15.75" customHeight="1">
      <c r="I999" s="356"/>
      <c r="J999" s="356"/>
      <c r="K999" s="356"/>
      <c r="L999" s="356"/>
    </row>
    <row r="1000" spans="9:12" ht="15.75" customHeight="1">
      <c r="I1000" s="356"/>
      <c r="J1000" s="356"/>
      <c r="K1000" s="356"/>
      <c r="L1000" s="356"/>
    </row>
    <row r="1001" spans="9:12" ht="15.75" customHeight="1">
      <c r="I1001" s="356"/>
      <c r="J1001" s="356"/>
      <c r="K1001" s="356"/>
      <c r="L1001" s="356"/>
    </row>
    <row r="1002" spans="9:12" ht="15.75" customHeight="1">
      <c r="I1002" s="356"/>
      <c r="J1002" s="356"/>
      <c r="K1002" s="356"/>
      <c r="L1002" s="356"/>
    </row>
    <row r="1003" spans="9:12" ht="15.75" customHeight="1">
      <c r="I1003" s="356"/>
      <c r="J1003" s="356"/>
      <c r="K1003" s="356"/>
      <c r="L1003" s="356"/>
    </row>
    <row r="1004" spans="9:12" ht="15.75" customHeight="1">
      <c r="I1004" s="356"/>
      <c r="J1004" s="356"/>
      <c r="K1004" s="356"/>
      <c r="L1004" s="356"/>
    </row>
    <row r="1005" spans="9:12" ht="15.75" customHeight="1">
      <c r="I1005" s="356"/>
      <c r="J1005" s="356"/>
      <c r="K1005" s="356"/>
      <c r="L1005" s="356"/>
    </row>
    <row r="1006" spans="9:12" ht="15.75" customHeight="1">
      <c r="I1006" s="356"/>
      <c r="J1006" s="356"/>
      <c r="K1006" s="356"/>
      <c r="L1006" s="356"/>
    </row>
    <row r="1007" spans="9:12" ht="15.75" customHeight="1">
      <c r="I1007" s="356"/>
      <c r="J1007" s="356"/>
      <c r="K1007" s="356"/>
      <c r="L1007" s="356"/>
    </row>
    <row r="1008" spans="9:12" ht="15.75" customHeight="1">
      <c r="I1008" s="356"/>
      <c r="J1008" s="356"/>
      <c r="K1008" s="356"/>
      <c r="L1008" s="356"/>
    </row>
    <row r="1009" spans="9:12" ht="15.75" customHeight="1">
      <c r="I1009" s="356"/>
      <c r="J1009" s="356"/>
      <c r="K1009" s="356"/>
      <c r="L1009" s="356"/>
    </row>
    <row r="1010" spans="9:12" ht="15.75" customHeight="1">
      <c r="I1010" s="356"/>
      <c r="J1010" s="356"/>
      <c r="K1010" s="356"/>
      <c r="L1010" s="356"/>
    </row>
    <row r="1011" spans="9:12" ht="15.75" customHeight="1">
      <c r="I1011" s="356"/>
      <c r="J1011" s="356"/>
      <c r="K1011" s="356"/>
      <c r="L1011" s="356"/>
    </row>
    <row r="1012" spans="9:12" ht="15.75" customHeight="1">
      <c r="I1012" s="356"/>
      <c r="J1012" s="356"/>
      <c r="K1012" s="356"/>
      <c r="L1012" s="356"/>
    </row>
    <row r="1013" spans="9:12" ht="15.75" customHeight="1">
      <c r="I1013" s="356"/>
      <c r="J1013" s="356"/>
      <c r="K1013" s="356"/>
      <c r="L1013" s="356"/>
    </row>
    <row r="1014" spans="9:12" ht="15.75" customHeight="1">
      <c r="I1014" s="356"/>
      <c r="J1014" s="356"/>
      <c r="K1014" s="356"/>
      <c r="L1014" s="356"/>
    </row>
    <row r="1015" spans="9:12" ht="15.75" customHeight="1">
      <c r="I1015" s="356"/>
      <c r="J1015" s="356"/>
      <c r="K1015" s="356"/>
      <c r="L1015" s="356"/>
    </row>
    <row r="1016" spans="9:12" ht="15.75" customHeight="1">
      <c r="I1016" s="356"/>
      <c r="J1016" s="356"/>
      <c r="K1016" s="356"/>
      <c r="L1016" s="356"/>
    </row>
    <row r="1017" spans="9:12" ht="15.75" customHeight="1">
      <c r="I1017" s="356"/>
      <c r="J1017" s="356"/>
      <c r="K1017" s="356"/>
      <c r="L1017" s="356"/>
    </row>
    <row r="1018" spans="9:12" ht="15.75" customHeight="1">
      <c r="I1018" s="356"/>
      <c r="J1018" s="356"/>
      <c r="K1018" s="356"/>
      <c r="L1018" s="356"/>
    </row>
    <row r="1019" spans="9:12" ht="15.75" customHeight="1">
      <c r="I1019" s="356"/>
      <c r="J1019" s="356"/>
      <c r="K1019" s="356"/>
      <c r="L1019" s="356"/>
    </row>
    <row r="1020" spans="9:12" ht="15.75" customHeight="1">
      <c r="I1020" s="356"/>
      <c r="J1020" s="356"/>
      <c r="K1020" s="356"/>
      <c r="L1020" s="356"/>
    </row>
    <row r="1021" spans="9:12" ht="15.75" customHeight="1">
      <c r="I1021" s="356"/>
      <c r="J1021" s="356"/>
      <c r="K1021" s="356"/>
      <c r="L1021" s="356"/>
    </row>
  </sheetData>
  <phoneticPr fontId="45" type="noConversion"/>
  <conditionalFormatting sqref="I8:L8 G19 K22:K23 T23 G41">
    <cfRule type="cellIs" dxfId="4" priority="1" operator="lessThan">
      <formula>183</formula>
    </cfRule>
    <cfRule type="cellIs" dxfId="3" priority="2" operator="greaterThanOrEqual">
      <formula>183</formula>
    </cfRule>
  </conditionalFormatting>
  <conditionalFormatting sqref="L40 L47 L71">
    <cfRule type="cellIs" dxfId="2" priority="3" operator="equal">
      <formula>365</formula>
    </cfRule>
    <cfRule type="cellIs" dxfId="1" priority="4" operator="notEqual">
      <formula>365</formula>
    </cfRule>
  </conditionalFormatting>
  <pageMargins left="0.7" right="0.7" top="0.78740157499999996" bottom="0.78740157499999996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outlinePr summaryBelow="0" summaryRight="0"/>
  </sheetPr>
  <dimension ref="A1:Z1007"/>
  <sheetViews>
    <sheetView workbookViewId="0">
      <pane ySplit="1" topLeftCell="A38" activePane="bottomLeft" state="frozen"/>
      <selection pane="bottomLeft" activeCell="K45" sqref="K45"/>
    </sheetView>
  </sheetViews>
  <sheetFormatPr defaultColWidth="12.6640625" defaultRowHeight="15" customHeight="1"/>
  <cols>
    <col min="1" max="1" width="18.6640625" customWidth="1"/>
    <col min="4" max="4" width="2.5546875" customWidth="1"/>
    <col min="5" max="5" width="18.33203125" customWidth="1"/>
    <col min="6" max="6" width="12.77734375" customWidth="1"/>
    <col min="7" max="7" width="18.33203125" customWidth="1"/>
  </cols>
  <sheetData>
    <row r="1" spans="1:26" ht="29.25" customHeight="1">
      <c r="A1" s="408" t="s">
        <v>154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</row>
    <row r="2" spans="1:26" ht="29.25" customHeight="1">
      <c r="A2" s="408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26" ht="29.25" customHeight="1">
      <c r="A3" s="408"/>
      <c r="B3" s="1051" t="s">
        <v>2433</v>
      </c>
      <c r="C3" s="87"/>
      <c r="D3" s="87"/>
      <c r="E3" s="1051" t="s">
        <v>2434</v>
      </c>
      <c r="F3" s="87"/>
      <c r="G3" s="1051" t="s">
        <v>2435</v>
      </c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</row>
    <row r="4" spans="1:26" ht="18" customHeight="1">
      <c r="A4" s="409">
        <v>44592</v>
      </c>
      <c r="B4" s="410">
        <v>1.197314</v>
      </c>
      <c r="C4" s="87"/>
      <c r="D4" s="87"/>
      <c r="E4" s="1052">
        <v>20.997833</v>
      </c>
      <c r="F4" s="87"/>
      <c r="G4" s="1052">
        <v>17.537752999999999</v>
      </c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</row>
    <row r="5" spans="1:26" ht="18" customHeight="1">
      <c r="A5" s="411">
        <v>44620</v>
      </c>
      <c r="B5" s="412">
        <v>1.1929529999999999</v>
      </c>
      <c r="C5" s="87"/>
      <c r="D5" s="87"/>
      <c r="E5" s="1053">
        <v>20.607726</v>
      </c>
      <c r="F5" s="87"/>
      <c r="G5" s="1053">
        <v>17.275382</v>
      </c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</row>
    <row r="6" spans="1:26" ht="18" customHeight="1">
      <c r="A6" s="413">
        <v>44650</v>
      </c>
      <c r="B6" s="414">
        <v>1.196007</v>
      </c>
      <c r="C6" s="87"/>
      <c r="D6" s="87"/>
      <c r="E6" s="1054">
        <v>19.702344</v>
      </c>
      <c r="F6" s="87"/>
      <c r="G6" s="1054">
        <v>16.472632000000001</v>
      </c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</row>
    <row r="7" spans="1:26" ht="18" customHeight="1">
      <c r="A7" s="415">
        <v>44681</v>
      </c>
      <c r="B7" s="416">
        <v>1.1968259999999999</v>
      </c>
      <c r="C7" s="417">
        <f>ROUND(AVERAGE(B4:B7),6)</f>
        <v>1.195775</v>
      </c>
      <c r="D7" s="87"/>
      <c r="E7" s="1055">
        <v>19.423845</v>
      </c>
      <c r="F7" s="417">
        <f>ROUND(AVERAGE(E4:E7),6)</f>
        <v>20.182936999999999</v>
      </c>
      <c r="G7" s="1055">
        <v>16.231339999999999</v>
      </c>
      <c r="H7" s="87">
        <f>ROUND(AVERAGE(G4:G7),6)</f>
        <v>16.879276999999998</v>
      </c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</row>
    <row r="8" spans="1:26" ht="18" customHeight="1">
      <c r="A8" s="409">
        <v>44711</v>
      </c>
      <c r="B8" s="410">
        <v>1.177135</v>
      </c>
      <c r="C8" s="87"/>
      <c r="D8" s="87"/>
      <c r="E8" s="1056">
        <v>19.788844000000001</v>
      </c>
      <c r="F8" s="87"/>
      <c r="G8" s="1056">
        <v>16.816571</v>
      </c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</row>
    <row r="9" spans="1:26" ht="18" customHeight="1">
      <c r="A9" s="411">
        <v>44742</v>
      </c>
      <c r="B9" s="412">
        <v>1.16574</v>
      </c>
      <c r="C9" s="87"/>
      <c r="D9" s="87"/>
      <c r="E9" s="1053">
        <v>19.484856000000001</v>
      </c>
      <c r="F9" s="87"/>
      <c r="G9" s="1053">
        <v>16.714987000000001</v>
      </c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</row>
    <row r="10" spans="1:26" ht="18" customHeight="1">
      <c r="A10" s="413">
        <v>44772</v>
      </c>
      <c r="B10" s="414">
        <v>1.177624</v>
      </c>
      <c r="C10" s="87"/>
      <c r="D10" s="87"/>
      <c r="E10" s="1054">
        <v>20.18038</v>
      </c>
      <c r="F10" s="87"/>
      <c r="G10" s="1054">
        <v>17.137086</v>
      </c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</row>
    <row r="11" spans="1:26" ht="18" customHeight="1">
      <c r="A11" s="411">
        <v>44803</v>
      </c>
      <c r="B11" s="412">
        <v>1.182569</v>
      </c>
      <c r="C11" s="87"/>
      <c r="D11" s="87"/>
      <c r="E11" s="1053">
        <v>19.997522</v>
      </c>
      <c r="F11" s="87"/>
      <c r="G11" s="1053">
        <v>16.895329</v>
      </c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</row>
    <row r="12" spans="1:26" ht="18" customHeight="1">
      <c r="A12" s="413">
        <v>44834</v>
      </c>
      <c r="B12" s="414">
        <v>1.1424559999999999</v>
      </c>
      <c r="C12" s="87"/>
      <c r="D12" s="87"/>
      <c r="E12" s="1054">
        <v>19.921751</v>
      </c>
      <c r="F12" s="87"/>
      <c r="G12" s="1054">
        <v>17.423884999999999</v>
      </c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</row>
    <row r="13" spans="1:26" ht="18" customHeight="1">
      <c r="A13" s="411">
        <v>44864</v>
      </c>
      <c r="B13" s="412">
        <v>1.1483840000000001</v>
      </c>
      <c r="C13" s="87"/>
      <c r="D13" s="87"/>
      <c r="E13" s="1053">
        <v>20.464334000000001</v>
      </c>
      <c r="F13" s="87"/>
      <c r="G13" s="1053">
        <v>17.819161999999999</v>
      </c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</row>
    <row r="14" spans="1:26" ht="18" customHeight="1">
      <c r="A14" s="413">
        <v>44895</v>
      </c>
      <c r="B14" s="414">
        <v>1.150034</v>
      </c>
      <c r="C14" s="87"/>
      <c r="D14" s="87"/>
      <c r="E14" s="1054">
        <v>20.494198000000001</v>
      </c>
      <c r="F14" s="87"/>
      <c r="G14" s="1054">
        <v>17.820878</v>
      </c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</row>
    <row r="15" spans="1:26" ht="18" customHeight="1">
      <c r="A15" s="415">
        <v>44925</v>
      </c>
      <c r="B15" s="416">
        <v>1.1503209999999999</v>
      </c>
      <c r="C15" s="417">
        <f>ROUND(AVERAGE(B8:B15),6)</f>
        <v>1.161783</v>
      </c>
      <c r="D15" s="87"/>
      <c r="E15" s="1055">
        <v>21.055204</v>
      </c>
      <c r="F15" s="417">
        <f>ROUND(AVERAGE(E8:E15),6)</f>
        <v>20.173386000000001</v>
      </c>
      <c r="G15" s="1055">
        <v>18.337173</v>
      </c>
      <c r="H15" s="87">
        <f>ROUND(AVERAGE(G8:G15),6)</f>
        <v>17.370633999999999</v>
      </c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</row>
    <row r="16" spans="1:26" ht="18" customHeight="1">
      <c r="A16" s="409">
        <v>44956</v>
      </c>
      <c r="B16" s="410">
        <v>1.134625</v>
      </c>
      <c r="E16" s="1056">
        <v>20.907969000000001</v>
      </c>
      <c r="G16" s="1056">
        <v>18.426496</v>
      </c>
    </row>
    <row r="17" spans="1:8" ht="18" customHeight="1">
      <c r="A17" s="411">
        <v>44985</v>
      </c>
      <c r="B17" s="412">
        <v>1.1272979999999999</v>
      </c>
      <c r="E17" s="1053">
        <v>21.637225000000001</v>
      </c>
      <c r="G17" s="1053">
        <v>19.192952999999999</v>
      </c>
    </row>
    <row r="18" spans="1:8" ht="18" customHeight="1">
      <c r="A18" s="413">
        <v>45015</v>
      </c>
      <c r="B18" s="414">
        <v>1.1326799999999999</v>
      </c>
      <c r="E18" s="1054">
        <v>22.189522</v>
      </c>
      <c r="G18" s="1054">
        <v>19.590073</v>
      </c>
    </row>
    <row r="19" spans="1:8" ht="18" customHeight="1">
      <c r="A19" s="415">
        <v>45046</v>
      </c>
      <c r="B19" s="416">
        <v>1.1324590000000001</v>
      </c>
      <c r="C19" s="417">
        <f>ROUND(AVERAGE(B16:B19),6)</f>
        <v>1.131766</v>
      </c>
      <c r="E19" s="1055">
        <v>22.609846999999998</v>
      </c>
      <c r="F19" s="417">
        <f>ROUND(AVERAGE(E16:E19),6)</f>
        <v>21.836141000000001</v>
      </c>
      <c r="G19" s="1055">
        <v>19.965737000000001</v>
      </c>
      <c r="H19">
        <f>ROUND(AVERAGE(G16:G19),6)</f>
        <v>19.293814999999999</v>
      </c>
    </row>
    <row r="20" spans="1:8" ht="18" customHeight="1">
      <c r="A20" s="409">
        <v>45076</v>
      </c>
      <c r="B20" s="410">
        <v>1.1469689999999999</v>
      </c>
      <c r="E20" s="1056">
        <v>23.825081999999998</v>
      </c>
      <c r="G20" s="1056">
        <v>20.771051</v>
      </c>
    </row>
    <row r="21" spans="1:8" ht="18" customHeight="1">
      <c r="A21" s="411">
        <v>45107</v>
      </c>
      <c r="B21" s="412">
        <v>1.165184</v>
      </c>
      <c r="E21" s="1053">
        <v>23.677616</v>
      </c>
      <c r="G21" s="1053">
        <v>20.321615999999999</v>
      </c>
    </row>
    <row r="22" spans="1:8" ht="18" customHeight="1">
      <c r="A22" s="413">
        <v>45137</v>
      </c>
      <c r="B22" s="414">
        <v>1.165076</v>
      </c>
      <c r="E22" s="1054">
        <v>23.421002999999999</v>
      </c>
      <c r="G22" s="1054">
        <v>20.101790999999999</v>
      </c>
    </row>
    <row r="23" spans="1:8" ht="18" customHeight="1">
      <c r="A23" s="411">
        <v>45168</v>
      </c>
      <c r="B23" s="412">
        <v>1.1640950000000001</v>
      </c>
      <c r="E23" s="1053">
        <v>23.854596999999998</v>
      </c>
      <c r="G23" s="1053">
        <v>20.491992</v>
      </c>
    </row>
    <row r="24" spans="1:8" ht="18" customHeight="1">
      <c r="A24" s="413">
        <v>45199</v>
      </c>
      <c r="B24" s="414">
        <v>1.1599440000000001</v>
      </c>
      <c r="E24" s="1054">
        <v>23.497568999999999</v>
      </c>
      <c r="G24" s="1054">
        <v>20.256539</v>
      </c>
    </row>
    <row r="25" spans="1:8" ht="18" customHeight="1">
      <c r="A25" s="411">
        <v>45229</v>
      </c>
      <c r="B25" s="412">
        <v>1.151867</v>
      </c>
      <c r="E25" s="1053">
        <v>23.125288999999999</v>
      </c>
      <c r="G25" s="1053">
        <v>20.075897000000001</v>
      </c>
    </row>
    <row r="26" spans="1:8" ht="18" customHeight="1">
      <c r="A26" s="413">
        <v>45260</v>
      </c>
      <c r="B26" s="414">
        <v>1.148463</v>
      </c>
      <c r="E26" s="1054">
        <v>23.037638999999999</v>
      </c>
      <c r="G26" s="1054">
        <v>20.059244</v>
      </c>
    </row>
    <row r="27" spans="1:8" ht="18" customHeight="1">
      <c r="A27" s="415">
        <v>45290</v>
      </c>
      <c r="B27" s="416">
        <v>1.1596839999999999</v>
      </c>
      <c r="C27" s="417">
        <f>ROUND(AVERAGE(B20:B27),6)</f>
        <v>1.1576599999999999</v>
      </c>
      <c r="E27" s="1055">
        <v>23.567383</v>
      </c>
      <c r="F27" s="417">
        <f>ROUND(AVERAGE(E20:E27),6)</f>
        <v>23.500772000000001</v>
      </c>
      <c r="G27" s="1055">
        <v>20.322272999999999</v>
      </c>
      <c r="H27">
        <f>ROUND(AVERAGE(G20:G27),6)</f>
        <v>20.300049999999999</v>
      </c>
    </row>
    <row r="28" spans="1:8" ht="18" customHeight="1">
      <c r="A28" s="419">
        <v>45321</v>
      </c>
      <c r="B28" s="414">
        <v>1.1644220000000001</v>
      </c>
      <c r="E28" s="1054">
        <v>23.803871999999998</v>
      </c>
      <c r="G28" s="1054">
        <v>20.442491</v>
      </c>
    </row>
    <row r="29" spans="1:8" ht="18" customHeight="1">
      <c r="A29" s="418">
        <v>45351</v>
      </c>
      <c r="B29" s="414">
        <v>1.170045</v>
      </c>
      <c r="E29" s="1054">
        <v>24.015433000000002</v>
      </c>
      <c r="G29" s="1054">
        <v>20.525281</v>
      </c>
    </row>
    <row r="30" spans="1:8" ht="18" customHeight="1">
      <c r="A30" s="419">
        <v>45381</v>
      </c>
      <c r="B30" s="414">
        <v>1.168849</v>
      </c>
      <c r="E30" s="1054">
        <v>23.947037999999999</v>
      </c>
      <c r="G30" s="1054">
        <v>20.487884000000001</v>
      </c>
    </row>
    <row r="31" spans="1:8" ht="18" customHeight="1">
      <c r="A31" s="844">
        <v>45412</v>
      </c>
      <c r="B31" s="845">
        <v>1.1675629999999999</v>
      </c>
      <c r="C31" s="417">
        <f>ROUND(AVERAGE(B28:B31),6)</f>
        <v>1.1677200000000001</v>
      </c>
      <c r="E31" s="1057">
        <v>23.64039</v>
      </c>
      <c r="F31" s="417">
        <f>ROUND(AVERAGE(E28:E31),6)</f>
        <v>23.851683000000001</v>
      </c>
      <c r="G31" s="1057">
        <v>20.248093000000001</v>
      </c>
      <c r="H31">
        <f>ROUND(AVERAGE(G28:G31),6)</f>
        <v>20.425937000000001</v>
      </c>
    </row>
    <row r="32" spans="1:8" ht="18" customHeight="1">
      <c r="A32" s="409">
        <v>45442</v>
      </c>
      <c r="B32" s="410">
        <v>1.16787</v>
      </c>
      <c r="E32" s="1056">
        <v>23.261638000000001</v>
      </c>
      <c r="G32" s="1056">
        <v>19.917908000000001</v>
      </c>
    </row>
    <row r="33" spans="1:8" ht="18" customHeight="1">
      <c r="A33" s="411">
        <v>45473</v>
      </c>
      <c r="B33" s="412">
        <v>1.180348</v>
      </c>
      <c r="E33" s="1053">
        <v>23.382352000000001</v>
      </c>
      <c r="G33" s="1053">
        <v>19.810811000000001</v>
      </c>
    </row>
    <row r="34" spans="1:8" ht="18" customHeight="1">
      <c r="A34" s="413">
        <v>45503</v>
      </c>
      <c r="B34" s="414">
        <v>1.1839280000000001</v>
      </c>
      <c r="E34" s="1054">
        <v>23.42905</v>
      </c>
      <c r="G34" s="1054">
        <v>19.788983000000002</v>
      </c>
    </row>
    <row r="35" spans="1:8" ht="18" customHeight="1">
      <c r="A35" s="411">
        <v>45535</v>
      </c>
      <c r="B35" s="412">
        <v>1.1744559999999999</v>
      </c>
      <c r="E35" s="1053">
        <v>23.391428999999999</v>
      </c>
      <c r="G35" s="1053">
        <v>19.917687000000001</v>
      </c>
    </row>
    <row r="36" spans="1:8" ht="18" customHeight="1">
      <c r="A36" s="413">
        <v>45565</v>
      </c>
      <c r="B36" s="414">
        <v>1.189929</v>
      </c>
      <c r="D36" s="418"/>
      <c r="E36" s="1054">
        <v>23.259188000000002</v>
      </c>
      <c r="G36" s="1054">
        <v>19.54786</v>
      </c>
    </row>
    <row r="37" spans="1:8" ht="18" customHeight="1">
      <c r="A37" s="411">
        <v>45596</v>
      </c>
      <c r="B37" s="412">
        <v>1.197182</v>
      </c>
      <c r="D37" s="418"/>
      <c r="E37" s="1053">
        <v>22.932219</v>
      </c>
      <c r="G37" s="1053">
        <v>19.155252000000001</v>
      </c>
    </row>
    <row r="38" spans="1:8" ht="18" customHeight="1">
      <c r="A38" s="413">
        <v>45626</v>
      </c>
      <c r="B38" s="414">
        <v>1.1994119999999999</v>
      </c>
      <c r="D38" s="418"/>
      <c r="E38" s="1054">
        <v>22.847763</v>
      </c>
      <c r="G38" s="1054">
        <v>19.048991999999998</v>
      </c>
    </row>
    <row r="39" spans="1:8" ht="18" customHeight="1">
      <c r="A39" s="415">
        <v>45657</v>
      </c>
      <c r="B39" s="416">
        <v>1.206434</v>
      </c>
      <c r="C39" s="417">
        <f>ROUND(AVERAGE(B32:B39),6)</f>
        <v>1.1874450000000001</v>
      </c>
      <c r="D39" s="418"/>
      <c r="E39" s="1055">
        <v>23.047453000000001</v>
      </c>
      <c r="F39" s="417">
        <f>ROUND(AVERAGE(E32:E39),6)</f>
        <v>23.193887</v>
      </c>
      <c r="G39" s="1055">
        <v>19.104047000000001</v>
      </c>
      <c r="H39">
        <f>ROUND(AVERAGE(G32:G39),6)</f>
        <v>19.536442999999998</v>
      </c>
    </row>
    <row r="40" spans="1:8" ht="18" customHeight="1">
      <c r="A40" s="419">
        <v>45688</v>
      </c>
      <c r="B40" s="414">
        <v>1.193225</v>
      </c>
      <c r="E40" s="1054">
        <v>23.118099999999998</v>
      </c>
      <c r="G40" s="1054">
        <v>19.391665</v>
      </c>
    </row>
    <row r="41" spans="1:8" ht="18" customHeight="1">
      <c r="A41" s="418">
        <v>45716</v>
      </c>
      <c r="B41" s="414">
        <v>1.2032480000000001</v>
      </c>
      <c r="E41" s="1054">
        <v>23.150162999999999</v>
      </c>
      <c r="G41" s="1054">
        <v>19.239668999999999</v>
      </c>
    </row>
    <row r="42" spans="1:8" ht="18" customHeight="1">
      <c r="A42" s="419">
        <v>45747</v>
      </c>
      <c r="B42" s="414">
        <v>1.193703</v>
      </c>
      <c r="E42" s="1054">
        <v>23.584793000000001</v>
      </c>
      <c r="G42" s="1054">
        <v>19.758427000000001</v>
      </c>
    </row>
    <row r="43" spans="1:8" ht="18" customHeight="1">
      <c r="A43" s="844">
        <v>45777</v>
      </c>
      <c r="B43" s="845">
        <v>1.1695690000000001</v>
      </c>
      <c r="C43">
        <f>ROUND(AVERAGE(B40:B43),6)</f>
        <v>1.1899360000000001</v>
      </c>
      <c r="E43" s="1057">
        <v>24.865928</v>
      </c>
      <c r="F43">
        <f>ROUND(AVERAGE(E40:E43),6)</f>
        <v>23.679746000000002</v>
      </c>
      <c r="G43" s="1057">
        <v>21.264054999999999</v>
      </c>
      <c r="H43">
        <f>ROUND(AVERAGE(G40:G43),6)</f>
        <v>19.913454000000002</v>
      </c>
    </row>
    <row r="44" spans="1:8" ht="18" customHeight="1">
      <c r="A44" s="419">
        <v>45808</v>
      </c>
      <c r="B44" s="414">
        <v>1.184998</v>
      </c>
      <c r="E44" s="1054">
        <v>24.179290000000002</v>
      </c>
      <c r="G44" s="1054">
        <v>20.405397000000001</v>
      </c>
    </row>
    <row r="45" spans="1:8" ht="18" customHeight="1">
      <c r="A45" s="419">
        <v>45838</v>
      </c>
      <c r="B45" s="414">
        <v>1.1755720000000001</v>
      </c>
      <c r="E45" s="1054">
        <v>24.225110999999998</v>
      </c>
      <c r="G45" s="1054">
        <v>20.608754000000001</v>
      </c>
    </row>
    <row r="46" spans="1:8" ht="18" customHeight="1">
      <c r="A46" s="418">
        <v>45869</v>
      </c>
      <c r="B46" s="414">
        <v>1.1555070000000001</v>
      </c>
      <c r="E46" s="1054">
        <v>23.981401000000002</v>
      </c>
      <c r="G46" s="1054">
        <v>20.754058000000001</v>
      </c>
    </row>
    <row r="47" spans="1:8" ht="18" customHeight="1">
      <c r="A47" s="419">
        <v>45900</v>
      </c>
      <c r="B47" s="414">
        <v>1.1527449999999999</v>
      </c>
      <c r="E47" s="1054">
        <v>23.790099999999999</v>
      </c>
      <c r="G47" s="1054">
        <v>20.638064</v>
      </c>
    </row>
    <row r="48" spans="1:8" ht="18" customHeight="1">
      <c r="A48" s="418">
        <v>45930</v>
      </c>
      <c r="B48" s="414">
        <v>1.1515899999999999</v>
      </c>
      <c r="E48" s="1054">
        <v>23.55536</v>
      </c>
      <c r="G48" s="1054">
        <v>20.454446000000001</v>
      </c>
    </row>
    <row r="49" spans="1:9" ht="18" customHeight="1">
      <c r="A49" s="419">
        <v>45961</v>
      </c>
      <c r="B49" s="414">
        <v>1.147842</v>
      </c>
      <c r="E49" s="1054">
        <v>23.128698</v>
      </c>
      <c r="G49" s="1054">
        <v>20.149539999999998</v>
      </c>
    </row>
    <row r="50" spans="1:9" ht="18" customHeight="1">
      <c r="A50" s="419">
        <v>45991</v>
      </c>
      <c r="B50" s="414">
        <v>1.1367229999999999</v>
      </c>
      <c r="E50" s="1054">
        <v>22.659700999999998</v>
      </c>
      <c r="G50" s="1054">
        <v>19.934275</v>
      </c>
    </row>
    <row r="51" spans="1:9" ht="18" customHeight="1">
      <c r="A51" s="844">
        <v>46022</v>
      </c>
      <c r="B51" s="845">
        <v>1.142757</v>
      </c>
      <c r="C51">
        <f>ROUND(AVERAGE(B44:B51),6)</f>
        <v>1.155967</v>
      </c>
      <c r="E51" s="1057">
        <v>22.520797000000002</v>
      </c>
      <c r="F51">
        <f>ROUND(AVERAGE(E44:E51),6)</f>
        <v>23.505057000000001</v>
      </c>
      <c r="G51" s="1057">
        <v>19.707552</v>
      </c>
      <c r="H51">
        <f>ROUND(AVERAGE(G44:G51),6)</f>
        <v>20.331510999999999</v>
      </c>
    </row>
    <row r="52" spans="1:9" ht="18" customHeight="1">
      <c r="A52" s="419">
        <v>46053</v>
      </c>
      <c r="B52" s="414"/>
      <c r="E52" s="87"/>
      <c r="F52" s="87"/>
      <c r="G52" s="87"/>
      <c r="H52" s="87"/>
      <c r="I52" s="87"/>
    </row>
    <row r="53" spans="1:9" ht="18" customHeight="1">
      <c r="A53" s="418">
        <v>46081</v>
      </c>
      <c r="B53" s="414"/>
      <c r="E53" s="87"/>
      <c r="F53" s="87"/>
      <c r="G53" s="87"/>
      <c r="H53" s="87"/>
      <c r="I53" s="87"/>
    </row>
    <row r="54" spans="1:9" ht="18" customHeight="1">
      <c r="A54" s="419">
        <v>46112</v>
      </c>
      <c r="B54" s="414"/>
      <c r="E54" s="87"/>
      <c r="F54" s="87"/>
    </row>
    <row r="55" spans="1:9" ht="18" customHeight="1">
      <c r="A55" s="418">
        <v>46142</v>
      </c>
      <c r="B55" s="414"/>
    </row>
    <row r="56" spans="1:9" ht="18" customHeight="1">
      <c r="A56" s="419">
        <v>46173</v>
      </c>
      <c r="B56" s="414"/>
    </row>
    <row r="57" spans="1:9" ht="18" customHeight="1">
      <c r="A57" s="418">
        <v>46203</v>
      </c>
      <c r="B57" s="414"/>
    </row>
    <row r="58" spans="1:9" ht="18" customHeight="1">
      <c r="A58" s="419">
        <v>46234</v>
      </c>
      <c r="B58" s="414"/>
    </row>
    <row r="59" spans="1:9" ht="18" customHeight="1">
      <c r="A59" s="418">
        <v>46265</v>
      </c>
      <c r="B59" s="414"/>
    </row>
    <row r="60" spans="1:9" ht="18" customHeight="1">
      <c r="A60" s="419">
        <v>46295</v>
      </c>
      <c r="B60" s="414"/>
    </row>
    <row r="61" spans="1:9" ht="18" customHeight="1">
      <c r="A61" s="418">
        <v>46326</v>
      </c>
      <c r="B61" s="414"/>
    </row>
    <row r="62" spans="1:9" ht="18" customHeight="1">
      <c r="A62" s="419">
        <v>46356</v>
      </c>
      <c r="B62" s="414"/>
    </row>
    <row r="63" spans="1:9" ht="18" customHeight="1">
      <c r="A63" s="418">
        <v>46387</v>
      </c>
      <c r="B63" s="414"/>
    </row>
    <row r="64" spans="1:9" ht="18" customHeight="1">
      <c r="A64" s="419">
        <v>46418</v>
      </c>
      <c r="B64" s="414"/>
    </row>
    <row r="65" spans="1:1" ht="13.2">
      <c r="A65" s="420"/>
    </row>
    <row r="66" spans="1:1" ht="13.2">
      <c r="A66" s="420"/>
    </row>
    <row r="67" spans="1:1" ht="13.2">
      <c r="A67" s="420"/>
    </row>
    <row r="68" spans="1:1" ht="13.2">
      <c r="A68" s="420"/>
    </row>
    <row r="69" spans="1:1" ht="13.2">
      <c r="A69" s="420"/>
    </row>
    <row r="70" spans="1:1" ht="13.2">
      <c r="A70" s="420"/>
    </row>
    <row r="71" spans="1:1" ht="13.2">
      <c r="A71" s="420"/>
    </row>
    <row r="72" spans="1:1" ht="13.2">
      <c r="A72" s="420"/>
    </row>
    <row r="73" spans="1:1" ht="13.2">
      <c r="A73" s="420"/>
    </row>
    <row r="74" spans="1:1" ht="13.2">
      <c r="A74" s="420"/>
    </row>
    <row r="75" spans="1:1" ht="13.2">
      <c r="A75" s="420"/>
    </row>
    <row r="76" spans="1:1" ht="13.2">
      <c r="A76" s="420"/>
    </row>
    <row r="77" spans="1:1" ht="13.2">
      <c r="A77" s="420"/>
    </row>
    <row r="78" spans="1:1" ht="13.2">
      <c r="A78" s="420"/>
    </row>
    <row r="79" spans="1:1" ht="13.2">
      <c r="A79" s="420"/>
    </row>
    <row r="80" spans="1:1" ht="13.2">
      <c r="A80" s="420"/>
    </row>
    <row r="81" spans="1:1" ht="13.2">
      <c r="A81" s="420"/>
    </row>
    <row r="82" spans="1:1" ht="13.2">
      <c r="A82" s="420"/>
    </row>
    <row r="83" spans="1:1" ht="13.2">
      <c r="A83" s="420"/>
    </row>
    <row r="84" spans="1:1" ht="13.2">
      <c r="A84" s="420"/>
    </row>
    <row r="85" spans="1:1" ht="13.2">
      <c r="A85" s="420"/>
    </row>
    <row r="86" spans="1:1" ht="13.2">
      <c r="A86" s="420"/>
    </row>
    <row r="87" spans="1:1" ht="13.2">
      <c r="A87" s="420"/>
    </row>
    <row r="88" spans="1:1" ht="13.2">
      <c r="A88" s="420"/>
    </row>
    <row r="89" spans="1:1" ht="13.2">
      <c r="A89" s="420"/>
    </row>
    <row r="90" spans="1:1" ht="13.2">
      <c r="A90" s="420"/>
    </row>
    <row r="91" spans="1:1" ht="13.2">
      <c r="A91" s="420"/>
    </row>
    <row r="92" spans="1:1" ht="13.2">
      <c r="A92" s="420"/>
    </row>
    <row r="93" spans="1:1" ht="13.2">
      <c r="A93" s="420"/>
    </row>
    <row r="94" spans="1:1" ht="13.2">
      <c r="A94" s="420"/>
    </row>
    <row r="95" spans="1:1" ht="13.2">
      <c r="A95" s="420"/>
    </row>
    <row r="96" spans="1:1" ht="13.2">
      <c r="A96" s="420"/>
    </row>
    <row r="97" spans="1:1" ht="13.2">
      <c r="A97" s="420"/>
    </row>
    <row r="98" spans="1:1" ht="13.2">
      <c r="A98" s="420"/>
    </row>
    <row r="99" spans="1:1" ht="13.2">
      <c r="A99" s="420"/>
    </row>
    <row r="100" spans="1:1" ht="13.2">
      <c r="A100" s="420"/>
    </row>
    <row r="101" spans="1:1" ht="13.2">
      <c r="A101" s="420"/>
    </row>
    <row r="102" spans="1:1" ht="13.2">
      <c r="A102" s="420"/>
    </row>
    <row r="103" spans="1:1" ht="13.2">
      <c r="A103" s="420"/>
    </row>
    <row r="104" spans="1:1" ht="13.2">
      <c r="A104" s="420"/>
    </row>
    <row r="105" spans="1:1" ht="13.2">
      <c r="A105" s="420"/>
    </row>
    <row r="106" spans="1:1" ht="13.2">
      <c r="A106" s="420"/>
    </row>
    <row r="107" spans="1:1" ht="13.2">
      <c r="A107" s="420"/>
    </row>
    <row r="108" spans="1:1" ht="13.2">
      <c r="A108" s="420"/>
    </row>
    <row r="109" spans="1:1" ht="13.2">
      <c r="A109" s="420"/>
    </row>
    <row r="110" spans="1:1" ht="13.2">
      <c r="A110" s="420"/>
    </row>
    <row r="111" spans="1:1" ht="13.2">
      <c r="A111" s="420"/>
    </row>
    <row r="112" spans="1:1" ht="13.2">
      <c r="A112" s="420"/>
    </row>
    <row r="113" spans="1:1" ht="13.2">
      <c r="A113" s="420"/>
    </row>
    <row r="114" spans="1:1" ht="13.2">
      <c r="A114" s="420"/>
    </row>
    <row r="115" spans="1:1" ht="13.2">
      <c r="A115" s="420"/>
    </row>
    <row r="116" spans="1:1" ht="13.2">
      <c r="A116" s="420"/>
    </row>
    <row r="117" spans="1:1" ht="13.2">
      <c r="A117" s="420"/>
    </row>
    <row r="118" spans="1:1" ht="13.2">
      <c r="A118" s="420"/>
    </row>
    <row r="119" spans="1:1" ht="13.2">
      <c r="A119" s="420"/>
    </row>
    <row r="120" spans="1:1" ht="13.2">
      <c r="A120" s="420"/>
    </row>
    <row r="121" spans="1:1" ht="13.2">
      <c r="A121" s="420"/>
    </row>
    <row r="122" spans="1:1" ht="13.2">
      <c r="A122" s="420"/>
    </row>
    <row r="123" spans="1:1" ht="13.2">
      <c r="A123" s="420"/>
    </row>
    <row r="124" spans="1:1" ht="13.2">
      <c r="A124" s="420"/>
    </row>
    <row r="125" spans="1:1" ht="13.2">
      <c r="A125" s="420"/>
    </row>
    <row r="126" spans="1:1" ht="13.2">
      <c r="A126" s="420"/>
    </row>
    <row r="127" spans="1:1" ht="13.2">
      <c r="A127" s="420"/>
    </row>
    <row r="128" spans="1:1" ht="13.2">
      <c r="A128" s="420"/>
    </row>
    <row r="129" spans="1:1" ht="13.2">
      <c r="A129" s="420"/>
    </row>
    <row r="130" spans="1:1" ht="13.2">
      <c r="A130" s="420"/>
    </row>
    <row r="131" spans="1:1" ht="13.2">
      <c r="A131" s="420"/>
    </row>
    <row r="132" spans="1:1" ht="13.2">
      <c r="A132" s="420"/>
    </row>
    <row r="133" spans="1:1" ht="13.2">
      <c r="A133" s="420"/>
    </row>
    <row r="134" spans="1:1" ht="13.2">
      <c r="A134" s="420"/>
    </row>
    <row r="135" spans="1:1" ht="13.2">
      <c r="A135" s="420"/>
    </row>
    <row r="136" spans="1:1" ht="13.2">
      <c r="A136" s="420"/>
    </row>
    <row r="137" spans="1:1" ht="13.2">
      <c r="A137" s="420"/>
    </row>
    <row r="138" spans="1:1" ht="13.2">
      <c r="A138" s="420"/>
    </row>
    <row r="139" spans="1:1" ht="13.2">
      <c r="A139" s="420"/>
    </row>
    <row r="140" spans="1:1" ht="13.2">
      <c r="A140" s="420"/>
    </row>
    <row r="141" spans="1:1" ht="13.2">
      <c r="A141" s="420"/>
    </row>
    <row r="142" spans="1:1" ht="13.2">
      <c r="A142" s="420"/>
    </row>
    <row r="143" spans="1:1" ht="13.2">
      <c r="A143" s="420"/>
    </row>
    <row r="144" spans="1:1" ht="13.2">
      <c r="A144" s="420"/>
    </row>
    <row r="145" spans="1:1" ht="13.2">
      <c r="A145" s="420"/>
    </row>
    <row r="146" spans="1:1" ht="13.2">
      <c r="A146" s="420"/>
    </row>
    <row r="147" spans="1:1" ht="13.2">
      <c r="A147" s="420"/>
    </row>
    <row r="148" spans="1:1" ht="13.2">
      <c r="A148" s="420"/>
    </row>
    <row r="149" spans="1:1" ht="13.2">
      <c r="A149" s="420"/>
    </row>
    <row r="150" spans="1:1" ht="13.2">
      <c r="A150" s="420"/>
    </row>
    <row r="151" spans="1:1" ht="13.2">
      <c r="A151" s="420"/>
    </row>
    <row r="152" spans="1:1" ht="13.2">
      <c r="A152" s="420"/>
    </row>
    <row r="153" spans="1:1" ht="13.2">
      <c r="A153" s="420"/>
    </row>
    <row r="154" spans="1:1" ht="13.2">
      <c r="A154" s="420"/>
    </row>
    <row r="155" spans="1:1" ht="13.2">
      <c r="A155" s="420"/>
    </row>
    <row r="156" spans="1:1" ht="13.2">
      <c r="A156" s="420"/>
    </row>
    <row r="157" spans="1:1" ht="13.2">
      <c r="A157" s="420"/>
    </row>
    <row r="158" spans="1:1" ht="13.2">
      <c r="A158" s="420"/>
    </row>
    <row r="159" spans="1:1" ht="13.2">
      <c r="A159" s="420"/>
    </row>
    <row r="160" spans="1:1" ht="13.2">
      <c r="A160" s="420"/>
    </row>
    <row r="161" spans="1:1" ht="13.2">
      <c r="A161" s="420"/>
    </row>
    <row r="162" spans="1:1" ht="13.2">
      <c r="A162" s="420"/>
    </row>
    <row r="163" spans="1:1" ht="13.2">
      <c r="A163" s="420"/>
    </row>
    <row r="164" spans="1:1" ht="13.2">
      <c r="A164" s="420"/>
    </row>
    <row r="165" spans="1:1" ht="13.2">
      <c r="A165" s="420"/>
    </row>
    <row r="166" spans="1:1" ht="13.2">
      <c r="A166" s="420"/>
    </row>
    <row r="167" spans="1:1" ht="13.2">
      <c r="A167" s="420"/>
    </row>
    <row r="168" spans="1:1" ht="13.2">
      <c r="A168" s="420"/>
    </row>
    <row r="169" spans="1:1" ht="13.2">
      <c r="A169" s="420"/>
    </row>
    <row r="170" spans="1:1" ht="13.2">
      <c r="A170" s="420"/>
    </row>
    <row r="171" spans="1:1" ht="13.2">
      <c r="A171" s="420"/>
    </row>
    <row r="172" spans="1:1" ht="13.2">
      <c r="A172" s="420"/>
    </row>
    <row r="173" spans="1:1" ht="13.2">
      <c r="A173" s="420"/>
    </row>
    <row r="174" spans="1:1" ht="13.2">
      <c r="A174" s="420"/>
    </row>
    <row r="175" spans="1:1" ht="13.2">
      <c r="A175" s="420"/>
    </row>
    <row r="176" spans="1:1" ht="13.2">
      <c r="A176" s="420"/>
    </row>
    <row r="177" spans="1:1" ht="13.2">
      <c r="A177" s="420"/>
    </row>
    <row r="178" spans="1:1" ht="13.2">
      <c r="A178" s="420"/>
    </row>
    <row r="179" spans="1:1" ht="13.2">
      <c r="A179" s="420"/>
    </row>
    <row r="180" spans="1:1" ht="13.2">
      <c r="A180" s="420"/>
    </row>
    <row r="181" spans="1:1" ht="13.2">
      <c r="A181" s="420"/>
    </row>
    <row r="182" spans="1:1" ht="13.2">
      <c r="A182" s="420"/>
    </row>
    <row r="183" spans="1:1" ht="13.2">
      <c r="A183" s="420"/>
    </row>
    <row r="184" spans="1:1" ht="13.2">
      <c r="A184" s="420"/>
    </row>
    <row r="185" spans="1:1" ht="13.2">
      <c r="A185" s="420"/>
    </row>
    <row r="186" spans="1:1" ht="13.2">
      <c r="A186" s="420"/>
    </row>
    <row r="187" spans="1:1" ht="13.2">
      <c r="A187" s="420"/>
    </row>
    <row r="188" spans="1:1" ht="13.2">
      <c r="A188" s="420"/>
    </row>
    <row r="189" spans="1:1" ht="13.2">
      <c r="A189" s="420"/>
    </row>
    <row r="190" spans="1:1" ht="13.2">
      <c r="A190" s="420"/>
    </row>
    <row r="191" spans="1:1" ht="13.2">
      <c r="A191" s="420"/>
    </row>
    <row r="192" spans="1:1" ht="13.2">
      <c r="A192" s="420"/>
    </row>
    <row r="193" spans="1:1" ht="13.2">
      <c r="A193" s="420"/>
    </row>
    <row r="194" spans="1:1" ht="13.2">
      <c r="A194" s="420"/>
    </row>
    <row r="195" spans="1:1" ht="13.2">
      <c r="A195" s="420"/>
    </row>
    <row r="196" spans="1:1" ht="13.2">
      <c r="A196" s="420"/>
    </row>
    <row r="197" spans="1:1" ht="13.2">
      <c r="A197" s="420"/>
    </row>
    <row r="198" spans="1:1" ht="13.2">
      <c r="A198" s="420"/>
    </row>
    <row r="199" spans="1:1" ht="13.2">
      <c r="A199" s="420"/>
    </row>
    <row r="200" spans="1:1" ht="13.2">
      <c r="A200" s="420"/>
    </row>
    <row r="201" spans="1:1" ht="13.2">
      <c r="A201" s="420"/>
    </row>
    <row r="202" spans="1:1" ht="13.2">
      <c r="A202" s="420"/>
    </row>
    <row r="203" spans="1:1" ht="13.2">
      <c r="A203" s="420"/>
    </row>
    <row r="204" spans="1:1" ht="13.2">
      <c r="A204" s="420"/>
    </row>
    <row r="205" spans="1:1" ht="13.2">
      <c r="A205" s="420"/>
    </row>
    <row r="206" spans="1:1" ht="13.2">
      <c r="A206" s="420"/>
    </row>
    <row r="207" spans="1:1" ht="13.2">
      <c r="A207" s="420"/>
    </row>
    <row r="208" spans="1:1" ht="13.2">
      <c r="A208" s="420"/>
    </row>
    <row r="209" spans="1:1" ht="13.2">
      <c r="A209" s="420"/>
    </row>
    <row r="210" spans="1:1" ht="13.2">
      <c r="A210" s="420"/>
    </row>
    <row r="211" spans="1:1" ht="13.2">
      <c r="A211" s="420"/>
    </row>
    <row r="212" spans="1:1" ht="13.2">
      <c r="A212" s="420"/>
    </row>
    <row r="213" spans="1:1" ht="13.2">
      <c r="A213" s="420"/>
    </row>
    <row r="214" spans="1:1" ht="13.2">
      <c r="A214" s="420"/>
    </row>
    <row r="215" spans="1:1" ht="13.2">
      <c r="A215" s="420"/>
    </row>
    <row r="216" spans="1:1" ht="13.2">
      <c r="A216" s="420"/>
    </row>
    <row r="217" spans="1:1" ht="13.2">
      <c r="A217" s="420"/>
    </row>
    <row r="218" spans="1:1" ht="13.2">
      <c r="A218" s="420"/>
    </row>
    <row r="219" spans="1:1" ht="13.2">
      <c r="A219" s="420"/>
    </row>
    <row r="220" spans="1:1" ht="13.2">
      <c r="A220" s="420"/>
    </row>
    <row r="221" spans="1:1" ht="13.2">
      <c r="A221" s="420"/>
    </row>
    <row r="222" spans="1:1" ht="13.2">
      <c r="A222" s="420"/>
    </row>
    <row r="223" spans="1:1" ht="13.2">
      <c r="A223" s="420"/>
    </row>
    <row r="224" spans="1:1" ht="13.2">
      <c r="A224" s="420"/>
    </row>
    <row r="225" spans="1:1" ht="13.2">
      <c r="A225" s="420"/>
    </row>
    <row r="226" spans="1:1" ht="13.2">
      <c r="A226" s="420"/>
    </row>
    <row r="227" spans="1:1" ht="13.2">
      <c r="A227" s="420"/>
    </row>
    <row r="228" spans="1:1" ht="13.2">
      <c r="A228" s="420"/>
    </row>
    <row r="229" spans="1:1" ht="13.2">
      <c r="A229" s="420"/>
    </row>
    <row r="230" spans="1:1" ht="13.2">
      <c r="A230" s="420"/>
    </row>
    <row r="231" spans="1:1" ht="13.2">
      <c r="A231" s="420"/>
    </row>
    <row r="232" spans="1:1" ht="13.2">
      <c r="A232" s="420"/>
    </row>
    <row r="233" spans="1:1" ht="13.2">
      <c r="A233" s="420"/>
    </row>
    <row r="234" spans="1:1" ht="13.2">
      <c r="A234" s="420"/>
    </row>
    <row r="235" spans="1:1" ht="13.2">
      <c r="A235" s="420"/>
    </row>
    <row r="236" spans="1:1" ht="13.2">
      <c r="A236" s="420"/>
    </row>
    <row r="237" spans="1:1" ht="13.2">
      <c r="A237" s="420"/>
    </row>
    <row r="238" spans="1:1" ht="13.2">
      <c r="A238" s="420"/>
    </row>
    <row r="239" spans="1:1" ht="13.2">
      <c r="A239" s="420"/>
    </row>
    <row r="240" spans="1:1" ht="13.2">
      <c r="A240" s="420"/>
    </row>
    <row r="241" spans="1:1" ht="13.2">
      <c r="A241" s="420"/>
    </row>
    <row r="242" spans="1:1" ht="13.2">
      <c r="A242" s="420"/>
    </row>
    <row r="243" spans="1:1" ht="13.2">
      <c r="A243" s="420"/>
    </row>
    <row r="244" spans="1:1" ht="13.2">
      <c r="A244" s="420"/>
    </row>
    <row r="245" spans="1:1" ht="13.2">
      <c r="A245" s="420"/>
    </row>
    <row r="246" spans="1:1" ht="13.2">
      <c r="A246" s="420"/>
    </row>
    <row r="247" spans="1:1" ht="13.2">
      <c r="A247" s="420"/>
    </row>
    <row r="248" spans="1:1" ht="13.2">
      <c r="A248" s="420"/>
    </row>
    <row r="249" spans="1:1" ht="13.2">
      <c r="A249" s="420"/>
    </row>
    <row r="250" spans="1:1" ht="13.2">
      <c r="A250" s="420"/>
    </row>
    <row r="251" spans="1:1" ht="13.2">
      <c r="A251" s="420"/>
    </row>
    <row r="252" spans="1:1" ht="13.2">
      <c r="A252" s="420"/>
    </row>
    <row r="253" spans="1:1" ht="13.2">
      <c r="A253" s="420"/>
    </row>
    <row r="254" spans="1:1" ht="13.2">
      <c r="A254" s="420"/>
    </row>
    <row r="255" spans="1:1" ht="13.2">
      <c r="A255" s="420"/>
    </row>
    <row r="256" spans="1:1" ht="13.2">
      <c r="A256" s="420"/>
    </row>
    <row r="257" spans="1:1" ht="13.2">
      <c r="A257" s="420"/>
    </row>
    <row r="258" spans="1:1" ht="13.2">
      <c r="A258" s="420"/>
    </row>
    <row r="259" spans="1:1" ht="13.2">
      <c r="A259" s="420"/>
    </row>
    <row r="260" spans="1:1" ht="13.2">
      <c r="A260" s="420"/>
    </row>
    <row r="261" spans="1:1" ht="13.2">
      <c r="A261" s="420"/>
    </row>
    <row r="262" spans="1:1" ht="13.2">
      <c r="A262" s="420"/>
    </row>
    <row r="263" spans="1:1" ht="13.2">
      <c r="A263" s="420"/>
    </row>
    <row r="264" spans="1:1" ht="13.2">
      <c r="A264" s="420"/>
    </row>
    <row r="265" spans="1:1" ht="13.2">
      <c r="A265" s="420"/>
    </row>
    <row r="266" spans="1:1" ht="13.2">
      <c r="A266" s="420"/>
    </row>
    <row r="267" spans="1:1" ht="13.2">
      <c r="A267" s="420"/>
    </row>
    <row r="268" spans="1:1" ht="13.2">
      <c r="A268" s="420"/>
    </row>
    <row r="269" spans="1:1" ht="13.2">
      <c r="A269" s="420"/>
    </row>
    <row r="270" spans="1:1" ht="13.2">
      <c r="A270" s="420"/>
    </row>
    <row r="271" spans="1:1" ht="13.2">
      <c r="A271" s="420"/>
    </row>
    <row r="272" spans="1:1" ht="13.2">
      <c r="A272" s="420"/>
    </row>
    <row r="273" spans="1:1" ht="13.2">
      <c r="A273" s="420"/>
    </row>
    <row r="274" spans="1:1" ht="13.2">
      <c r="A274" s="420"/>
    </row>
    <row r="275" spans="1:1" ht="13.2">
      <c r="A275" s="420"/>
    </row>
    <row r="276" spans="1:1" ht="13.2">
      <c r="A276" s="420"/>
    </row>
    <row r="277" spans="1:1" ht="13.2">
      <c r="A277" s="420"/>
    </row>
    <row r="278" spans="1:1" ht="13.2">
      <c r="A278" s="420"/>
    </row>
    <row r="279" spans="1:1" ht="13.2">
      <c r="A279" s="420"/>
    </row>
    <row r="280" spans="1:1" ht="13.2">
      <c r="A280" s="420"/>
    </row>
    <row r="281" spans="1:1" ht="13.2">
      <c r="A281" s="420"/>
    </row>
    <row r="282" spans="1:1" ht="13.2">
      <c r="A282" s="420"/>
    </row>
    <row r="283" spans="1:1" ht="13.2">
      <c r="A283" s="420"/>
    </row>
    <row r="284" spans="1:1" ht="13.2">
      <c r="A284" s="420"/>
    </row>
    <row r="285" spans="1:1" ht="13.2">
      <c r="A285" s="420"/>
    </row>
    <row r="286" spans="1:1" ht="13.2">
      <c r="A286" s="420"/>
    </row>
    <row r="287" spans="1:1" ht="13.2">
      <c r="A287" s="420"/>
    </row>
    <row r="288" spans="1:1" ht="13.2">
      <c r="A288" s="420"/>
    </row>
    <row r="289" spans="1:1" ht="13.2">
      <c r="A289" s="420"/>
    </row>
    <row r="290" spans="1:1" ht="13.2">
      <c r="A290" s="420"/>
    </row>
    <row r="291" spans="1:1" ht="13.2">
      <c r="A291" s="420"/>
    </row>
    <row r="292" spans="1:1" ht="13.2">
      <c r="A292" s="420"/>
    </row>
    <row r="293" spans="1:1" ht="13.2">
      <c r="A293" s="420"/>
    </row>
    <row r="294" spans="1:1" ht="13.2">
      <c r="A294" s="420"/>
    </row>
    <row r="295" spans="1:1" ht="13.2">
      <c r="A295" s="420"/>
    </row>
    <row r="296" spans="1:1" ht="13.2">
      <c r="A296" s="420"/>
    </row>
    <row r="297" spans="1:1" ht="13.2">
      <c r="A297" s="420"/>
    </row>
    <row r="298" spans="1:1" ht="13.2">
      <c r="A298" s="420"/>
    </row>
    <row r="299" spans="1:1" ht="13.2">
      <c r="A299" s="420"/>
    </row>
    <row r="300" spans="1:1" ht="13.2">
      <c r="A300" s="420"/>
    </row>
    <row r="301" spans="1:1" ht="13.2">
      <c r="A301" s="420"/>
    </row>
    <row r="302" spans="1:1" ht="13.2">
      <c r="A302" s="420"/>
    </row>
    <row r="303" spans="1:1" ht="13.2">
      <c r="A303" s="420"/>
    </row>
    <row r="304" spans="1:1" ht="13.2">
      <c r="A304" s="420"/>
    </row>
    <row r="305" spans="1:1" ht="13.2">
      <c r="A305" s="420"/>
    </row>
    <row r="306" spans="1:1" ht="13.2">
      <c r="A306" s="420"/>
    </row>
    <row r="307" spans="1:1" ht="13.2">
      <c r="A307" s="420"/>
    </row>
    <row r="308" spans="1:1" ht="13.2">
      <c r="A308" s="420"/>
    </row>
    <row r="309" spans="1:1" ht="13.2">
      <c r="A309" s="420"/>
    </row>
    <row r="310" spans="1:1" ht="13.2">
      <c r="A310" s="420"/>
    </row>
    <row r="311" spans="1:1" ht="13.2">
      <c r="A311" s="420"/>
    </row>
    <row r="312" spans="1:1" ht="13.2">
      <c r="A312" s="420"/>
    </row>
    <row r="313" spans="1:1" ht="13.2">
      <c r="A313" s="420"/>
    </row>
    <row r="314" spans="1:1" ht="13.2">
      <c r="A314" s="420"/>
    </row>
    <row r="315" spans="1:1" ht="13.2">
      <c r="A315" s="420"/>
    </row>
    <row r="316" spans="1:1" ht="13.2">
      <c r="A316" s="420"/>
    </row>
    <row r="317" spans="1:1" ht="13.2">
      <c r="A317" s="420"/>
    </row>
    <row r="318" spans="1:1" ht="13.2">
      <c r="A318" s="420"/>
    </row>
    <row r="319" spans="1:1" ht="13.2">
      <c r="A319" s="420"/>
    </row>
    <row r="320" spans="1:1" ht="13.2">
      <c r="A320" s="420"/>
    </row>
    <row r="321" spans="1:1" ht="13.2">
      <c r="A321" s="420"/>
    </row>
    <row r="322" spans="1:1" ht="13.2">
      <c r="A322" s="420"/>
    </row>
    <row r="323" spans="1:1" ht="13.2">
      <c r="A323" s="420"/>
    </row>
    <row r="324" spans="1:1" ht="13.2">
      <c r="A324" s="420"/>
    </row>
    <row r="325" spans="1:1" ht="13.2">
      <c r="A325" s="420"/>
    </row>
    <row r="326" spans="1:1" ht="13.2">
      <c r="A326" s="420"/>
    </row>
    <row r="327" spans="1:1" ht="13.2">
      <c r="A327" s="420"/>
    </row>
    <row r="328" spans="1:1" ht="13.2">
      <c r="A328" s="420"/>
    </row>
    <row r="329" spans="1:1" ht="13.2">
      <c r="A329" s="420"/>
    </row>
    <row r="330" spans="1:1" ht="13.2">
      <c r="A330" s="420"/>
    </row>
    <row r="331" spans="1:1" ht="13.2">
      <c r="A331" s="420"/>
    </row>
    <row r="332" spans="1:1" ht="13.2">
      <c r="A332" s="420"/>
    </row>
    <row r="333" spans="1:1" ht="13.2">
      <c r="A333" s="420"/>
    </row>
    <row r="334" spans="1:1" ht="13.2">
      <c r="A334" s="420"/>
    </row>
    <row r="335" spans="1:1" ht="13.2">
      <c r="A335" s="420"/>
    </row>
    <row r="336" spans="1:1" ht="13.2">
      <c r="A336" s="420"/>
    </row>
    <row r="337" spans="1:1" ht="13.2">
      <c r="A337" s="420"/>
    </row>
    <row r="338" spans="1:1" ht="13.2">
      <c r="A338" s="420"/>
    </row>
    <row r="339" spans="1:1" ht="13.2">
      <c r="A339" s="420"/>
    </row>
    <row r="340" spans="1:1" ht="13.2">
      <c r="A340" s="420"/>
    </row>
    <row r="341" spans="1:1" ht="13.2">
      <c r="A341" s="420"/>
    </row>
    <row r="342" spans="1:1" ht="13.2">
      <c r="A342" s="420"/>
    </row>
    <row r="343" spans="1:1" ht="13.2">
      <c r="A343" s="420"/>
    </row>
    <row r="344" spans="1:1" ht="13.2">
      <c r="A344" s="420"/>
    </row>
    <row r="345" spans="1:1" ht="13.2">
      <c r="A345" s="420"/>
    </row>
    <row r="346" spans="1:1" ht="13.2">
      <c r="A346" s="420"/>
    </row>
    <row r="347" spans="1:1" ht="13.2">
      <c r="A347" s="420"/>
    </row>
    <row r="348" spans="1:1" ht="13.2">
      <c r="A348" s="420"/>
    </row>
    <row r="349" spans="1:1" ht="13.2">
      <c r="A349" s="420"/>
    </row>
    <row r="350" spans="1:1" ht="13.2">
      <c r="A350" s="420"/>
    </row>
    <row r="351" spans="1:1" ht="13.2">
      <c r="A351" s="420"/>
    </row>
    <row r="352" spans="1:1" ht="13.2">
      <c r="A352" s="420"/>
    </row>
    <row r="353" spans="1:1" ht="13.2">
      <c r="A353" s="420"/>
    </row>
    <row r="354" spans="1:1" ht="13.2">
      <c r="A354" s="420"/>
    </row>
    <row r="355" spans="1:1" ht="13.2">
      <c r="A355" s="420"/>
    </row>
    <row r="356" spans="1:1" ht="13.2">
      <c r="A356" s="420"/>
    </row>
    <row r="357" spans="1:1" ht="13.2">
      <c r="A357" s="420"/>
    </row>
    <row r="358" spans="1:1" ht="13.2">
      <c r="A358" s="420"/>
    </row>
    <row r="359" spans="1:1" ht="13.2">
      <c r="A359" s="420"/>
    </row>
    <row r="360" spans="1:1" ht="13.2">
      <c r="A360" s="420"/>
    </row>
    <row r="361" spans="1:1" ht="13.2">
      <c r="A361" s="420"/>
    </row>
    <row r="362" spans="1:1" ht="13.2">
      <c r="A362" s="420"/>
    </row>
    <row r="363" spans="1:1" ht="13.2">
      <c r="A363" s="420"/>
    </row>
    <row r="364" spans="1:1" ht="13.2">
      <c r="A364" s="420"/>
    </row>
    <row r="365" spans="1:1" ht="13.2">
      <c r="A365" s="420"/>
    </row>
    <row r="366" spans="1:1" ht="13.2">
      <c r="A366" s="420"/>
    </row>
    <row r="367" spans="1:1" ht="13.2">
      <c r="A367" s="420"/>
    </row>
    <row r="368" spans="1:1" ht="13.2">
      <c r="A368" s="420"/>
    </row>
    <row r="369" spans="1:1" ht="13.2">
      <c r="A369" s="420"/>
    </row>
    <row r="370" spans="1:1" ht="13.2">
      <c r="A370" s="420"/>
    </row>
    <row r="371" spans="1:1" ht="13.2">
      <c r="A371" s="420"/>
    </row>
    <row r="372" spans="1:1" ht="13.2">
      <c r="A372" s="420"/>
    </row>
    <row r="373" spans="1:1" ht="13.2">
      <c r="A373" s="420"/>
    </row>
    <row r="374" spans="1:1" ht="13.2">
      <c r="A374" s="420"/>
    </row>
    <row r="375" spans="1:1" ht="13.2">
      <c r="A375" s="420"/>
    </row>
    <row r="376" spans="1:1" ht="13.2">
      <c r="A376" s="420"/>
    </row>
    <row r="377" spans="1:1" ht="13.2">
      <c r="A377" s="420"/>
    </row>
    <row r="378" spans="1:1" ht="13.2">
      <c r="A378" s="420"/>
    </row>
    <row r="379" spans="1:1" ht="13.2">
      <c r="A379" s="420"/>
    </row>
    <row r="380" spans="1:1" ht="13.2">
      <c r="A380" s="420"/>
    </row>
    <row r="381" spans="1:1" ht="13.2">
      <c r="A381" s="420"/>
    </row>
    <row r="382" spans="1:1" ht="13.2">
      <c r="A382" s="420"/>
    </row>
    <row r="383" spans="1:1" ht="13.2">
      <c r="A383" s="420"/>
    </row>
    <row r="384" spans="1:1" ht="13.2">
      <c r="A384" s="420"/>
    </row>
    <row r="385" spans="1:1" ht="13.2">
      <c r="A385" s="420"/>
    </row>
    <row r="386" spans="1:1" ht="13.2">
      <c r="A386" s="420"/>
    </row>
    <row r="387" spans="1:1" ht="13.2">
      <c r="A387" s="420"/>
    </row>
    <row r="388" spans="1:1" ht="13.2">
      <c r="A388" s="420"/>
    </row>
    <row r="389" spans="1:1" ht="13.2">
      <c r="A389" s="420"/>
    </row>
    <row r="390" spans="1:1" ht="13.2">
      <c r="A390" s="420"/>
    </row>
    <row r="391" spans="1:1" ht="13.2">
      <c r="A391" s="420"/>
    </row>
    <row r="392" spans="1:1" ht="13.2">
      <c r="A392" s="420"/>
    </row>
    <row r="393" spans="1:1" ht="13.2">
      <c r="A393" s="420"/>
    </row>
    <row r="394" spans="1:1" ht="13.2">
      <c r="A394" s="420"/>
    </row>
    <row r="395" spans="1:1" ht="13.2">
      <c r="A395" s="420"/>
    </row>
    <row r="396" spans="1:1" ht="13.2">
      <c r="A396" s="420"/>
    </row>
    <row r="397" spans="1:1" ht="13.2">
      <c r="A397" s="420"/>
    </row>
    <row r="398" spans="1:1" ht="13.2">
      <c r="A398" s="420"/>
    </row>
    <row r="399" spans="1:1" ht="13.2">
      <c r="A399" s="420"/>
    </row>
    <row r="400" spans="1:1" ht="13.2">
      <c r="A400" s="420"/>
    </row>
    <row r="401" spans="1:1" ht="13.2">
      <c r="A401" s="420"/>
    </row>
    <row r="402" spans="1:1" ht="13.2">
      <c r="A402" s="420"/>
    </row>
    <row r="403" spans="1:1" ht="13.2">
      <c r="A403" s="420"/>
    </row>
    <row r="404" spans="1:1" ht="13.2">
      <c r="A404" s="420"/>
    </row>
    <row r="405" spans="1:1" ht="13.2">
      <c r="A405" s="420"/>
    </row>
    <row r="406" spans="1:1" ht="13.2">
      <c r="A406" s="420"/>
    </row>
    <row r="407" spans="1:1" ht="13.2">
      <c r="A407" s="420"/>
    </row>
    <row r="408" spans="1:1" ht="13.2">
      <c r="A408" s="420"/>
    </row>
    <row r="409" spans="1:1" ht="13.2">
      <c r="A409" s="420"/>
    </row>
    <row r="410" spans="1:1" ht="13.2">
      <c r="A410" s="420"/>
    </row>
    <row r="411" spans="1:1" ht="13.2">
      <c r="A411" s="420"/>
    </row>
    <row r="412" spans="1:1" ht="13.2">
      <c r="A412" s="420"/>
    </row>
    <row r="413" spans="1:1" ht="13.2">
      <c r="A413" s="420"/>
    </row>
    <row r="414" spans="1:1" ht="13.2">
      <c r="A414" s="420"/>
    </row>
    <row r="415" spans="1:1" ht="13.2">
      <c r="A415" s="420"/>
    </row>
    <row r="416" spans="1:1" ht="13.2">
      <c r="A416" s="420"/>
    </row>
    <row r="417" spans="1:1" ht="13.2">
      <c r="A417" s="420"/>
    </row>
    <row r="418" spans="1:1" ht="13.2">
      <c r="A418" s="420"/>
    </row>
    <row r="419" spans="1:1" ht="13.2">
      <c r="A419" s="420"/>
    </row>
    <row r="420" spans="1:1" ht="13.2">
      <c r="A420" s="420"/>
    </row>
    <row r="421" spans="1:1" ht="13.2">
      <c r="A421" s="420"/>
    </row>
    <row r="422" spans="1:1" ht="13.2">
      <c r="A422" s="420"/>
    </row>
    <row r="423" spans="1:1" ht="13.2">
      <c r="A423" s="420"/>
    </row>
    <row r="424" spans="1:1" ht="13.2">
      <c r="A424" s="420"/>
    </row>
    <row r="425" spans="1:1" ht="13.2">
      <c r="A425" s="420"/>
    </row>
    <row r="426" spans="1:1" ht="13.2">
      <c r="A426" s="420"/>
    </row>
    <row r="427" spans="1:1" ht="13.2">
      <c r="A427" s="420"/>
    </row>
    <row r="428" spans="1:1" ht="13.2">
      <c r="A428" s="420"/>
    </row>
    <row r="429" spans="1:1" ht="13.2">
      <c r="A429" s="420"/>
    </row>
    <row r="430" spans="1:1" ht="13.2">
      <c r="A430" s="420"/>
    </row>
    <row r="431" spans="1:1" ht="13.2">
      <c r="A431" s="420"/>
    </row>
    <row r="432" spans="1:1" ht="13.2">
      <c r="A432" s="420"/>
    </row>
    <row r="433" spans="1:1" ht="13.2">
      <c r="A433" s="420"/>
    </row>
    <row r="434" spans="1:1" ht="13.2">
      <c r="A434" s="420"/>
    </row>
    <row r="435" spans="1:1" ht="13.2">
      <c r="A435" s="420"/>
    </row>
    <row r="436" spans="1:1" ht="13.2">
      <c r="A436" s="420"/>
    </row>
    <row r="437" spans="1:1" ht="13.2">
      <c r="A437" s="420"/>
    </row>
    <row r="438" spans="1:1" ht="13.2">
      <c r="A438" s="420"/>
    </row>
    <row r="439" spans="1:1" ht="13.2">
      <c r="A439" s="420"/>
    </row>
    <row r="440" spans="1:1" ht="13.2">
      <c r="A440" s="420"/>
    </row>
    <row r="441" spans="1:1" ht="13.2">
      <c r="A441" s="420"/>
    </row>
    <row r="442" spans="1:1" ht="13.2">
      <c r="A442" s="420"/>
    </row>
    <row r="443" spans="1:1" ht="13.2">
      <c r="A443" s="420"/>
    </row>
    <row r="444" spans="1:1" ht="13.2">
      <c r="A444" s="420"/>
    </row>
    <row r="445" spans="1:1" ht="13.2">
      <c r="A445" s="420"/>
    </row>
    <row r="446" spans="1:1" ht="13.2">
      <c r="A446" s="420"/>
    </row>
    <row r="447" spans="1:1" ht="13.2">
      <c r="A447" s="420"/>
    </row>
    <row r="448" spans="1:1" ht="13.2">
      <c r="A448" s="420"/>
    </row>
    <row r="449" spans="1:1" ht="13.2">
      <c r="A449" s="420"/>
    </row>
    <row r="450" spans="1:1" ht="13.2">
      <c r="A450" s="420"/>
    </row>
    <row r="451" spans="1:1" ht="13.2">
      <c r="A451" s="420"/>
    </row>
    <row r="452" spans="1:1" ht="13.2">
      <c r="A452" s="420"/>
    </row>
    <row r="453" spans="1:1" ht="13.2">
      <c r="A453" s="420"/>
    </row>
    <row r="454" spans="1:1" ht="13.2">
      <c r="A454" s="420"/>
    </row>
    <row r="455" spans="1:1" ht="13.2">
      <c r="A455" s="420"/>
    </row>
    <row r="456" spans="1:1" ht="13.2">
      <c r="A456" s="420"/>
    </row>
    <row r="457" spans="1:1" ht="13.2">
      <c r="A457" s="420"/>
    </row>
    <row r="458" spans="1:1" ht="13.2">
      <c r="A458" s="420"/>
    </row>
    <row r="459" spans="1:1" ht="13.2">
      <c r="A459" s="420"/>
    </row>
    <row r="460" spans="1:1" ht="13.2">
      <c r="A460" s="420"/>
    </row>
    <row r="461" spans="1:1" ht="13.2">
      <c r="A461" s="420"/>
    </row>
    <row r="462" spans="1:1" ht="13.2">
      <c r="A462" s="420"/>
    </row>
    <row r="463" spans="1:1" ht="13.2">
      <c r="A463" s="420"/>
    </row>
    <row r="464" spans="1:1" ht="13.2">
      <c r="A464" s="420"/>
    </row>
    <row r="465" spans="1:1" ht="13.2">
      <c r="A465" s="420"/>
    </row>
    <row r="466" spans="1:1" ht="13.2">
      <c r="A466" s="420"/>
    </row>
    <row r="467" spans="1:1" ht="13.2">
      <c r="A467" s="420"/>
    </row>
    <row r="468" spans="1:1" ht="13.2">
      <c r="A468" s="420"/>
    </row>
    <row r="469" spans="1:1" ht="13.2">
      <c r="A469" s="420"/>
    </row>
    <row r="470" spans="1:1" ht="13.2">
      <c r="A470" s="420"/>
    </row>
    <row r="471" spans="1:1" ht="13.2">
      <c r="A471" s="420"/>
    </row>
    <row r="472" spans="1:1" ht="13.2">
      <c r="A472" s="420"/>
    </row>
    <row r="473" spans="1:1" ht="13.2">
      <c r="A473" s="420"/>
    </row>
    <row r="474" spans="1:1" ht="13.2">
      <c r="A474" s="420"/>
    </row>
    <row r="475" spans="1:1" ht="13.2">
      <c r="A475" s="420"/>
    </row>
    <row r="476" spans="1:1" ht="13.2">
      <c r="A476" s="420"/>
    </row>
    <row r="477" spans="1:1" ht="13.2">
      <c r="A477" s="420"/>
    </row>
    <row r="478" spans="1:1" ht="13.2">
      <c r="A478" s="420"/>
    </row>
    <row r="479" spans="1:1" ht="13.2">
      <c r="A479" s="420"/>
    </row>
    <row r="480" spans="1:1" ht="13.2">
      <c r="A480" s="420"/>
    </row>
    <row r="481" spans="1:1" ht="13.2">
      <c r="A481" s="420"/>
    </row>
    <row r="482" spans="1:1" ht="13.2">
      <c r="A482" s="420"/>
    </row>
    <row r="483" spans="1:1" ht="13.2">
      <c r="A483" s="420"/>
    </row>
    <row r="484" spans="1:1" ht="13.2">
      <c r="A484" s="420"/>
    </row>
    <row r="485" spans="1:1" ht="13.2">
      <c r="A485" s="420"/>
    </row>
    <row r="486" spans="1:1" ht="13.2">
      <c r="A486" s="420"/>
    </row>
    <row r="487" spans="1:1" ht="13.2">
      <c r="A487" s="420"/>
    </row>
    <row r="488" spans="1:1" ht="13.2">
      <c r="A488" s="420"/>
    </row>
    <row r="489" spans="1:1" ht="13.2">
      <c r="A489" s="420"/>
    </row>
    <row r="490" spans="1:1" ht="13.2">
      <c r="A490" s="420"/>
    </row>
    <row r="491" spans="1:1" ht="13.2">
      <c r="A491" s="420"/>
    </row>
    <row r="492" spans="1:1" ht="13.2">
      <c r="A492" s="420"/>
    </row>
    <row r="493" spans="1:1" ht="13.2">
      <c r="A493" s="420"/>
    </row>
    <row r="494" spans="1:1" ht="13.2">
      <c r="A494" s="420"/>
    </row>
    <row r="495" spans="1:1" ht="13.2">
      <c r="A495" s="420"/>
    </row>
    <row r="496" spans="1:1" ht="13.2">
      <c r="A496" s="420"/>
    </row>
    <row r="497" spans="1:1" ht="13.2">
      <c r="A497" s="420"/>
    </row>
    <row r="498" spans="1:1" ht="13.2">
      <c r="A498" s="420"/>
    </row>
    <row r="499" spans="1:1" ht="13.2">
      <c r="A499" s="420"/>
    </row>
    <row r="500" spans="1:1" ht="13.2">
      <c r="A500" s="420"/>
    </row>
    <row r="501" spans="1:1" ht="13.2">
      <c r="A501" s="420"/>
    </row>
    <row r="502" spans="1:1" ht="13.2">
      <c r="A502" s="420"/>
    </row>
    <row r="503" spans="1:1" ht="13.2">
      <c r="A503" s="420"/>
    </row>
    <row r="504" spans="1:1" ht="13.2">
      <c r="A504" s="420"/>
    </row>
    <row r="505" spans="1:1" ht="13.2">
      <c r="A505" s="420"/>
    </row>
    <row r="506" spans="1:1" ht="13.2">
      <c r="A506" s="420"/>
    </row>
    <row r="507" spans="1:1" ht="13.2">
      <c r="A507" s="420"/>
    </row>
    <row r="508" spans="1:1" ht="13.2">
      <c r="A508" s="420"/>
    </row>
    <row r="509" spans="1:1" ht="13.2">
      <c r="A509" s="420"/>
    </row>
    <row r="510" spans="1:1" ht="13.2">
      <c r="A510" s="420"/>
    </row>
    <row r="511" spans="1:1" ht="13.2">
      <c r="A511" s="420"/>
    </row>
    <row r="512" spans="1:1" ht="13.2">
      <c r="A512" s="420"/>
    </row>
    <row r="513" spans="1:1" ht="13.2">
      <c r="A513" s="420"/>
    </row>
    <row r="514" spans="1:1" ht="13.2">
      <c r="A514" s="420"/>
    </row>
    <row r="515" spans="1:1" ht="13.2">
      <c r="A515" s="420"/>
    </row>
    <row r="516" spans="1:1" ht="13.2">
      <c r="A516" s="420"/>
    </row>
    <row r="517" spans="1:1" ht="13.2">
      <c r="A517" s="420"/>
    </row>
    <row r="518" spans="1:1" ht="13.2">
      <c r="A518" s="420"/>
    </row>
    <row r="519" spans="1:1" ht="13.2">
      <c r="A519" s="420"/>
    </row>
    <row r="520" spans="1:1" ht="13.2">
      <c r="A520" s="420"/>
    </row>
    <row r="521" spans="1:1" ht="13.2">
      <c r="A521" s="420"/>
    </row>
    <row r="522" spans="1:1" ht="13.2">
      <c r="A522" s="420"/>
    </row>
    <row r="523" spans="1:1" ht="13.2">
      <c r="A523" s="420"/>
    </row>
    <row r="524" spans="1:1" ht="13.2">
      <c r="A524" s="420"/>
    </row>
    <row r="525" spans="1:1" ht="13.2">
      <c r="A525" s="420"/>
    </row>
    <row r="526" spans="1:1" ht="13.2">
      <c r="A526" s="420"/>
    </row>
    <row r="527" spans="1:1" ht="13.2">
      <c r="A527" s="420"/>
    </row>
    <row r="528" spans="1:1" ht="13.2">
      <c r="A528" s="420"/>
    </row>
    <row r="529" spans="1:1" ht="13.2">
      <c r="A529" s="420"/>
    </row>
    <row r="530" spans="1:1" ht="13.2">
      <c r="A530" s="420"/>
    </row>
    <row r="531" spans="1:1" ht="13.2">
      <c r="A531" s="420"/>
    </row>
    <row r="532" spans="1:1" ht="13.2">
      <c r="A532" s="420"/>
    </row>
    <row r="533" spans="1:1" ht="13.2">
      <c r="A533" s="420"/>
    </row>
    <row r="534" spans="1:1" ht="13.2">
      <c r="A534" s="420"/>
    </row>
    <row r="535" spans="1:1" ht="13.2">
      <c r="A535" s="420"/>
    </row>
    <row r="536" spans="1:1" ht="13.2">
      <c r="A536" s="420"/>
    </row>
    <row r="537" spans="1:1" ht="13.2">
      <c r="A537" s="420"/>
    </row>
    <row r="538" spans="1:1" ht="13.2">
      <c r="A538" s="420"/>
    </row>
    <row r="539" spans="1:1" ht="13.2">
      <c r="A539" s="420"/>
    </row>
    <row r="540" spans="1:1" ht="13.2">
      <c r="A540" s="420"/>
    </row>
    <row r="541" spans="1:1" ht="13.2">
      <c r="A541" s="420"/>
    </row>
    <row r="542" spans="1:1" ht="13.2">
      <c r="A542" s="420"/>
    </row>
    <row r="543" spans="1:1" ht="13.2">
      <c r="A543" s="420"/>
    </row>
    <row r="544" spans="1:1" ht="13.2">
      <c r="A544" s="420"/>
    </row>
    <row r="545" spans="1:1" ht="13.2">
      <c r="A545" s="420"/>
    </row>
    <row r="546" spans="1:1" ht="13.2">
      <c r="A546" s="420"/>
    </row>
    <row r="547" spans="1:1" ht="13.2">
      <c r="A547" s="420"/>
    </row>
    <row r="548" spans="1:1" ht="13.2">
      <c r="A548" s="420"/>
    </row>
    <row r="549" spans="1:1" ht="13.2">
      <c r="A549" s="420"/>
    </row>
    <row r="550" spans="1:1" ht="13.2">
      <c r="A550" s="420"/>
    </row>
    <row r="551" spans="1:1" ht="13.2">
      <c r="A551" s="420"/>
    </row>
    <row r="552" spans="1:1" ht="13.2">
      <c r="A552" s="420"/>
    </row>
    <row r="553" spans="1:1" ht="13.2">
      <c r="A553" s="420"/>
    </row>
    <row r="554" spans="1:1" ht="13.2">
      <c r="A554" s="420"/>
    </row>
    <row r="555" spans="1:1" ht="13.2">
      <c r="A555" s="420"/>
    </row>
    <row r="556" spans="1:1" ht="13.2">
      <c r="A556" s="420"/>
    </row>
    <row r="557" spans="1:1" ht="13.2">
      <c r="A557" s="420"/>
    </row>
    <row r="558" spans="1:1" ht="13.2">
      <c r="A558" s="420"/>
    </row>
    <row r="559" spans="1:1" ht="13.2">
      <c r="A559" s="420"/>
    </row>
    <row r="560" spans="1:1" ht="13.2">
      <c r="A560" s="420"/>
    </row>
    <row r="561" spans="1:1" ht="13.2">
      <c r="A561" s="420"/>
    </row>
    <row r="562" spans="1:1" ht="13.2">
      <c r="A562" s="420"/>
    </row>
    <row r="563" spans="1:1" ht="13.2">
      <c r="A563" s="420"/>
    </row>
    <row r="564" spans="1:1" ht="13.2">
      <c r="A564" s="420"/>
    </row>
    <row r="565" spans="1:1" ht="13.2">
      <c r="A565" s="420"/>
    </row>
    <row r="566" spans="1:1" ht="13.2">
      <c r="A566" s="420"/>
    </row>
    <row r="567" spans="1:1" ht="13.2">
      <c r="A567" s="420"/>
    </row>
    <row r="568" spans="1:1" ht="13.2">
      <c r="A568" s="420"/>
    </row>
    <row r="569" spans="1:1" ht="13.2">
      <c r="A569" s="420"/>
    </row>
    <row r="570" spans="1:1" ht="13.2">
      <c r="A570" s="420"/>
    </row>
    <row r="571" spans="1:1" ht="13.2">
      <c r="A571" s="420"/>
    </row>
    <row r="572" spans="1:1" ht="13.2">
      <c r="A572" s="420"/>
    </row>
    <row r="573" spans="1:1" ht="13.2">
      <c r="A573" s="420"/>
    </row>
    <row r="574" spans="1:1" ht="13.2">
      <c r="A574" s="420"/>
    </row>
    <row r="575" spans="1:1" ht="13.2">
      <c r="A575" s="420"/>
    </row>
    <row r="576" spans="1:1" ht="13.2">
      <c r="A576" s="420"/>
    </row>
    <row r="577" spans="1:1" ht="13.2">
      <c r="A577" s="420"/>
    </row>
    <row r="578" spans="1:1" ht="13.2">
      <c r="A578" s="420"/>
    </row>
    <row r="579" spans="1:1" ht="13.2">
      <c r="A579" s="420"/>
    </row>
    <row r="580" spans="1:1" ht="13.2">
      <c r="A580" s="420"/>
    </row>
    <row r="581" spans="1:1" ht="13.2">
      <c r="A581" s="420"/>
    </row>
    <row r="582" spans="1:1" ht="13.2">
      <c r="A582" s="420"/>
    </row>
    <row r="583" spans="1:1" ht="13.2">
      <c r="A583" s="420"/>
    </row>
    <row r="584" spans="1:1" ht="13.2">
      <c r="A584" s="420"/>
    </row>
    <row r="585" spans="1:1" ht="13.2">
      <c r="A585" s="420"/>
    </row>
    <row r="586" spans="1:1" ht="13.2">
      <c r="A586" s="420"/>
    </row>
    <row r="587" spans="1:1" ht="13.2">
      <c r="A587" s="420"/>
    </row>
    <row r="588" spans="1:1" ht="13.2">
      <c r="A588" s="420"/>
    </row>
    <row r="589" spans="1:1" ht="13.2">
      <c r="A589" s="420"/>
    </row>
    <row r="590" spans="1:1" ht="13.2">
      <c r="A590" s="420"/>
    </row>
    <row r="591" spans="1:1" ht="13.2">
      <c r="A591" s="420"/>
    </row>
    <row r="592" spans="1:1" ht="13.2">
      <c r="A592" s="420"/>
    </row>
    <row r="593" spans="1:1" ht="13.2">
      <c r="A593" s="420"/>
    </row>
    <row r="594" spans="1:1" ht="13.2">
      <c r="A594" s="420"/>
    </row>
    <row r="595" spans="1:1" ht="13.2">
      <c r="A595" s="420"/>
    </row>
    <row r="596" spans="1:1" ht="13.2">
      <c r="A596" s="420"/>
    </row>
    <row r="597" spans="1:1" ht="13.2">
      <c r="A597" s="420"/>
    </row>
    <row r="598" spans="1:1" ht="13.2">
      <c r="A598" s="420"/>
    </row>
    <row r="599" spans="1:1" ht="13.2">
      <c r="A599" s="420"/>
    </row>
    <row r="600" spans="1:1" ht="13.2">
      <c r="A600" s="420"/>
    </row>
    <row r="601" spans="1:1" ht="13.2">
      <c r="A601" s="420"/>
    </row>
    <row r="602" spans="1:1" ht="13.2">
      <c r="A602" s="420"/>
    </row>
    <row r="603" spans="1:1" ht="13.2">
      <c r="A603" s="420"/>
    </row>
    <row r="604" spans="1:1" ht="13.2">
      <c r="A604" s="420"/>
    </row>
    <row r="605" spans="1:1" ht="13.2">
      <c r="A605" s="420"/>
    </row>
    <row r="606" spans="1:1" ht="13.2">
      <c r="A606" s="420"/>
    </row>
    <row r="607" spans="1:1" ht="13.2">
      <c r="A607" s="420"/>
    </row>
    <row r="608" spans="1:1" ht="13.2">
      <c r="A608" s="420"/>
    </row>
    <row r="609" spans="1:1" ht="13.2">
      <c r="A609" s="420"/>
    </row>
    <row r="610" spans="1:1" ht="13.2">
      <c r="A610" s="420"/>
    </row>
    <row r="611" spans="1:1" ht="13.2">
      <c r="A611" s="420"/>
    </row>
    <row r="612" spans="1:1" ht="13.2">
      <c r="A612" s="420"/>
    </row>
    <row r="613" spans="1:1" ht="13.2">
      <c r="A613" s="420"/>
    </row>
    <row r="614" spans="1:1" ht="13.2">
      <c r="A614" s="420"/>
    </row>
    <row r="615" spans="1:1" ht="13.2">
      <c r="A615" s="420"/>
    </row>
    <row r="616" spans="1:1" ht="13.2">
      <c r="A616" s="420"/>
    </row>
    <row r="617" spans="1:1" ht="13.2">
      <c r="A617" s="420"/>
    </row>
    <row r="618" spans="1:1" ht="13.2">
      <c r="A618" s="420"/>
    </row>
    <row r="619" spans="1:1" ht="13.2">
      <c r="A619" s="420"/>
    </row>
    <row r="620" spans="1:1" ht="13.2">
      <c r="A620" s="420"/>
    </row>
    <row r="621" spans="1:1" ht="13.2">
      <c r="A621" s="420"/>
    </row>
    <row r="622" spans="1:1" ht="13.2">
      <c r="A622" s="420"/>
    </row>
    <row r="623" spans="1:1" ht="13.2">
      <c r="A623" s="420"/>
    </row>
    <row r="624" spans="1:1" ht="13.2">
      <c r="A624" s="420"/>
    </row>
    <row r="625" spans="1:1" ht="13.2">
      <c r="A625" s="420"/>
    </row>
    <row r="626" spans="1:1" ht="13.2">
      <c r="A626" s="420"/>
    </row>
    <row r="627" spans="1:1" ht="13.2">
      <c r="A627" s="420"/>
    </row>
    <row r="628" spans="1:1" ht="13.2">
      <c r="A628" s="420"/>
    </row>
    <row r="629" spans="1:1" ht="13.2">
      <c r="A629" s="420"/>
    </row>
    <row r="630" spans="1:1" ht="13.2">
      <c r="A630" s="420"/>
    </row>
    <row r="631" spans="1:1" ht="13.2">
      <c r="A631" s="420"/>
    </row>
    <row r="632" spans="1:1" ht="13.2">
      <c r="A632" s="420"/>
    </row>
    <row r="633" spans="1:1" ht="13.2">
      <c r="A633" s="420"/>
    </row>
    <row r="634" spans="1:1" ht="13.2">
      <c r="A634" s="420"/>
    </row>
    <row r="635" spans="1:1" ht="13.2">
      <c r="A635" s="420"/>
    </row>
    <row r="636" spans="1:1" ht="13.2">
      <c r="A636" s="420"/>
    </row>
    <row r="637" spans="1:1" ht="13.2">
      <c r="A637" s="420"/>
    </row>
    <row r="638" spans="1:1" ht="13.2">
      <c r="A638" s="420"/>
    </row>
    <row r="639" spans="1:1" ht="13.2">
      <c r="A639" s="420"/>
    </row>
    <row r="640" spans="1:1" ht="13.2">
      <c r="A640" s="420"/>
    </row>
    <row r="641" spans="1:1" ht="13.2">
      <c r="A641" s="420"/>
    </row>
    <row r="642" spans="1:1" ht="13.2">
      <c r="A642" s="420"/>
    </row>
    <row r="643" spans="1:1" ht="13.2">
      <c r="A643" s="420"/>
    </row>
    <row r="644" spans="1:1" ht="13.2">
      <c r="A644" s="420"/>
    </row>
    <row r="645" spans="1:1" ht="13.2">
      <c r="A645" s="420"/>
    </row>
    <row r="646" spans="1:1" ht="13.2">
      <c r="A646" s="420"/>
    </row>
    <row r="647" spans="1:1" ht="13.2">
      <c r="A647" s="420"/>
    </row>
    <row r="648" spans="1:1" ht="13.2">
      <c r="A648" s="420"/>
    </row>
    <row r="649" spans="1:1" ht="13.2">
      <c r="A649" s="420"/>
    </row>
    <row r="650" spans="1:1" ht="13.2">
      <c r="A650" s="420"/>
    </row>
    <row r="651" spans="1:1" ht="13.2">
      <c r="A651" s="420"/>
    </row>
    <row r="652" spans="1:1" ht="13.2">
      <c r="A652" s="420"/>
    </row>
    <row r="653" spans="1:1" ht="13.2">
      <c r="A653" s="420"/>
    </row>
    <row r="654" spans="1:1" ht="13.2">
      <c r="A654" s="420"/>
    </row>
    <row r="655" spans="1:1" ht="13.2">
      <c r="A655" s="420"/>
    </row>
    <row r="656" spans="1:1" ht="13.2">
      <c r="A656" s="420"/>
    </row>
    <row r="657" spans="1:1" ht="13.2">
      <c r="A657" s="420"/>
    </row>
    <row r="658" spans="1:1" ht="13.2">
      <c r="A658" s="420"/>
    </row>
    <row r="659" spans="1:1" ht="13.2">
      <c r="A659" s="420"/>
    </row>
    <row r="660" spans="1:1" ht="13.2">
      <c r="A660" s="420"/>
    </row>
    <row r="661" spans="1:1" ht="13.2">
      <c r="A661" s="420"/>
    </row>
    <row r="662" spans="1:1" ht="13.2">
      <c r="A662" s="420"/>
    </row>
    <row r="663" spans="1:1" ht="13.2">
      <c r="A663" s="420"/>
    </row>
    <row r="664" spans="1:1" ht="13.2">
      <c r="A664" s="420"/>
    </row>
    <row r="665" spans="1:1" ht="13.2">
      <c r="A665" s="420"/>
    </row>
    <row r="666" spans="1:1" ht="13.2">
      <c r="A666" s="420"/>
    </row>
    <row r="667" spans="1:1" ht="13.2">
      <c r="A667" s="420"/>
    </row>
    <row r="668" spans="1:1" ht="13.2">
      <c r="A668" s="420"/>
    </row>
    <row r="669" spans="1:1" ht="13.2">
      <c r="A669" s="420"/>
    </row>
    <row r="670" spans="1:1" ht="13.2">
      <c r="A670" s="420"/>
    </row>
    <row r="671" spans="1:1" ht="13.2">
      <c r="A671" s="420"/>
    </row>
    <row r="672" spans="1:1" ht="13.2">
      <c r="A672" s="420"/>
    </row>
    <row r="673" spans="1:1" ht="13.2">
      <c r="A673" s="420"/>
    </row>
    <row r="674" spans="1:1" ht="13.2">
      <c r="A674" s="420"/>
    </row>
    <row r="675" spans="1:1" ht="13.2">
      <c r="A675" s="420"/>
    </row>
    <row r="676" spans="1:1" ht="13.2">
      <c r="A676" s="420"/>
    </row>
    <row r="677" spans="1:1" ht="13.2">
      <c r="A677" s="420"/>
    </row>
    <row r="678" spans="1:1" ht="13.2">
      <c r="A678" s="420"/>
    </row>
    <row r="679" spans="1:1" ht="13.2">
      <c r="A679" s="420"/>
    </row>
    <row r="680" spans="1:1" ht="13.2">
      <c r="A680" s="420"/>
    </row>
    <row r="681" spans="1:1" ht="13.2">
      <c r="A681" s="420"/>
    </row>
    <row r="682" spans="1:1" ht="13.2">
      <c r="A682" s="420"/>
    </row>
    <row r="683" spans="1:1" ht="13.2">
      <c r="A683" s="420"/>
    </row>
    <row r="684" spans="1:1" ht="13.2">
      <c r="A684" s="420"/>
    </row>
    <row r="685" spans="1:1" ht="13.2">
      <c r="A685" s="420"/>
    </row>
    <row r="686" spans="1:1" ht="13.2">
      <c r="A686" s="420"/>
    </row>
    <row r="687" spans="1:1" ht="13.2">
      <c r="A687" s="420"/>
    </row>
    <row r="688" spans="1:1" ht="13.2">
      <c r="A688" s="420"/>
    </row>
    <row r="689" spans="1:1" ht="13.2">
      <c r="A689" s="420"/>
    </row>
    <row r="690" spans="1:1" ht="13.2">
      <c r="A690" s="420"/>
    </row>
    <row r="691" spans="1:1" ht="13.2">
      <c r="A691" s="420"/>
    </row>
    <row r="692" spans="1:1" ht="13.2">
      <c r="A692" s="420"/>
    </row>
    <row r="693" spans="1:1" ht="13.2">
      <c r="A693" s="420"/>
    </row>
    <row r="694" spans="1:1" ht="13.2">
      <c r="A694" s="420"/>
    </row>
    <row r="695" spans="1:1" ht="13.2">
      <c r="A695" s="420"/>
    </row>
    <row r="696" spans="1:1" ht="13.2">
      <c r="A696" s="420"/>
    </row>
    <row r="697" spans="1:1" ht="13.2">
      <c r="A697" s="420"/>
    </row>
    <row r="698" spans="1:1" ht="13.2">
      <c r="A698" s="420"/>
    </row>
    <row r="699" spans="1:1" ht="13.2">
      <c r="A699" s="420"/>
    </row>
    <row r="700" spans="1:1" ht="13.2">
      <c r="A700" s="420"/>
    </row>
    <row r="701" spans="1:1" ht="13.2">
      <c r="A701" s="420"/>
    </row>
    <row r="702" spans="1:1" ht="13.2">
      <c r="A702" s="420"/>
    </row>
    <row r="703" spans="1:1" ht="13.2">
      <c r="A703" s="420"/>
    </row>
    <row r="704" spans="1:1" ht="13.2">
      <c r="A704" s="420"/>
    </row>
    <row r="705" spans="1:1" ht="13.2">
      <c r="A705" s="420"/>
    </row>
    <row r="706" spans="1:1" ht="13.2">
      <c r="A706" s="420"/>
    </row>
    <row r="707" spans="1:1" ht="13.2">
      <c r="A707" s="420"/>
    </row>
    <row r="708" spans="1:1" ht="13.2">
      <c r="A708" s="420"/>
    </row>
    <row r="709" spans="1:1" ht="13.2">
      <c r="A709" s="420"/>
    </row>
    <row r="710" spans="1:1" ht="13.2">
      <c r="A710" s="420"/>
    </row>
    <row r="711" spans="1:1" ht="13.2">
      <c r="A711" s="420"/>
    </row>
    <row r="712" spans="1:1" ht="13.2">
      <c r="A712" s="420"/>
    </row>
    <row r="713" spans="1:1" ht="13.2">
      <c r="A713" s="420"/>
    </row>
    <row r="714" spans="1:1" ht="13.2">
      <c r="A714" s="420"/>
    </row>
    <row r="715" spans="1:1" ht="13.2">
      <c r="A715" s="420"/>
    </row>
    <row r="716" spans="1:1" ht="13.2">
      <c r="A716" s="420"/>
    </row>
    <row r="717" spans="1:1" ht="13.2">
      <c r="A717" s="420"/>
    </row>
    <row r="718" spans="1:1" ht="13.2">
      <c r="A718" s="420"/>
    </row>
    <row r="719" spans="1:1" ht="13.2">
      <c r="A719" s="420"/>
    </row>
    <row r="720" spans="1:1" ht="13.2">
      <c r="A720" s="420"/>
    </row>
    <row r="721" spans="1:1" ht="13.2">
      <c r="A721" s="420"/>
    </row>
    <row r="722" spans="1:1" ht="13.2">
      <c r="A722" s="420"/>
    </row>
    <row r="723" spans="1:1" ht="13.2">
      <c r="A723" s="420"/>
    </row>
    <row r="724" spans="1:1" ht="13.2">
      <c r="A724" s="420"/>
    </row>
    <row r="725" spans="1:1" ht="13.2">
      <c r="A725" s="420"/>
    </row>
    <row r="726" spans="1:1" ht="13.2">
      <c r="A726" s="420"/>
    </row>
    <row r="727" spans="1:1" ht="13.2">
      <c r="A727" s="420"/>
    </row>
    <row r="728" spans="1:1" ht="13.2">
      <c r="A728" s="420"/>
    </row>
    <row r="729" spans="1:1" ht="13.2">
      <c r="A729" s="420"/>
    </row>
    <row r="730" spans="1:1" ht="13.2">
      <c r="A730" s="420"/>
    </row>
    <row r="731" spans="1:1" ht="13.2">
      <c r="A731" s="420"/>
    </row>
    <row r="732" spans="1:1" ht="13.2">
      <c r="A732" s="420"/>
    </row>
    <row r="733" spans="1:1" ht="13.2">
      <c r="A733" s="420"/>
    </row>
    <row r="734" spans="1:1" ht="13.2">
      <c r="A734" s="420"/>
    </row>
    <row r="735" spans="1:1" ht="13.2">
      <c r="A735" s="420"/>
    </row>
    <row r="736" spans="1:1" ht="13.2">
      <c r="A736" s="420"/>
    </row>
    <row r="737" spans="1:1" ht="13.2">
      <c r="A737" s="420"/>
    </row>
    <row r="738" spans="1:1" ht="13.2">
      <c r="A738" s="420"/>
    </row>
    <row r="739" spans="1:1" ht="13.2">
      <c r="A739" s="420"/>
    </row>
    <row r="740" spans="1:1" ht="13.2">
      <c r="A740" s="420"/>
    </row>
    <row r="741" spans="1:1" ht="13.2">
      <c r="A741" s="420"/>
    </row>
    <row r="742" spans="1:1" ht="13.2">
      <c r="A742" s="420"/>
    </row>
    <row r="743" spans="1:1" ht="13.2">
      <c r="A743" s="420"/>
    </row>
    <row r="744" spans="1:1" ht="13.2">
      <c r="A744" s="420"/>
    </row>
    <row r="745" spans="1:1" ht="13.2">
      <c r="A745" s="420"/>
    </row>
    <row r="746" spans="1:1" ht="13.2">
      <c r="A746" s="420"/>
    </row>
    <row r="747" spans="1:1" ht="13.2">
      <c r="A747" s="420"/>
    </row>
    <row r="748" spans="1:1" ht="13.2">
      <c r="A748" s="420"/>
    </row>
    <row r="749" spans="1:1" ht="13.2">
      <c r="A749" s="420"/>
    </row>
    <row r="750" spans="1:1" ht="13.2">
      <c r="A750" s="420"/>
    </row>
    <row r="751" spans="1:1" ht="13.2">
      <c r="A751" s="420"/>
    </row>
    <row r="752" spans="1:1" ht="13.2">
      <c r="A752" s="420"/>
    </row>
    <row r="753" spans="1:1" ht="13.2">
      <c r="A753" s="420"/>
    </row>
    <row r="754" spans="1:1" ht="13.2">
      <c r="A754" s="420"/>
    </row>
    <row r="755" spans="1:1" ht="13.2">
      <c r="A755" s="420"/>
    </row>
    <row r="756" spans="1:1" ht="13.2">
      <c r="A756" s="420"/>
    </row>
    <row r="757" spans="1:1" ht="13.2">
      <c r="A757" s="420"/>
    </row>
    <row r="758" spans="1:1" ht="13.2">
      <c r="A758" s="420"/>
    </row>
    <row r="759" spans="1:1" ht="13.2">
      <c r="A759" s="420"/>
    </row>
    <row r="760" spans="1:1" ht="13.2">
      <c r="A760" s="420"/>
    </row>
    <row r="761" spans="1:1" ht="13.2">
      <c r="A761" s="420"/>
    </row>
    <row r="762" spans="1:1" ht="13.2">
      <c r="A762" s="420"/>
    </row>
    <row r="763" spans="1:1" ht="13.2">
      <c r="A763" s="420"/>
    </row>
    <row r="764" spans="1:1" ht="13.2">
      <c r="A764" s="420"/>
    </row>
    <row r="765" spans="1:1" ht="13.2">
      <c r="A765" s="420"/>
    </row>
    <row r="766" spans="1:1" ht="13.2">
      <c r="A766" s="420"/>
    </row>
    <row r="767" spans="1:1" ht="13.2">
      <c r="A767" s="420"/>
    </row>
    <row r="768" spans="1:1" ht="13.2">
      <c r="A768" s="420"/>
    </row>
    <row r="769" spans="1:1" ht="13.2">
      <c r="A769" s="420"/>
    </row>
    <row r="770" spans="1:1" ht="13.2">
      <c r="A770" s="420"/>
    </row>
    <row r="771" spans="1:1" ht="13.2">
      <c r="A771" s="420"/>
    </row>
    <row r="772" spans="1:1" ht="13.2">
      <c r="A772" s="420"/>
    </row>
    <row r="773" spans="1:1" ht="13.2">
      <c r="A773" s="420"/>
    </row>
    <row r="774" spans="1:1" ht="13.2">
      <c r="A774" s="420"/>
    </row>
    <row r="775" spans="1:1" ht="13.2">
      <c r="A775" s="420"/>
    </row>
    <row r="776" spans="1:1" ht="13.2">
      <c r="A776" s="420"/>
    </row>
    <row r="777" spans="1:1" ht="13.2">
      <c r="A777" s="420"/>
    </row>
    <row r="778" spans="1:1" ht="13.2">
      <c r="A778" s="420"/>
    </row>
    <row r="779" spans="1:1" ht="13.2">
      <c r="A779" s="420"/>
    </row>
    <row r="780" spans="1:1" ht="13.2">
      <c r="A780" s="420"/>
    </row>
    <row r="781" spans="1:1" ht="13.2">
      <c r="A781" s="420"/>
    </row>
    <row r="782" spans="1:1" ht="13.2">
      <c r="A782" s="420"/>
    </row>
    <row r="783" spans="1:1" ht="13.2">
      <c r="A783" s="420"/>
    </row>
    <row r="784" spans="1:1" ht="13.2">
      <c r="A784" s="420"/>
    </row>
    <row r="785" spans="1:1" ht="13.2">
      <c r="A785" s="420"/>
    </row>
    <row r="786" spans="1:1" ht="13.2">
      <c r="A786" s="420"/>
    </row>
    <row r="787" spans="1:1" ht="13.2">
      <c r="A787" s="420"/>
    </row>
    <row r="788" spans="1:1" ht="13.2">
      <c r="A788" s="420"/>
    </row>
    <row r="789" spans="1:1" ht="13.2">
      <c r="A789" s="420"/>
    </row>
    <row r="790" spans="1:1" ht="13.2">
      <c r="A790" s="420"/>
    </row>
    <row r="791" spans="1:1" ht="13.2">
      <c r="A791" s="420"/>
    </row>
    <row r="792" spans="1:1" ht="13.2">
      <c r="A792" s="420"/>
    </row>
    <row r="793" spans="1:1" ht="13.2">
      <c r="A793" s="420"/>
    </row>
    <row r="794" spans="1:1" ht="13.2">
      <c r="A794" s="420"/>
    </row>
    <row r="795" spans="1:1" ht="13.2">
      <c r="A795" s="420"/>
    </row>
    <row r="796" spans="1:1" ht="13.2">
      <c r="A796" s="420"/>
    </row>
    <row r="797" spans="1:1" ht="13.2">
      <c r="A797" s="420"/>
    </row>
    <row r="798" spans="1:1" ht="13.2">
      <c r="A798" s="420"/>
    </row>
    <row r="799" spans="1:1" ht="13.2">
      <c r="A799" s="420"/>
    </row>
    <row r="800" spans="1:1" ht="13.2">
      <c r="A800" s="420"/>
    </row>
    <row r="801" spans="1:1" ht="13.2">
      <c r="A801" s="420"/>
    </row>
    <row r="802" spans="1:1" ht="13.2">
      <c r="A802" s="420"/>
    </row>
    <row r="803" spans="1:1" ht="13.2">
      <c r="A803" s="420"/>
    </row>
    <row r="804" spans="1:1" ht="13.2">
      <c r="A804" s="420"/>
    </row>
    <row r="805" spans="1:1" ht="13.2">
      <c r="A805" s="420"/>
    </row>
    <row r="806" spans="1:1" ht="13.2">
      <c r="A806" s="420"/>
    </row>
    <row r="807" spans="1:1" ht="13.2">
      <c r="A807" s="420"/>
    </row>
    <row r="808" spans="1:1" ht="13.2">
      <c r="A808" s="420"/>
    </row>
    <row r="809" spans="1:1" ht="13.2">
      <c r="A809" s="420"/>
    </row>
    <row r="810" spans="1:1" ht="13.2">
      <c r="A810" s="420"/>
    </row>
    <row r="811" spans="1:1" ht="13.2">
      <c r="A811" s="420"/>
    </row>
    <row r="812" spans="1:1" ht="13.2">
      <c r="A812" s="420"/>
    </row>
    <row r="813" spans="1:1" ht="13.2">
      <c r="A813" s="420"/>
    </row>
    <row r="814" spans="1:1" ht="13.2">
      <c r="A814" s="420"/>
    </row>
    <row r="815" spans="1:1" ht="13.2">
      <c r="A815" s="420"/>
    </row>
    <row r="816" spans="1:1" ht="13.2">
      <c r="A816" s="420"/>
    </row>
    <row r="817" spans="1:1" ht="13.2">
      <c r="A817" s="420"/>
    </row>
    <row r="818" spans="1:1" ht="13.2">
      <c r="A818" s="420"/>
    </row>
    <row r="819" spans="1:1" ht="13.2">
      <c r="A819" s="420"/>
    </row>
    <row r="820" spans="1:1" ht="13.2">
      <c r="A820" s="420"/>
    </row>
    <row r="821" spans="1:1" ht="13.2">
      <c r="A821" s="420"/>
    </row>
    <row r="822" spans="1:1" ht="13.2">
      <c r="A822" s="420"/>
    </row>
    <row r="823" spans="1:1" ht="13.2">
      <c r="A823" s="420"/>
    </row>
    <row r="824" spans="1:1" ht="13.2">
      <c r="A824" s="420"/>
    </row>
    <row r="825" spans="1:1" ht="13.2">
      <c r="A825" s="420"/>
    </row>
    <row r="826" spans="1:1" ht="13.2">
      <c r="A826" s="420"/>
    </row>
    <row r="827" spans="1:1" ht="13.2">
      <c r="A827" s="420"/>
    </row>
    <row r="828" spans="1:1" ht="13.2">
      <c r="A828" s="420"/>
    </row>
    <row r="829" spans="1:1" ht="13.2">
      <c r="A829" s="420"/>
    </row>
    <row r="830" spans="1:1" ht="13.2">
      <c r="A830" s="420"/>
    </row>
    <row r="831" spans="1:1" ht="13.2">
      <c r="A831" s="420"/>
    </row>
    <row r="832" spans="1:1" ht="13.2">
      <c r="A832" s="420"/>
    </row>
    <row r="833" spans="1:1" ht="13.2">
      <c r="A833" s="420"/>
    </row>
    <row r="834" spans="1:1" ht="13.2">
      <c r="A834" s="420"/>
    </row>
    <row r="835" spans="1:1" ht="13.2">
      <c r="A835" s="420"/>
    </row>
    <row r="836" spans="1:1" ht="13.2">
      <c r="A836" s="420"/>
    </row>
    <row r="837" spans="1:1" ht="13.2">
      <c r="A837" s="420"/>
    </row>
    <row r="838" spans="1:1" ht="13.2">
      <c r="A838" s="420"/>
    </row>
    <row r="839" spans="1:1" ht="13.2">
      <c r="A839" s="420"/>
    </row>
    <row r="840" spans="1:1" ht="13.2">
      <c r="A840" s="420"/>
    </row>
    <row r="841" spans="1:1" ht="13.2">
      <c r="A841" s="420"/>
    </row>
    <row r="842" spans="1:1" ht="13.2">
      <c r="A842" s="420"/>
    </row>
    <row r="843" spans="1:1" ht="13.2">
      <c r="A843" s="420"/>
    </row>
    <row r="844" spans="1:1" ht="13.2">
      <c r="A844" s="420"/>
    </row>
    <row r="845" spans="1:1" ht="13.2">
      <c r="A845" s="420"/>
    </row>
    <row r="846" spans="1:1" ht="13.2">
      <c r="A846" s="420"/>
    </row>
    <row r="847" spans="1:1" ht="13.2">
      <c r="A847" s="420"/>
    </row>
    <row r="848" spans="1:1" ht="13.2">
      <c r="A848" s="420"/>
    </row>
    <row r="849" spans="1:1" ht="13.2">
      <c r="A849" s="420"/>
    </row>
    <row r="850" spans="1:1" ht="13.2">
      <c r="A850" s="420"/>
    </row>
    <row r="851" spans="1:1" ht="13.2">
      <c r="A851" s="420"/>
    </row>
    <row r="852" spans="1:1" ht="13.2">
      <c r="A852" s="420"/>
    </row>
    <row r="853" spans="1:1" ht="13.2">
      <c r="A853" s="420"/>
    </row>
    <row r="854" spans="1:1" ht="13.2">
      <c r="A854" s="420"/>
    </row>
    <row r="855" spans="1:1" ht="13.2">
      <c r="A855" s="420"/>
    </row>
    <row r="856" spans="1:1" ht="13.2">
      <c r="A856" s="420"/>
    </row>
    <row r="857" spans="1:1" ht="13.2">
      <c r="A857" s="420"/>
    </row>
    <row r="858" spans="1:1" ht="13.2">
      <c r="A858" s="420"/>
    </row>
    <row r="859" spans="1:1" ht="13.2">
      <c r="A859" s="420"/>
    </row>
    <row r="860" spans="1:1" ht="13.2">
      <c r="A860" s="420"/>
    </row>
    <row r="861" spans="1:1" ht="13.2">
      <c r="A861" s="420"/>
    </row>
    <row r="862" spans="1:1" ht="13.2">
      <c r="A862" s="420"/>
    </row>
    <row r="863" spans="1:1" ht="13.2">
      <c r="A863" s="420"/>
    </row>
    <row r="864" spans="1:1" ht="13.2">
      <c r="A864" s="420"/>
    </row>
    <row r="865" spans="1:1" ht="13.2">
      <c r="A865" s="420"/>
    </row>
    <row r="866" spans="1:1" ht="13.2">
      <c r="A866" s="420"/>
    </row>
    <row r="867" spans="1:1" ht="13.2">
      <c r="A867" s="420"/>
    </row>
    <row r="868" spans="1:1" ht="13.2">
      <c r="A868" s="420"/>
    </row>
    <row r="869" spans="1:1" ht="13.2">
      <c r="A869" s="420"/>
    </row>
    <row r="870" spans="1:1" ht="13.2">
      <c r="A870" s="420"/>
    </row>
    <row r="871" spans="1:1" ht="13.2">
      <c r="A871" s="420"/>
    </row>
    <row r="872" spans="1:1" ht="13.2">
      <c r="A872" s="420"/>
    </row>
    <row r="873" spans="1:1" ht="13.2">
      <c r="A873" s="420"/>
    </row>
    <row r="874" spans="1:1" ht="13.2">
      <c r="A874" s="420"/>
    </row>
    <row r="875" spans="1:1" ht="13.2">
      <c r="A875" s="420"/>
    </row>
    <row r="876" spans="1:1" ht="13.2">
      <c r="A876" s="420"/>
    </row>
    <row r="877" spans="1:1" ht="13.2">
      <c r="A877" s="420"/>
    </row>
    <row r="878" spans="1:1" ht="13.2">
      <c r="A878" s="420"/>
    </row>
    <row r="879" spans="1:1" ht="13.2">
      <c r="A879" s="420"/>
    </row>
    <row r="880" spans="1:1" ht="13.2">
      <c r="A880" s="420"/>
    </row>
    <row r="881" spans="1:1" ht="13.2">
      <c r="A881" s="420"/>
    </row>
    <row r="882" spans="1:1" ht="13.2">
      <c r="A882" s="420"/>
    </row>
    <row r="883" spans="1:1" ht="13.2">
      <c r="A883" s="420"/>
    </row>
    <row r="884" spans="1:1" ht="13.2">
      <c r="A884" s="420"/>
    </row>
    <row r="885" spans="1:1" ht="13.2">
      <c r="A885" s="420"/>
    </row>
    <row r="886" spans="1:1" ht="13.2">
      <c r="A886" s="420"/>
    </row>
    <row r="887" spans="1:1" ht="13.2">
      <c r="A887" s="420"/>
    </row>
    <row r="888" spans="1:1" ht="13.2">
      <c r="A888" s="420"/>
    </row>
    <row r="889" spans="1:1" ht="13.2">
      <c r="A889" s="420"/>
    </row>
    <row r="890" spans="1:1" ht="13.2">
      <c r="A890" s="420"/>
    </row>
    <row r="891" spans="1:1" ht="13.2">
      <c r="A891" s="420"/>
    </row>
    <row r="892" spans="1:1" ht="13.2">
      <c r="A892" s="420"/>
    </row>
    <row r="893" spans="1:1" ht="13.2">
      <c r="A893" s="420"/>
    </row>
    <row r="894" spans="1:1" ht="13.2">
      <c r="A894" s="420"/>
    </row>
    <row r="895" spans="1:1" ht="13.2">
      <c r="A895" s="420"/>
    </row>
    <row r="896" spans="1:1" ht="13.2">
      <c r="A896" s="420"/>
    </row>
    <row r="897" spans="1:1" ht="13.2">
      <c r="A897" s="420"/>
    </row>
    <row r="898" spans="1:1" ht="13.2">
      <c r="A898" s="420"/>
    </row>
    <row r="899" spans="1:1" ht="13.2">
      <c r="A899" s="420"/>
    </row>
    <row r="900" spans="1:1" ht="13.2">
      <c r="A900" s="420"/>
    </row>
    <row r="901" spans="1:1" ht="13.2">
      <c r="A901" s="420"/>
    </row>
    <row r="902" spans="1:1" ht="13.2">
      <c r="A902" s="420"/>
    </row>
    <row r="903" spans="1:1" ht="13.2">
      <c r="A903" s="420"/>
    </row>
    <row r="904" spans="1:1" ht="13.2">
      <c r="A904" s="420"/>
    </row>
    <row r="905" spans="1:1" ht="13.2">
      <c r="A905" s="420"/>
    </row>
    <row r="906" spans="1:1" ht="13.2">
      <c r="A906" s="420"/>
    </row>
    <row r="907" spans="1:1" ht="13.2">
      <c r="A907" s="420"/>
    </row>
    <row r="908" spans="1:1" ht="13.2">
      <c r="A908" s="420"/>
    </row>
    <row r="909" spans="1:1" ht="13.2">
      <c r="A909" s="420"/>
    </row>
    <row r="910" spans="1:1" ht="13.2">
      <c r="A910" s="420"/>
    </row>
    <row r="911" spans="1:1" ht="13.2">
      <c r="A911" s="420"/>
    </row>
    <row r="912" spans="1:1" ht="13.2">
      <c r="A912" s="420"/>
    </row>
    <row r="913" spans="1:1" ht="13.2">
      <c r="A913" s="420"/>
    </row>
    <row r="914" spans="1:1" ht="13.2">
      <c r="A914" s="420"/>
    </row>
    <row r="915" spans="1:1" ht="13.2">
      <c r="A915" s="420"/>
    </row>
    <row r="916" spans="1:1" ht="13.2">
      <c r="A916" s="420"/>
    </row>
    <row r="917" spans="1:1" ht="13.2">
      <c r="A917" s="420"/>
    </row>
    <row r="918" spans="1:1" ht="13.2">
      <c r="A918" s="420"/>
    </row>
    <row r="919" spans="1:1" ht="13.2">
      <c r="A919" s="420"/>
    </row>
    <row r="920" spans="1:1" ht="13.2">
      <c r="A920" s="420"/>
    </row>
    <row r="921" spans="1:1" ht="13.2">
      <c r="A921" s="420"/>
    </row>
    <row r="922" spans="1:1" ht="13.2">
      <c r="A922" s="420"/>
    </row>
    <row r="923" spans="1:1" ht="13.2">
      <c r="A923" s="420"/>
    </row>
    <row r="924" spans="1:1" ht="13.2">
      <c r="A924" s="420"/>
    </row>
    <row r="925" spans="1:1" ht="13.2">
      <c r="A925" s="420"/>
    </row>
    <row r="926" spans="1:1" ht="13.2">
      <c r="A926" s="420"/>
    </row>
    <row r="927" spans="1:1" ht="13.2">
      <c r="A927" s="420"/>
    </row>
    <row r="928" spans="1:1" ht="13.2">
      <c r="A928" s="420"/>
    </row>
    <row r="929" spans="1:1" ht="13.2">
      <c r="A929" s="420"/>
    </row>
    <row r="930" spans="1:1" ht="13.2">
      <c r="A930" s="420"/>
    </row>
    <row r="931" spans="1:1" ht="13.2">
      <c r="A931" s="420"/>
    </row>
    <row r="932" spans="1:1" ht="13.2">
      <c r="A932" s="420"/>
    </row>
    <row r="933" spans="1:1" ht="13.2">
      <c r="A933" s="420"/>
    </row>
    <row r="934" spans="1:1" ht="13.2">
      <c r="A934" s="420"/>
    </row>
    <row r="935" spans="1:1" ht="13.2">
      <c r="A935" s="420"/>
    </row>
    <row r="936" spans="1:1" ht="13.2">
      <c r="A936" s="420"/>
    </row>
    <row r="937" spans="1:1" ht="13.2">
      <c r="A937" s="420"/>
    </row>
    <row r="938" spans="1:1" ht="13.2">
      <c r="A938" s="420"/>
    </row>
    <row r="939" spans="1:1" ht="13.2">
      <c r="A939" s="420"/>
    </row>
    <row r="940" spans="1:1" ht="13.2">
      <c r="A940" s="420"/>
    </row>
    <row r="941" spans="1:1" ht="13.2">
      <c r="A941" s="420"/>
    </row>
    <row r="942" spans="1:1" ht="13.2">
      <c r="A942" s="420"/>
    </row>
    <row r="943" spans="1:1" ht="13.2">
      <c r="A943" s="420"/>
    </row>
    <row r="944" spans="1:1" ht="13.2">
      <c r="A944" s="420"/>
    </row>
    <row r="945" spans="1:1" ht="13.2">
      <c r="A945" s="420"/>
    </row>
    <row r="946" spans="1:1" ht="13.2">
      <c r="A946" s="420"/>
    </row>
    <row r="947" spans="1:1" ht="13.2">
      <c r="A947" s="420"/>
    </row>
    <row r="948" spans="1:1" ht="13.2">
      <c r="A948" s="420"/>
    </row>
    <row r="949" spans="1:1" ht="13.2">
      <c r="A949" s="420"/>
    </row>
    <row r="950" spans="1:1" ht="13.2">
      <c r="A950" s="420"/>
    </row>
    <row r="951" spans="1:1" ht="13.2">
      <c r="A951" s="420"/>
    </row>
    <row r="952" spans="1:1" ht="13.2">
      <c r="A952" s="420"/>
    </row>
    <row r="953" spans="1:1" ht="13.2">
      <c r="A953" s="420"/>
    </row>
    <row r="954" spans="1:1" ht="13.2">
      <c r="A954" s="420"/>
    </row>
    <row r="955" spans="1:1" ht="13.2">
      <c r="A955" s="420"/>
    </row>
    <row r="956" spans="1:1" ht="13.2">
      <c r="A956" s="420"/>
    </row>
    <row r="957" spans="1:1" ht="13.2">
      <c r="A957" s="420"/>
    </row>
    <row r="958" spans="1:1" ht="13.2">
      <c r="A958" s="420"/>
    </row>
    <row r="959" spans="1:1" ht="13.2">
      <c r="A959" s="420"/>
    </row>
    <row r="960" spans="1:1" ht="13.2">
      <c r="A960" s="420"/>
    </row>
    <row r="961" spans="1:1" ht="13.2">
      <c r="A961" s="420"/>
    </row>
    <row r="962" spans="1:1" ht="13.2">
      <c r="A962" s="420"/>
    </row>
    <row r="963" spans="1:1" ht="13.2">
      <c r="A963" s="420"/>
    </row>
    <row r="964" spans="1:1" ht="13.2">
      <c r="A964" s="420"/>
    </row>
    <row r="965" spans="1:1" ht="13.2">
      <c r="A965" s="420"/>
    </row>
    <row r="966" spans="1:1" ht="13.2">
      <c r="A966" s="420"/>
    </row>
    <row r="967" spans="1:1" ht="13.2">
      <c r="A967" s="420"/>
    </row>
    <row r="968" spans="1:1" ht="13.2">
      <c r="A968" s="420"/>
    </row>
    <row r="969" spans="1:1" ht="13.2">
      <c r="A969" s="420"/>
    </row>
    <row r="970" spans="1:1" ht="13.2">
      <c r="A970" s="420"/>
    </row>
    <row r="971" spans="1:1" ht="13.2">
      <c r="A971" s="420"/>
    </row>
    <row r="972" spans="1:1" ht="13.2">
      <c r="A972" s="420"/>
    </row>
    <row r="973" spans="1:1" ht="13.2">
      <c r="A973" s="420"/>
    </row>
    <row r="974" spans="1:1" ht="13.2">
      <c r="A974" s="420"/>
    </row>
    <row r="975" spans="1:1" ht="13.2">
      <c r="A975" s="420"/>
    </row>
    <row r="976" spans="1:1" ht="13.2">
      <c r="A976" s="420"/>
    </row>
    <row r="977" spans="1:1" ht="13.2">
      <c r="A977" s="420"/>
    </row>
    <row r="978" spans="1:1" ht="13.2">
      <c r="A978" s="420"/>
    </row>
    <row r="979" spans="1:1" ht="13.2">
      <c r="A979" s="420"/>
    </row>
    <row r="980" spans="1:1" ht="13.2">
      <c r="A980" s="420"/>
    </row>
    <row r="981" spans="1:1" ht="13.2">
      <c r="A981" s="420"/>
    </row>
    <row r="982" spans="1:1" ht="13.2">
      <c r="A982" s="420"/>
    </row>
    <row r="983" spans="1:1" ht="13.2">
      <c r="A983" s="420"/>
    </row>
    <row r="984" spans="1:1" ht="13.2">
      <c r="A984" s="420"/>
    </row>
    <row r="985" spans="1:1" ht="13.2">
      <c r="A985" s="420"/>
    </row>
    <row r="986" spans="1:1" ht="13.2">
      <c r="A986" s="420"/>
    </row>
    <row r="987" spans="1:1" ht="13.2">
      <c r="A987" s="420"/>
    </row>
    <row r="988" spans="1:1" ht="13.2">
      <c r="A988" s="420"/>
    </row>
    <row r="989" spans="1:1" ht="13.2">
      <c r="A989" s="420"/>
    </row>
    <row r="990" spans="1:1" ht="13.2">
      <c r="A990" s="420"/>
    </row>
    <row r="991" spans="1:1" ht="13.2">
      <c r="A991" s="420"/>
    </row>
    <row r="992" spans="1:1" ht="13.2">
      <c r="A992" s="420"/>
    </row>
    <row r="993" spans="1:1" ht="13.2">
      <c r="A993" s="420"/>
    </row>
    <row r="994" spans="1:1" ht="13.2">
      <c r="A994" s="420"/>
    </row>
    <row r="995" spans="1:1" ht="13.2">
      <c r="A995" s="420"/>
    </row>
    <row r="996" spans="1:1" ht="13.2">
      <c r="A996" s="420"/>
    </row>
    <row r="997" spans="1:1" ht="13.2">
      <c r="A997" s="420"/>
    </row>
    <row r="998" spans="1:1" ht="13.2">
      <c r="A998" s="420"/>
    </row>
    <row r="999" spans="1:1" ht="13.2">
      <c r="A999" s="420"/>
    </row>
    <row r="1000" spans="1:1" ht="13.2">
      <c r="A1000" s="420"/>
    </row>
    <row r="1001" spans="1:1" ht="13.2">
      <c r="A1001" s="420"/>
    </row>
    <row r="1002" spans="1:1" ht="13.2">
      <c r="A1002" s="420"/>
    </row>
    <row r="1003" spans="1:1" ht="13.2">
      <c r="A1003" s="420"/>
    </row>
    <row r="1004" spans="1:1" ht="13.2">
      <c r="A1004" s="420"/>
    </row>
    <row r="1005" spans="1:1" ht="13.2">
      <c r="A1005" s="420"/>
    </row>
    <row r="1006" spans="1:1" ht="13.2">
      <c r="A1006" s="420"/>
    </row>
    <row r="1007" spans="1:1" ht="13.2">
      <c r="A1007" s="420"/>
    </row>
  </sheetData>
  <hyperlinks>
    <hyperlink ref="A1" r:id="rId1" xr:uid="{00000000-0004-0000-0D00-000000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>
    <tabColor rgb="FF92D050"/>
    <outlinePr summaryBelow="0" summaryRight="0"/>
  </sheetPr>
  <dimension ref="A1:O1005"/>
  <sheetViews>
    <sheetView topLeftCell="C1" workbookViewId="0">
      <pane ySplit="1" topLeftCell="A132" activePane="bottomLeft" state="frozen"/>
      <selection pane="bottomLeft" activeCell="L148" sqref="L148"/>
    </sheetView>
  </sheetViews>
  <sheetFormatPr defaultColWidth="12.6640625" defaultRowHeight="15" customHeight="1"/>
  <cols>
    <col min="1" max="1" width="21.88671875" customWidth="1"/>
    <col min="2" max="2" width="21.44140625" customWidth="1"/>
    <col min="3" max="3" width="33.109375" customWidth="1"/>
    <col min="4" max="5" width="11.109375" style="447" bestFit="1" customWidth="1"/>
    <col min="9" max="9" width="19.21875" customWidth="1"/>
  </cols>
  <sheetData>
    <row r="1" spans="1:10" ht="42" customHeight="1">
      <c r="A1" s="441" t="s">
        <v>1</v>
      </c>
      <c r="B1" s="442" t="s">
        <v>1876</v>
      </c>
      <c r="C1" s="442" t="s">
        <v>2</v>
      </c>
      <c r="D1" s="446" t="s">
        <v>161</v>
      </c>
      <c r="E1" s="446" t="s">
        <v>654</v>
      </c>
      <c r="F1" s="443" t="s">
        <v>1877</v>
      </c>
      <c r="G1" s="444" t="s">
        <v>1878</v>
      </c>
      <c r="H1" s="444" t="s">
        <v>1879</v>
      </c>
      <c r="I1" s="445" t="s">
        <v>1880</v>
      </c>
      <c r="J1" s="756" t="s">
        <v>2290</v>
      </c>
    </row>
    <row r="2" spans="1:10" ht="13.8">
      <c r="A2" s="471" t="s">
        <v>1881</v>
      </c>
      <c r="B2" s="448" t="s">
        <v>1882</v>
      </c>
      <c r="C2" s="448" t="s">
        <v>1883</v>
      </c>
      <c r="D2" s="464">
        <v>300</v>
      </c>
      <c r="E2" s="465">
        <v>341</v>
      </c>
      <c r="F2" s="453">
        <v>44266</v>
      </c>
      <c r="G2" s="448"/>
      <c r="H2" s="448"/>
      <c r="I2" s="449">
        <v>1.18</v>
      </c>
      <c r="J2" s="460"/>
    </row>
    <row r="3" spans="1:10" ht="13.8">
      <c r="A3" s="473" t="s">
        <v>189</v>
      </c>
      <c r="B3" s="450" t="s">
        <v>1884</v>
      </c>
      <c r="C3" s="450" t="s">
        <v>1885</v>
      </c>
      <c r="D3" s="462">
        <v>5430</v>
      </c>
      <c r="E3" s="463">
        <v>6465.5</v>
      </c>
      <c r="F3" s="451">
        <v>44609</v>
      </c>
      <c r="G3" s="450"/>
      <c r="H3" s="450"/>
      <c r="I3" s="452"/>
      <c r="J3" s="460"/>
    </row>
    <row r="4" spans="1:10" ht="13.8">
      <c r="A4" s="472" t="s">
        <v>203</v>
      </c>
      <c r="B4" s="448" t="s">
        <v>228</v>
      </c>
      <c r="C4" s="448" t="s">
        <v>1886</v>
      </c>
      <c r="D4" s="464">
        <v>450</v>
      </c>
      <c r="E4" s="465">
        <v>531</v>
      </c>
      <c r="F4" s="453">
        <v>44636</v>
      </c>
      <c r="G4" s="448"/>
      <c r="H4" s="448"/>
      <c r="I4" s="449"/>
      <c r="J4" s="460"/>
    </row>
    <row r="5" spans="1:10" ht="13.8">
      <c r="A5" s="473" t="s">
        <v>199</v>
      </c>
      <c r="B5" s="450" t="s">
        <v>1887</v>
      </c>
      <c r="C5" s="450" t="s">
        <v>1888</v>
      </c>
      <c r="D5" s="462">
        <v>650</v>
      </c>
      <c r="E5" s="463">
        <v>743.09</v>
      </c>
      <c r="F5" s="451">
        <v>44622</v>
      </c>
      <c r="G5" s="450"/>
      <c r="H5" s="450"/>
      <c r="I5" s="452"/>
      <c r="J5" s="460"/>
    </row>
    <row r="6" spans="1:10" ht="13.8">
      <c r="A6" s="472" t="s">
        <v>218</v>
      </c>
      <c r="B6" s="448" t="s">
        <v>219</v>
      </c>
      <c r="C6" s="448" t="s">
        <v>1889</v>
      </c>
      <c r="D6" s="464">
        <v>750</v>
      </c>
      <c r="E6" s="465">
        <v>894</v>
      </c>
      <c r="F6" s="453">
        <v>44656</v>
      </c>
      <c r="G6" s="448"/>
      <c r="H6" s="448"/>
      <c r="I6" s="452"/>
      <c r="J6" s="460"/>
    </row>
    <row r="7" spans="1:10" ht="13.8">
      <c r="A7" s="473" t="s">
        <v>1890</v>
      </c>
      <c r="B7" s="450" t="s">
        <v>1884</v>
      </c>
      <c r="C7" s="450" t="s">
        <v>1891</v>
      </c>
      <c r="D7" s="462">
        <v>5329</v>
      </c>
      <c r="E7" s="463">
        <v>6430.67</v>
      </c>
      <c r="F7" s="451">
        <v>44630</v>
      </c>
      <c r="G7" s="450"/>
      <c r="H7" s="450"/>
      <c r="I7" s="452"/>
      <c r="J7" s="460"/>
    </row>
    <row r="8" spans="1:10" ht="13.8">
      <c r="A8" s="472" t="s">
        <v>1892</v>
      </c>
      <c r="B8" s="448" t="s">
        <v>1884</v>
      </c>
      <c r="C8" s="448" t="s">
        <v>529</v>
      </c>
      <c r="D8" s="464">
        <v>473</v>
      </c>
      <c r="E8" s="465">
        <v>558</v>
      </c>
      <c r="F8" s="453">
        <v>44630</v>
      </c>
      <c r="G8" s="448"/>
      <c r="H8" s="448"/>
      <c r="I8" s="452"/>
      <c r="J8" s="460"/>
    </row>
    <row r="9" spans="1:10" ht="13.8">
      <c r="A9" s="473" t="s">
        <v>213</v>
      </c>
      <c r="B9" s="450" t="s">
        <v>1884</v>
      </c>
      <c r="C9" s="450" t="s">
        <v>1893</v>
      </c>
      <c r="D9" s="462">
        <v>6493.51</v>
      </c>
      <c r="E9" s="463">
        <v>7709.74</v>
      </c>
      <c r="F9" s="451">
        <v>44655</v>
      </c>
      <c r="G9" s="450"/>
      <c r="H9" s="450"/>
      <c r="I9" s="452"/>
      <c r="J9" s="460"/>
    </row>
    <row r="10" spans="1:10" ht="13.8">
      <c r="A10" s="472" t="s">
        <v>227</v>
      </c>
      <c r="B10" s="448" t="s">
        <v>228</v>
      </c>
      <c r="C10" s="448" t="s">
        <v>1894</v>
      </c>
      <c r="D10" s="464">
        <v>900</v>
      </c>
      <c r="E10" s="465">
        <v>1040.1600000000001</v>
      </c>
      <c r="F10" s="453">
        <v>44687</v>
      </c>
      <c r="G10" s="448"/>
      <c r="H10" s="448"/>
      <c r="I10" s="449"/>
      <c r="J10" s="460"/>
    </row>
    <row r="11" spans="1:10" ht="13.8">
      <c r="A11" s="473" t="s">
        <v>229</v>
      </c>
      <c r="B11" s="450" t="s">
        <v>1884</v>
      </c>
      <c r="C11" s="450" t="s">
        <v>1895</v>
      </c>
      <c r="D11" s="462">
        <v>5548</v>
      </c>
      <c r="E11" s="463">
        <v>6564.4</v>
      </c>
      <c r="F11" s="451">
        <v>44687</v>
      </c>
      <c r="G11" s="450"/>
      <c r="H11" s="450"/>
      <c r="I11" s="452"/>
      <c r="J11" s="460"/>
    </row>
    <row r="12" spans="1:10" ht="13.8">
      <c r="A12" s="472" t="s">
        <v>248</v>
      </c>
      <c r="B12" s="448" t="s">
        <v>228</v>
      </c>
      <c r="C12" s="448" t="s">
        <v>1886</v>
      </c>
      <c r="D12" s="464">
        <v>1000</v>
      </c>
      <c r="E12" s="465">
        <v>1156.21</v>
      </c>
      <c r="F12" s="453">
        <v>44720</v>
      </c>
      <c r="G12" s="448"/>
      <c r="H12" s="448"/>
      <c r="I12" s="449"/>
      <c r="J12" s="460"/>
    </row>
    <row r="13" spans="1:10" ht="13.8">
      <c r="A13" s="473" t="s">
        <v>242</v>
      </c>
      <c r="B13" s="450" t="s">
        <v>1884</v>
      </c>
      <c r="C13" s="450" t="s">
        <v>1896</v>
      </c>
      <c r="D13" s="462">
        <v>4000</v>
      </c>
      <c r="E13" s="463">
        <v>4662.8</v>
      </c>
      <c r="F13" s="454">
        <v>44721</v>
      </c>
      <c r="G13" s="450"/>
      <c r="H13" s="450"/>
      <c r="I13" s="452"/>
      <c r="J13" s="460"/>
    </row>
    <row r="14" spans="1:10" ht="13.8">
      <c r="A14" s="472" t="s">
        <v>251</v>
      </c>
      <c r="B14" s="448" t="s">
        <v>1884</v>
      </c>
      <c r="C14" s="448" t="s">
        <v>1897</v>
      </c>
      <c r="D14" s="464">
        <v>184.48</v>
      </c>
      <c r="E14" s="465">
        <v>214.51</v>
      </c>
      <c r="F14" s="453">
        <v>44734</v>
      </c>
      <c r="G14" s="448"/>
      <c r="H14" s="448"/>
      <c r="I14" s="449"/>
      <c r="J14" s="460"/>
    </row>
    <row r="15" spans="1:10" ht="13.8">
      <c r="A15" s="745" t="s">
        <v>1898</v>
      </c>
      <c r="B15" s="746" t="s">
        <v>547</v>
      </c>
      <c r="C15" s="746" t="s">
        <v>1899</v>
      </c>
      <c r="D15" s="747">
        <v>400</v>
      </c>
      <c r="E15" s="748"/>
      <c r="F15" s="749" t="s">
        <v>2286</v>
      </c>
      <c r="G15" s="746"/>
      <c r="H15" s="746"/>
      <c r="I15" s="750"/>
      <c r="J15" s="460"/>
    </row>
    <row r="16" spans="1:10" ht="13.8">
      <c r="A16" s="472" t="s">
        <v>1898</v>
      </c>
      <c r="B16" s="448" t="s">
        <v>1900</v>
      </c>
      <c r="C16" s="448" t="s">
        <v>1901</v>
      </c>
      <c r="D16" s="464">
        <v>4000</v>
      </c>
      <c r="E16" s="465">
        <v>4720</v>
      </c>
      <c r="F16" s="455" t="s">
        <v>1902</v>
      </c>
      <c r="G16" s="448"/>
      <c r="H16" s="448"/>
      <c r="I16" s="449"/>
      <c r="J16" s="460"/>
    </row>
    <row r="17" spans="1:10" ht="13.8">
      <c r="A17" s="473" t="s">
        <v>257</v>
      </c>
      <c r="B17" s="450" t="s">
        <v>1884</v>
      </c>
      <c r="C17" s="450" t="s">
        <v>1903</v>
      </c>
      <c r="D17" s="462">
        <v>5281</v>
      </c>
      <c r="E17" s="463">
        <v>6249</v>
      </c>
      <c r="F17" s="454">
        <v>44756</v>
      </c>
      <c r="G17" s="450"/>
      <c r="H17" s="450"/>
      <c r="I17" s="452"/>
      <c r="J17" s="460"/>
    </row>
    <row r="18" spans="1:10" ht="13.8">
      <c r="A18" s="472" t="s">
        <v>1904</v>
      </c>
      <c r="B18" s="448" t="s">
        <v>1884</v>
      </c>
      <c r="C18" s="448" t="s">
        <v>1905</v>
      </c>
      <c r="D18" s="464">
        <v>5241.5</v>
      </c>
      <c r="E18" s="465">
        <v>6246.3</v>
      </c>
      <c r="F18" s="453">
        <v>44776</v>
      </c>
      <c r="G18" s="448"/>
      <c r="H18" s="448"/>
      <c r="I18" s="449"/>
      <c r="J18" s="460"/>
    </row>
    <row r="19" spans="1:10" ht="13.8">
      <c r="A19" s="745" t="s">
        <v>1906</v>
      </c>
      <c r="B19" s="746" t="s">
        <v>1884</v>
      </c>
      <c r="C19" s="746" t="s">
        <v>1907</v>
      </c>
      <c r="D19" s="747">
        <v>265.85000000000002</v>
      </c>
      <c r="E19" s="748"/>
      <c r="F19" s="751" t="s">
        <v>2287</v>
      </c>
      <c r="G19" s="746"/>
      <c r="H19" s="746"/>
      <c r="I19" s="750"/>
      <c r="J19" s="460"/>
    </row>
    <row r="20" spans="1:10" ht="13.8">
      <c r="A20" s="472" t="s">
        <v>1908</v>
      </c>
      <c r="B20" s="448" t="s">
        <v>433</v>
      </c>
      <c r="C20" s="448" t="s">
        <v>1909</v>
      </c>
      <c r="D20" s="464">
        <v>600</v>
      </c>
      <c r="E20" s="465">
        <v>702.88</v>
      </c>
      <c r="F20" s="453">
        <v>44789</v>
      </c>
      <c r="G20" s="448"/>
      <c r="H20" s="448"/>
      <c r="I20" s="449"/>
      <c r="J20" s="460"/>
    </row>
    <row r="21" spans="1:10" ht="13.8">
      <c r="A21" s="473" t="s">
        <v>323</v>
      </c>
      <c r="B21" s="450" t="s">
        <v>1910</v>
      </c>
      <c r="C21" s="450" t="s">
        <v>1911</v>
      </c>
      <c r="D21" s="462">
        <v>500</v>
      </c>
      <c r="E21" s="463">
        <v>545.35</v>
      </c>
      <c r="F21" s="451">
        <v>44896</v>
      </c>
      <c r="G21" s="450"/>
      <c r="H21" s="450"/>
      <c r="I21" s="452"/>
      <c r="J21" s="460"/>
    </row>
    <row r="22" spans="1:10" ht="13.8">
      <c r="A22" s="472" t="s">
        <v>1912</v>
      </c>
      <c r="B22" s="448" t="s">
        <v>1884</v>
      </c>
      <c r="C22" s="448" t="s">
        <v>1913</v>
      </c>
      <c r="D22" s="464">
        <v>5200</v>
      </c>
      <c r="E22" s="465">
        <v>6321.8</v>
      </c>
      <c r="F22" s="453">
        <v>44806</v>
      </c>
      <c r="G22" s="448"/>
      <c r="H22" s="448"/>
      <c r="I22" s="449"/>
      <c r="J22" s="460"/>
    </row>
    <row r="23" spans="1:10" ht="13.8">
      <c r="A23" s="473" t="s">
        <v>295</v>
      </c>
      <c r="B23" s="450" t="s">
        <v>1884</v>
      </c>
      <c r="C23" s="450" t="s">
        <v>1914</v>
      </c>
      <c r="D23" s="462">
        <v>5200</v>
      </c>
      <c r="E23" s="463">
        <v>5908.24</v>
      </c>
      <c r="F23" s="451">
        <v>44838</v>
      </c>
      <c r="G23" s="450"/>
      <c r="H23" s="450"/>
      <c r="I23" s="452"/>
      <c r="J23" s="460"/>
    </row>
    <row r="24" spans="1:10" ht="13.8">
      <c r="A24" s="472" t="s">
        <v>299</v>
      </c>
      <c r="B24" s="448" t="s">
        <v>1884</v>
      </c>
      <c r="C24" s="448" t="s">
        <v>1915</v>
      </c>
      <c r="D24" s="464">
        <v>185.84</v>
      </c>
      <c r="E24" s="465">
        <v>211.13</v>
      </c>
      <c r="F24" s="453">
        <v>44847</v>
      </c>
      <c r="G24" s="448"/>
      <c r="H24" s="448"/>
      <c r="I24" s="449"/>
      <c r="J24" s="460"/>
    </row>
    <row r="25" spans="1:10" ht="13.8">
      <c r="A25" s="473" t="s">
        <v>1916</v>
      </c>
      <c r="B25" s="450" t="s">
        <v>1884</v>
      </c>
      <c r="C25" s="450" t="s">
        <v>1917</v>
      </c>
      <c r="D25" s="462">
        <v>5200</v>
      </c>
      <c r="E25" s="463"/>
      <c r="F25" s="451">
        <v>44869</v>
      </c>
      <c r="G25" s="450"/>
      <c r="H25" s="450"/>
      <c r="I25" s="452"/>
      <c r="J25" s="460"/>
    </row>
    <row r="26" spans="1:10" ht="13.8">
      <c r="A26" s="472" t="s">
        <v>1918</v>
      </c>
      <c r="B26" s="448" t="s">
        <v>204</v>
      </c>
      <c r="C26" s="448" t="s">
        <v>1919</v>
      </c>
      <c r="D26" s="464">
        <v>650</v>
      </c>
      <c r="E26" s="465"/>
      <c r="F26" s="453">
        <v>44897</v>
      </c>
      <c r="G26" s="448"/>
      <c r="H26" s="448"/>
      <c r="I26" s="449"/>
      <c r="J26" s="460"/>
    </row>
    <row r="27" spans="1:10" ht="13.8">
      <c r="A27" s="473" t="s">
        <v>1920</v>
      </c>
      <c r="B27" s="450" t="s">
        <v>204</v>
      </c>
      <c r="C27" s="450" t="s">
        <v>1921</v>
      </c>
      <c r="D27" s="462">
        <v>1200</v>
      </c>
      <c r="E27" s="463"/>
      <c r="F27" s="451">
        <v>44897</v>
      </c>
      <c r="G27" s="450"/>
      <c r="H27" s="450"/>
      <c r="I27" s="452"/>
      <c r="J27" s="460"/>
    </row>
    <row r="28" spans="1:10" ht="13.8">
      <c r="A28" s="472" t="s">
        <v>1922</v>
      </c>
      <c r="B28" s="448" t="s">
        <v>1923</v>
      </c>
      <c r="C28" s="448">
        <v>45618</v>
      </c>
      <c r="D28" s="464">
        <v>5200</v>
      </c>
      <c r="E28" s="465"/>
      <c r="F28" s="453">
        <v>44897</v>
      </c>
      <c r="G28" s="448"/>
      <c r="H28" s="448"/>
      <c r="I28" s="449"/>
      <c r="J28" s="460"/>
    </row>
    <row r="29" spans="1:10" ht="13.8">
      <c r="A29" s="473" t="s">
        <v>1924</v>
      </c>
      <c r="B29" s="450" t="s">
        <v>204</v>
      </c>
      <c r="C29" s="450" t="s">
        <v>1925</v>
      </c>
      <c r="D29" s="462">
        <v>650</v>
      </c>
      <c r="E29" s="463"/>
      <c r="F29" s="451">
        <v>44917</v>
      </c>
      <c r="G29" s="450"/>
      <c r="H29" s="450"/>
      <c r="I29" s="452"/>
      <c r="J29" s="460"/>
    </row>
    <row r="30" spans="1:10" ht="13.8">
      <c r="A30" s="472" t="s">
        <v>1926</v>
      </c>
      <c r="B30" s="448" t="s">
        <v>1884</v>
      </c>
      <c r="C30" s="448" t="s">
        <v>1927</v>
      </c>
      <c r="D30" s="464">
        <v>105.16</v>
      </c>
      <c r="E30" s="465"/>
      <c r="F30" s="453">
        <v>44932</v>
      </c>
      <c r="G30" s="448"/>
      <c r="H30" s="448"/>
      <c r="I30" s="449"/>
      <c r="J30" s="460"/>
    </row>
    <row r="31" spans="1:10" ht="13.8">
      <c r="A31" s="473" t="s">
        <v>1928</v>
      </c>
      <c r="B31" s="450" t="s">
        <v>1923</v>
      </c>
      <c r="C31" s="450" t="s">
        <v>1929</v>
      </c>
      <c r="D31" s="462">
        <v>5200</v>
      </c>
      <c r="E31" s="463"/>
      <c r="F31" s="451">
        <v>44932</v>
      </c>
      <c r="G31" s="450"/>
      <c r="H31" s="450"/>
      <c r="I31" s="452"/>
      <c r="J31" s="460"/>
    </row>
    <row r="32" spans="1:10" ht="13.8">
      <c r="A32" s="472" t="s">
        <v>357</v>
      </c>
      <c r="B32" s="448" t="s">
        <v>219</v>
      </c>
      <c r="C32" s="448" t="s">
        <v>1930</v>
      </c>
      <c r="D32" s="464">
        <v>500</v>
      </c>
      <c r="E32" s="465"/>
      <c r="F32" s="453">
        <v>44964</v>
      </c>
      <c r="G32" s="448"/>
      <c r="H32" s="448"/>
      <c r="I32" s="449"/>
      <c r="J32" s="460"/>
    </row>
    <row r="33" spans="1:10" ht="13.8">
      <c r="A33" s="473" t="s">
        <v>1931</v>
      </c>
      <c r="B33" s="450" t="s">
        <v>547</v>
      </c>
      <c r="C33" s="450" t="s">
        <v>1932</v>
      </c>
      <c r="D33" s="462">
        <v>7242</v>
      </c>
      <c r="E33" s="463"/>
      <c r="F33" s="451">
        <v>45184</v>
      </c>
      <c r="G33" s="450"/>
      <c r="H33" s="450"/>
      <c r="I33" s="452"/>
      <c r="J33" s="460"/>
    </row>
    <row r="34" spans="1:10" ht="13.8">
      <c r="A34" s="472" t="s">
        <v>1933</v>
      </c>
      <c r="B34" s="448" t="s">
        <v>547</v>
      </c>
      <c r="C34" s="448" t="s">
        <v>1934</v>
      </c>
      <c r="D34" s="464">
        <v>21984</v>
      </c>
      <c r="E34" s="465"/>
      <c r="F34" s="453">
        <v>45184</v>
      </c>
      <c r="G34" s="448"/>
      <c r="H34" s="448"/>
      <c r="I34" s="449"/>
      <c r="J34" s="460"/>
    </row>
    <row r="35" spans="1:10" ht="13.8">
      <c r="A35" s="473" t="s">
        <v>1935</v>
      </c>
      <c r="B35" s="450" t="s">
        <v>547</v>
      </c>
      <c r="C35" s="450" t="s">
        <v>1936</v>
      </c>
      <c r="D35" s="462">
        <v>26718</v>
      </c>
      <c r="E35" s="463"/>
      <c r="F35" s="451">
        <v>45184</v>
      </c>
      <c r="G35" s="450"/>
      <c r="H35" s="450"/>
      <c r="I35" s="452"/>
      <c r="J35" s="460"/>
    </row>
    <row r="36" spans="1:10" ht="13.8">
      <c r="A36" s="472" t="s">
        <v>375</v>
      </c>
      <c r="B36" s="448" t="s">
        <v>219</v>
      </c>
      <c r="C36" s="448" t="s">
        <v>1937</v>
      </c>
      <c r="D36" s="464">
        <v>2370</v>
      </c>
      <c r="E36" s="465"/>
      <c r="F36" s="453">
        <v>44998</v>
      </c>
      <c r="G36" s="448"/>
      <c r="H36" s="448"/>
      <c r="I36" s="449"/>
      <c r="J36" s="460"/>
    </row>
    <row r="37" spans="1:10" ht="13.8">
      <c r="A37" s="473" t="s">
        <v>358</v>
      </c>
      <c r="B37" s="450" t="s">
        <v>219</v>
      </c>
      <c r="C37" s="450" t="s">
        <v>1938</v>
      </c>
      <c r="D37" s="462">
        <v>3000</v>
      </c>
      <c r="E37" s="463"/>
      <c r="F37" s="451">
        <v>44964</v>
      </c>
      <c r="G37" s="450"/>
      <c r="H37" s="450"/>
      <c r="I37" s="452"/>
      <c r="J37" s="460"/>
    </row>
    <row r="38" spans="1:10" ht="13.8">
      <c r="A38" s="472" t="s">
        <v>355</v>
      </c>
      <c r="B38" s="448" t="s">
        <v>1923</v>
      </c>
      <c r="C38" s="448" t="s">
        <v>1939</v>
      </c>
      <c r="D38" s="464">
        <v>5200</v>
      </c>
      <c r="E38" s="465"/>
      <c r="F38" s="453">
        <v>44964</v>
      </c>
      <c r="G38" s="448"/>
      <c r="H38" s="448"/>
      <c r="I38" s="449"/>
      <c r="J38" s="460"/>
    </row>
    <row r="39" spans="1:10" ht="13.8">
      <c r="A39" s="473" t="s">
        <v>376</v>
      </c>
      <c r="B39" s="450" t="s">
        <v>219</v>
      </c>
      <c r="C39" s="450" t="s">
        <v>1940</v>
      </c>
      <c r="D39" s="462">
        <v>700</v>
      </c>
      <c r="E39" s="463"/>
      <c r="F39" s="451">
        <v>44998</v>
      </c>
      <c r="G39" s="450"/>
      <c r="H39" s="450"/>
      <c r="I39" s="452"/>
      <c r="J39" s="460"/>
    </row>
    <row r="40" spans="1:10" ht="13.8">
      <c r="A40" s="472" t="s">
        <v>386</v>
      </c>
      <c r="B40" s="448" t="s">
        <v>219</v>
      </c>
      <c r="C40" s="448" t="s">
        <v>1941</v>
      </c>
      <c r="D40" s="464">
        <v>790</v>
      </c>
      <c r="E40" s="465"/>
      <c r="F40" s="453">
        <v>45021</v>
      </c>
      <c r="G40" s="450"/>
      <c r="H40" s="450"/>
      <c r="I40" s="449"/>
      <c r="J40" s="460"/>
    </row>
    <row r="41" spans="1:10" ht="13.8">
      <c r="A41" s="473" t="s">
        <v>372</v>
      </c>
      <c r="B41" s="450" t="s">
        <v>1923</v>
      </c>
      <c r="C41" s="450" t="s">
        <v>1942</v>
      </c>
      <c r="D41" s="462">
        <v>5200</v>
      </c>
      <c r="E41" s="463"/>
      <c r="F41" s="451">
        <v>44994</v>
      </c>
      <c r="G41" s="450"/>
      <c r="H41" s="450"/>
      <c r="I41" s="452"/>
      <c r="J41" s="460"/>
    </row>
    <row r="42" spans="1:10" ht="13.8">
      <c r="A42" s="472" t="s">
        <v>368</v>
      </c>
      <c r="B42" s="448" t="s">
        <v>433</v>
      </c>
      <c r="C42" s="448" t="s">
        <v>1943</v>
      </c>
      <c r="D42" s="464">
        <v>1750</v>
      </c>
      <c r="E42" s="465"/>
      <c r="F42" s="453">
        <v>44989</v>
      </c>
      <c r="G42" s="450"/>
      <c r="H42" s="450"/>
      <c r="I42" s="449"/>
      <c r="J42" s="460"/>
    </row>
    <row r="43" spans="1:10" ht="13.8">
      <c r="A43" s="473" t="s">
        <v>382</v>
      </c>
      <c r="B43" s="450" t="s">
        <v>1923</v>
      </c>
      <c r="C43" s="450" t="s">
        <v>1944</v>
      </c>
      <c r="D43" s="462">
        <v>5200</v>
      </c>
      <c r="E43" s="463"/>
      <c r="F43" s="451">
        <v>45014</v>
      </c>
      <c r="G43" s="450"/>
      <c r="H43" s="450"/>
      <c r="I43" s="452"/>
      <c r="J43" s="460"/>
    </row>
    <row r="44" spans="1:10" ht="13.8">
      <c r="A44" s="472" t="s">
        <v>414</v>
      </c>
      <c r="B44" s="448" t="s">
        <v>219</v>
      </c>
      <c r="C44" s="448" t="s">
        <v>1945</v>
      </c>
      <c r="D44" s="464">
        <v>665</v>
      </c>
      <c r="E44" s="465"/>
      <c r="F44" s="453">
        <v>45068</v>
      </c>
      <c r="G44" s="448"/>
      <c r="H44" s="448"/>
      <c r="I44" s="449"/>
      <c r="J44" s="460"/>
    </row>
    <row r="45" spans="1:10" ht="13.8">
      <c r="A45" s="473" t="s">
        <v>391</v>
      </c>
      <c r="B45" s="450" t="s">
        <v>1923</v>
      </c>
      <c r="C45" s="450">
        <v>45017</v>
      </c>
      <c r="D45" s="462">
        <v>5200</v>
      </c>
      <c r="E45" s="463"/>
      <c r="F45" s="451">
        <v>45042</v>
      </c>
      <c r="G45" s="450"/>
      <c r="H45" s="450"/>
      <c r="I45" s="452"/>
      <c r="J45" s="460"/>
    </row>
    <row r="46" spans="1:10" ht="13.8">
      <c r="A46" s="472" t="s">
        <v>415</v>
      </c>
      <c r="B46" s="448" t="s">
        <v>219</v>
      </c>
      <c r="C46" s="448" t="s">
        <v>1946</v>
      </c>
      <c r="D46" s="464">
        <v>540</v>
      </c>
      <c r="E46" s="465"/>
      <c r="F46" s="453">
        <v>45068</v>
      </c>
      <c r="G46" s="448"/>
      <c r="H46" s="448"/>
      <c r="I46" s="449"/>
      <c r="J46" s="460"/>
    </row>
    <row r="47" spans="1:10" ht="13.8">
      <c r="A47" s="473" t="s">
        <v>388</v>
      </c>
      <c r="B47" s="450" t="s">
        <v>389</v>
      </c>
      <c r="C47" s="450" t="s">
        <v>1947</v>
      </c>
      <c r="D47" s="462"/>
      <c r="E47" s="463">
        <v>2500</v>
      </c>
      <c r="F47" s="451">
        <v>45043</v>
      </c>
      <c r="G47" s="450"/>
      <c r="H47" s="450"/>
      <c r="I47" s="452"/>
      <c r="J47" s="460"/>
    </row>
    <row r="48" spans="1:10" ht="13.8">
      <c r="A48" s="472" t="s">
        <v>407</v>
      </c>
      <c r="B48" s="448" t="s">
        <v>1948</v>
      </c>
      <c r="C48" s="448" t="s">
        <v>1949</v>
      </c>
      <c r="D48" s="464"/>
      <c r="E48" s="465">
        <v>375</v>
      </c>
      <c r="F48" s="453">
        <v>45097</v>
      </c>
      <c r="G48" s="448"/>
      <c r="H48" s="448"/>
      <c r="I48" s="449"/>
      <c r="J48" s="460"/>
    </row>
    <row r="49" spans="1:10" ht="13.8">
      <c r="A49" s="473" t="s">
        <v>412</v>
      </c>
      <c r="B49" s="450" t="s">
        <v>1887</v>
      </c>
      <c r="C49" s="450" t="s">
        <v>1950</v>
      </c>
      <c r="D49" s="462">
        <v>1950</v>
      </c>
      <c r="E49" s="463"/>
      <c r="F49" s="451">
        <v>45099</v>
      </c>
      <c r="G49" s="450"/>
      <c r="H49" s="450"/>
      <c r="I49" s="452"/>
      <c r="J49" s="460"/>
    </row>
    <row r="50" spans="1:10" ht="13.8">
      <c r="A50" s="472" t="s">
        <v>405</v>
      </c>
      <c r="B50" s="448" t="s">
        <v>1951</v>
      </c>
      <c r="C50" s="448" t="s">
        <v>1952</v>
      </c>
      <c r="D50" s="464">
        <v>3100</v>
      </c>
      <c r="E50" s="465"/>
      <c r="F50" s="453">
        <v>45089</v>
      </c>
      <c r="G50" s="448"/>
      <c r="H50" s="448"/>
      <c r="I50" s="449"/>
      <c r="J50" s="460"/>
    </row>
    <row r="51" spans="1:10" ht="13.8">
      <c r="A51" s="473" t="s">
        <v>409</v>
      </c>
      <c r="B51" s="450" t="s">
        <v>1953</v>
      </c>
      <c r="C51" s="450" t="s">
        <v>1952</v>
      </c>
      <c r="D51" s="462"/>
      <c r="E51" s="463">
        <v>2310</v>
      </c>
      <c r="F51" s="451">
        <v>45097</v>
      </c>
      <c r="G51" s="450"/>
      <c r="H51" s="450"/>
      <c r="I51" s="452"/>
      <c r="J51" s="460"/>
    </row>
    <row r="52" spans="1:10" ht="13.8">
      <c r="A52" s="472" t="s">
        <v>404</v>
      </c>
      <c r="B52" s="448" t="s">
        <v>219</v>
      </c>
      <c r="C52" s="448" t="s">
        <v>1954</v>
      </c>
      <c r="D52" s="464">
        <v>270</v>
      </c>
      <c r="E52" s="465"/>
      <c r="F52" s="453">
        <v>45086</v>
      </c>
      <c r="G52" s="448"/>
      <c r="H52" s="448"/>
      <c r="I52" s="449"/>
      <c r="J52" s="460"/>
    </row>
    <row r="53" spans="1:10" ht="13.8">
      <c r="A53" s="473" t="s">
        <v>432</v>
      </c>
      <c r="B53" s="450" t="s">
        <v>433</v>
      </c>
      <c r="C53" s="450" t="s">
        <v>1955</v>
      </c>
      <c r="D53" s="462">
        <v>1250</v>
      </c>
      <c r="E53" s="463"/>
      <c r="F53" s="451">
        <v>45134</v>
      </c>
      <c r="G53" s="450"/>
      <c r="H53" s="450"/>
      <c r="I53" s="452"/>
      <c r="J53" s="460"/>
    </row>
    <row r="54" spans="1:10" ht="13.8">
      <c r="A54" s="472" t="s">
        <v>1956</v>
      </c>
      <c r="B54" s="448" t="s">
        <v>1953</v>
      </c>
      <c r="C54" s="448" t="s">
        <v>1957</v>
      </c>
      <c r="D54" s="464"/>
      <c r="E54" s="465">
        <v>2410</v>
      </c>
      <c r="F54" s="453">
        <v>45138</v>
      </c>
      <c r="G54" s="448"/>
      <c r="H54" s="448"/>
      <c r="I54" s="449"/>
      <c r="J54" s="460"/>
    </row>
    <row r="55" spans="1:10" ht="13.8">
      <c r="A55" s="473" t="s">
        <v>423</v>
      </c>
      <c r="B55" s="450" t="s">
        <v>1951</v>
      </c>
      <c r="C55" s="450" t="s">
        <v>1957</v>
      </c>
      <c r="D55" s="462">
        <v>3100</v>
      </c>
      <c r="E55" s="463"/>
      <c r="F55" s="451">
        <v>45083</v>
      </c>
      <c r="G55" s="450"/>
      <c r="H55" s="450"/>
      <c r="I55" s="452"/>
      <c r="J55" s="460"/>
    </row>
    <row r="56" spans="1:10" ht="13.8">
      <c r="A56" s="472" t="s">
        <v>434</v>
      </c>
      <c r="B56" s="448" t="s">
        <v>1887</v>
      </c>
      <c r="C56" s="448" t="s">
        <v>1958</v>
      </c>
      <c r="D56" s="464">
        <v>760</v>
      </c>
      <c r="E56" s="465"/>
      <c r="F56" s="453">
        <v>45135</v>
      </c>
      <c r="G56" s="448"/>
      <c r="H56" s="448"/>
      <c r="I56" s="449"/>
      <c r="J56" s="460"/>
    </row>
    <row r="57" spans="1:10" ht="13.8">
      <c r="A57" s="473" t="s">
        <v>1959</v>
      </c>
      <c r="B57" s="450" t="s">
        <v>1960</v>
      </c>
      <c r="C57" s="450" t="s">
        <v>1961</v>
      </c>
      <c r="D57" s="462"/>
      <c r="E57" s="463">
        <v>2410</v>
      </c>
      <c r="F57" s="451">
        <v>45138</v>
      </c>
      <c r="G57" s="450"/>
      <c r="H57" s="450"/>
      <c r="I57" s="452"/>
      <c r="J57" s="460"/>
    </row>
    <row r="58" spans="1:10" ht="13.8">
      <c r="A58" s="472" t="s">
        <v>442</v>
      </c>
      <c r="B58" s="448" t="s">
        <v>1962</v>
      </c>
      <c r="C58" s="448" t="s">
        <v>1961</v>
      </c>
      <c r="D58" s="464">
        <v>3100</v>
      </c>
      <c r="E58" s="465"/>
      <c r="F58" s="453">
        <v>45142</v>
      </c>
      <c r="G58" s="448"/>
      <c r="H58" s="448"/>
      <c r="I58" s="449"/>
      <c r="J58" s="460"/>
    </row>
    <row r="59" spans="1:10" ht="13.8">
      <c r="A59" s="473" t="s">
        <v>1963</v>
      </c>
      <c r="B59" s="450" t="s">
        <v>1887</v>
      </c>
      <c r="C59" s="450" t="s">
        <v>1964</v>
      </c>
      <c r="D59" s="462">
        <v>760</v>
      </c>
      <c r="E59" s="463"/>
      <c r="F59" s="451">
        <v>45160</v>
      </c>
      <c r="G59" s="450"/>
      <c r="H59" s="450"/>
      <c r="I59" s="452"/>
      <c r="J59" s="460"/>
    </row>
    <row r="60" spans="1:10" ht="13.8">
      <c r="A60" s="472" t="s">
        <v>1965</v>
      </c>
      <c r="B60" s="448" t="s">
        <v>1887</v>
      </c>
      <c r="C60" s="448" t="s">
        <v>1966</v>
      </c>
      <c r="D60" s="464">
        <v>2640</v>
      </c>
      <c r="E60" s="465"/>
      <c r="F60" s="453">
        <v>45160</v>
      </c>
      <c r="G60" s="448"/>
      <c r="H60" s="448"/>
      <c r="I60" s="449"/>
      <c r="J60" s="460"/>
    </row>
    <row r="61" spans="1:10" ht="13.8">
      <c r="A61" s="473" t="s">
        <v>458</v>
      </c>
      <c r="B61" s="450" t="s">
        <v>1967</v>
      </c>
      <c r="C61" s="450" t="s">
        <v>1968</v>
      </c>
      <c r="D61" s="462"/>
      <c r="E61" s="463">
        <v>11835.14</v>
      </c>
      <c r="F61" s="451">
        <v>45184</v>
      </c>
      <c r="G61" s="450"/>
      <c r="H61" s="450"/>
      <c r="I61" s="452"/>
      <c r="J61" s="460"/>
    </row>
    <row r="62" spans="1:10" ht="13.8">
      <c r="A62" s="472" t="s">
        <v>456</v>
      </c>
      <c r="B62" s="448" t="s">
        <v>1953</v>
      </c>
      <c r="C62" s="456">
        <v>45139</v>
      </c>
      <c r="D62" s="464"/>
      <c r="E62" s="465">
        <v>1260</v>
      </c>
      <c r="F62" s="453">
        <v>45183</v>
      </c>
      <c r="G62" s="448"/>
      <c r="H62" s="448"/>
      <c r="I62" s="449"/>
      <c r="J62" s="460"/>
    </row>
    <row r="63" spans="1:10" ht="13.8">
      <c r="A63" s="473" t="s">
        <v>454</v>
      </c>
      <c r="B63" s="450" t="s">
        <v>1951</v>
      </c>
      <c r="C63" s="457">
        <v>45139</v>
      </c>
      <c r="D63" s="462">
        <v>1600</v>
      </c>
      <c r="E63" s="463"/>
      <c r="F63" s="451">
        <v>45212</v>
      </c>
      <c r="G63" s="450"/>
      <c r="H63" s="450"/>
      <c r="I63" s="452"/>
      <c r="J63" s="460"/>
    </row>
    <row r="64" spans="1:10" ht="13.8">
      <c r="A64" s="472" t="s">
        <v>1969</v>
      </c>
      <c r="B64" s="448" t="s">
        <v>1887</v>
      </c>
      <c r="C64" s="448" t="s">
        <v>1970</v>
      </c>
      <c r="D64" s="464">
        <v>1425</v>
      </c>
      <c r="E64" s="465"/>
      <c r="F64" s="453">
        <v>45219</v>
      </c>
      <c r="G64" s="448"/>
      <c r="H64" s="448"/>
      <c r="I64" s="449"/>
      <c r="J64" s="460"/>
    </row>
    <row r="65" spans="1:10" ht="13.8">
      <c r="A65" s="473" t="s">
        <v>1971</v>
      </c>
      <c r="B65" s="450" t="s">
        <v>1887</v>
      </c>
      <c r="C65" s="450" t="s">
        <v>1972</v>
      </c>
      <c r="D65" s="462">
        <v>950</v>
      </c>
      <c r="E65" s="463"/>
      <c r="F65" s="451">
        <v>45220</v>
      </c>
      <c r="G65" s="450"/>
      <c r="H65" s="450"/>
      <c r="I65" s="452"/>
      <c r="J65" s="460"/>
    </row>
    <row r="66" spans="1:10" ht="13.8">
      <c r="A66" s="472" t="s">
        <v>1973</v>
      </c>
      <c r="B66" s="448" t="s">
        <v>1887</v>
      </c>
      <c r="C66" s="448" t="s">
        <v>1974</v>
      </c>
      <c r="D66" s="464">
        <v>380</v>
      </c>
      <c r="E66" s="465"/>
      <c r="F66" s="453">
        <v>45224</v>
      </c>
      <c r="G66" s="448"/>
      <c r="H66" s="448"/>
      <c r="I66" s="449"/>
      <c r="J66" s="460"/>
    </row>
    <row r="67" spans="1:10" ht="13.8">
      <c r="A67" s="473" t="s">
        <v>1975</v>
      </c>
      <c r="B67" s="450" t="s">
        <v>1887</v>
      </c>
      <c r="C67" s="450" t="s">
        <v>1976</v>
      </c>
      <c r="D67" s="462">
        <v>1140</v>
      </c>
      <c r="E67" s="463"/>
      <c r="F67" s="451">
        <v>45224</v>
      </c>
      <c r="G67" s="450"/>
      <c r="H67" s="450"/>
      <c r="I67" s="452"/>
      <c r="J67" s="460"/>
    </row>
    <row r="68" spans="1:10" ht="13.8">
      <c r="A68" s="472" t="s">
        <v>467</v>
      </c>
      <c r="B68" s="448" t="s">
        <v>1951</v>
      </c>
      <c r="C68" s="458">
        <v>45170</v>
      </c>
      <c r="D68" s="464">
        <v>1600</v>
      </c>
      <c r="E68" s="465"/>
      <c r="F68" s="453">
        <v>45202</v>
      </c>
      <c r="G68" s="448"/>
      <c r="H68" s="448"/>
      <c r="I68" s="449"/>
      <c r="J68" s="460"/>
    </row>
    <row r="69" spans="1:10" ht="13.8">
      <c r="A69" s="473" t="s">
        <v>1977</v>
      </c>
      <c r="B69" s="450" t="s">
        <v>1953</v>
      </c>
      <c r="C69" s="459">
        <v>45170</v>
      </c>
      <c r="D69" s="462"/>
      <c r="E69" s="463">
        <v>1260</v>
      </c>
      <c r="F69" s="451">
        <v>45203</v>
      </c>
      <c r="G69" s="450"/>
      <c r="H69" s="450"/>
      <c r="I69" s="452"/>
      <c r="J69" s="460"/>
    </row>
    <row r="70" spans="1:10" ht="13.8">
      <c r="A70" s="472" t="s">
        <v>1978</v>
      </c>
      <c r="B70" s="448" t="s">
        <v>547</v>
      </c>
      <c r="C70" s="448" t="s">
        <v>1979</v>
      </c>
      <c r="D70" s="464">
        <v>6510</v>
      </c>
      <c r="E70" s="465"/>
      <c r="F70" s="453">
        <v>45240</v>
      </c>
      <c r="G70" s="448"/>
      <c r="H70" s="448"/>
      <c r="I70" s="449"/>
      <c r="J70" s="460"/>
    </row>
    <row r="71" spans="1:10" ht="13.8">
      <c r="A71" s="473" t="s">
        <v>1980</v>
      </c>
      <c r="B71" s="450" t="s">
        <v>547</v>
      </c>
      <c r="C71" s="450" t="s">
        <v>1981</v>
      </c>
      <c r="D71" s="462">
        <v>2940</v>
      </c>
      <c r="E71" s="463"/>
      <c r="F71" s="451">
        <v>45240</v>
      </c>
      <c r="G71" s="450"/>
      <c r="H71" s="450"/>
      <c r="I71" s="452"/>
      <c r="J71" s="460"/>
    </row>
    <row r="72" spans="1:10" ht="13.8">
      <c r="A72" s="472" t="s">
        <v>1982</v>
      </c>
      <c r="B72" s="448" t="s">
        <v>547</v>
      </c>
      <c r="C72" s="448" t="s">
        <v>1983</v>
      </c>
      <c r="D72" s="464">
        <v>2880</v>
      </c>
      <c r="E72" s="465"/>
      <c r="F72" s="453">
        <v>45240</v>
      </c>
      <c r="G72" s="448"/>
      <c r="H72" s="448"/>
      <c r="I72" s="449"/>
      <c r="J72" s="460"/>
    </row>
    <row r="73" spans="1:10" ht="13.8">
      <c r="A73" s="473" t="s">
        <v>488</v>
      </c>
      <c r="B73" s="450" t="s">
        <v>1887</v>
      </c>
      <c r="C73" s="450" t="s">
        <v>1984</v>
      </c>
      <c r="D73" s="462">
        <v>1840</v>
      </c>
      <c r="E73" s="463"/>
      <c r="F73" s="451">
        <v>45259</v>
      </c>
      <c r="G73" s="450"/>
      <c r="H73" s="450"/>
      <c r="I73" s="452"/>
      <c r="J73" s="460"/>
    </row>
    <row r="74" spans="1:10" ht="13.8">
      <c r="A74" s="472" t="s">
        <v>486</v>
      </c>
      <c r="B74" s="448" t="s">
        <v>1953</v>
      </c>
      <c r="C74" s="448" t="s">
        <v>1985</v>
      </c>
      <c r="D74" s="464"/>
      <c r="E74" s="465">
        <v>2615</v>
      </c>
      <c r="F74" s="453">
        <v>45233</v>
      </c>
      <c r="G74" s="448"/>
      <c r="H74" s="448"/>
      <c r="I74" s="449"/>
      <c r="J74" s="460"/>
    </row>
    <row r="75" spans="1:10" ht="13.8">
      <c r="A75" s="473" t="s">
        <v>495</v>
      </c>
      <c r="B75" s="450" t="s">
        <v>1951</v>
      </c>
      <c r="C75" s="450" t="s">
        <v>1985</v>
      </c>
      <c r="D75" s="462">
        <v>2350</v>
      </c>
      <c r="E75" s="463"/>
      <c r="F75" s="451">
        <v>45233</v>
      </c>
      <c r="G75" s="450"/>
      <c r="H75" s="450"/>
      <c r="I75" s="452"/>
      <c r="J75" s="460"/>
    </row>
    <row r="76" spans="1:10" ht="13.8">
      <c r="A76" s="472" t="s">
        <v>502</v>
      </c>
      <c r="B76" s="448" t="s">
        <v>1951</v>
      </c>
      <c r="C76" s="456">
        <v>45231</v>
      </c>
      <c r="D76" s="464">
        <v>2350</v>
      </c>
      <c r="E76" s="465"/>
      <c r="F76" s="453">
        <v>45281</v>
      </c>
      <c r="G76" s="448"/>
      <c r="H76" s="448"/>
      <c r="I76" s="449"/>
      <c r="J76" s="460"/>
    </row>
    <row r="77" spans="1:10" ht="13.8">
      <c r="A77" s="473" t="s">
        <v>500</v>
      </c>
      <c r="B77" s="450" t="s">
        <v>1953</v>
      </c>
      <c r="C77" s="457">
        <v>45231</v>
      </c>
      <c r="D77" s="462"/>
      <c r="E77" s="463">
        <v>2410</v>
      </c>
      <c r="F77" s="451">
        <v>45281</v>
      </c>
      <c r="G77" s="450"/>
      <c r="H77" s="450"/>
      <c r="I77" s="452"/>
      <c r="J77" s="460"/>
    </row>
    <row r="78" spans="1:10" ht="13.8">
      <c r="A78" s="472" t="s">
        <v>504</v>
      </c>
      <c r="B78" s="448" t="s">
        <v>1887</v>
      </c>
      <c r="C78" s="448" t="s">
        <v>1986</v>
      </c>
      <c r="D78" s="464">
        <v>1140</v>
      </c>
      <c r="E78" s="465"/>
      <c r="F78" s="453">
        <v>45282</v>
      </c>
      <c r="G78" s="448"/>
      <c r="H78" s="448"/>
      <c r="I78" s="449"/>
      <c r="J78" s="460"/>
    </row>
    <row r="79" spans="1:10" ht="13.8">
      <c r="A79" s="745" t="s">
        <v>1987</v>
      </c>
      <c r="B79" s="746" t="s">
        <v>547</v>
      </c>
      <c r="C79" s="746" t="s">
        <v>1988</v>
      </c>
      <c r="D79" s="747">
        <v>5000</v>
      </c>
      <c r="E79" s="748"/>
      <c r="F79" s="749" t="s">
        <v>2286</v>
      </c>
      <c r="G79" s="746"/>
      <c r="H79" s="746"/>
      <c r="I79" s="750"/>
      <c r="J79" s="460"/>
    </row>
    <row r="80" spans="1:10" ht="13.8">
      <c r="A80" s="472" t="s">
        <v>511</v>
      </c>
      <c r="B80" s="448" t="s">
        <v>1989</v>
      </c>
      <c r="C80" s="448" t="s">
        <v>1990</v>
      </c>
      <c r="D80" s="464">
        <v>4500</v>
      </c>
      <c r="E80" s="465"/>
      <c r="F80" s="453">
        <v>45310</v>
      </c>
      <c r="G80" s="448"/>
      <c r="H80" s="448"/>
      <c r="I80" s="449"/>
      <c r="J80" s="460"/>
    </row>
    <row r="81" spans="1:10" ht="13.8">
      <c r="A81" s="473" t="s">
        <v>514</v>
      </c>
      <c r="B81" s="450" t="s">
        <v>1884</v>
      </c>
      <c r="C81" s="450" t="s">
        <v>1991</v>
      </c>
      <c r="D81" s="462">
        <v>1600</v>
      </c>
      <c r="E81" s="463"/>
      <c r="F81" s="451">
        <v>45313</v>
      </c>
      <c r="G81" s="450"/>
      <c r="H81" s="450"/>
      <c r="I81" s="452"/>
      <c r="J81" s="460"/>
    </row>
    <row r="82" spans="1:10" ht="13.8">
      <c r="A82" s="472" t="s">
        <v>516</v>
      </c>
      <c r="B82" s="448" t="s">
        <v>1884</v>
      </c>
      <c r="C82" s="448" t="s">
        <v>1992</v>
      </c>
      <c r="D82" s="464"/>
      <c r="E82" s="465">
        <v>1260</v>
      </c>
      <c r="F82" s="453">
        <v>45321</v>
      </c>
      <c r="G82" s="448"/>
      <c r="H82" s="448"/>
      <c r="I82" s="449"/>
      <c r="J82" s="460"/>
    </row>
    <row r="83" spans="1:10" ht="13.8">
      <c r="A83" s="473" t="s">
        <v>522</v>
      </c>
      <c r="B83" s="450" t="s">
        <v>1887</v>
      </c>
      <c r="C83" s="450" t="s">
        <v>1993</v>
      </c>
      <c r="D83" s="462">
        <v>570</v>
      </c>
      <c r="E83" s="463"/>
      <c r="F83" s="451">
        <v>45330</v>
      </c>
      <c r="G83" s="450"/>
      <c r="H83" s="450"/>
      <c r="I83" s="452"/>
      <c r="J83" s="460"/>
    </row>
    <row r="84" spans="1:10" ht="13.8">
      <c r="A84" s="472" t="s">
        <v>512</v>
      </c>
      <c r="B84" s="448" t="s">
        <v>1882</v>
      </c>
      <c r="C84" s="448" t="s">
        <v>1994</v>
      </c>
      <c r="D84" s="464">
        <v>3000</v>
      </c>
      <c r="E84" s="465"/>
      <c r="F84" s="453">
        <v>45310</v>
      </c>
      <c r="G84" s="448"/>
      <c r="H84" s="448"/>
      <c r="I84" s="449"/>
      <c r="J84" s="460"/>
    </row>
    <row r="85" spans="1:10" ht="13.8">
      <c r="A85" s="473" t="s">
        <v>1995</v>
      </c>
      <c r="B85" s="450" t="s">
        <v>1951</v>
      </c>
      <c r="C85" s="450" t="s">
        <v>1996</v>
      </c>
      <c r="D85" s="462">
        <v>3100</v>
      </c>
      <c r="E85" s="463"/>
      <c r="F85" s="451">
        <v>45364</v>
      </c>
      <c r="G85" s="450"/>
      <c r="H85" s="450"/>
      <c r="I85" s="452"/>
      <c r="J85" s="460"/>
    </row>
    <row r="86" spans="1:10" ht="13.8">
      <c r="A86" s="472" t="s">
        <v>1997</v>
      </c>
      <c r="B86" s="448" t="s">
        <v>1953</v>
      </c>
      <c r="C86" s="448" t="s">
        <v>1998</v>
      </c>
      <c r="D86" s="464"/>
      <c r="E86" s="465">
        <v>2410</v>
      </c>
      <c r="F86" s="453">
        <v>45365</v>
      </c>
      <c r="G86" s="448"/>
      <c r="H86" s="448"/>
      <c r="I86" s="449"/>
      <c r="J86" s="460"/>
    </row>
    <row r="87" spans="1:10" ht="13.8">
      <c r="A87" s="473" t="s">
        <v>536</v>
      </c>
      <c r="B87" s="450" t="s">
        <v>1887</v>
      </c>
      <c r="C87" s="450" t="s">
        <v>1999</v>
      </c>
      <c r="D87" s="462">
        <v>285</v>
      </c>
      <c r="E87" s="463"/>
      <c r="F87" s="451">
        <v>45378</v>
      </c>
      <c r="G87" s="450"/>
      <c r="H87" s="450"/>
      <c r="I87" s="452"/>
      <c r="J87" s="460"/>
    </row>
    <row r="88" spans="1:10" ht="13.8">
      <c r="A88" s="472" t="s">
        <v>2000</v>
      </c>
      <c r="B88" s="448" t="s">
        <v>1953</v>
      </c>
      <c r="C88" s="448" t="s">
        <v>2001</v>
      </c>
      <c r="D88" s="464"/>
      <c r="E88" s="465">
        <v>2410</v>
      </c>
      <c r="F88" s="453">
        <v>45365</v>
      </c>
      <c r="G88" s="448"/>
      <c r="H88" s="448"/>
      <c r="I88" s="449"/>
      <c r="J88" s="460"/>
    </row>
    <row r="89" spans="1:10" ht="13.8">
      <c r="A89" s="473" t="s">
        <v>2002</v>
      </c>
      <c r="B89" s="450" t="s">
        <v>1951</v>
      </c>
      <c r="C89" s="450" t="s">
        <v>2003</v>
      </c>
      <c r="D89" s="462">
        <v>3100</v>
      </c>
      <c r="E89" s="463"/>
      <c r="F89" s="451">
        <v>45364</v>
      </c>
      <c r="G89" s="450"/>
      <c r="H89" s="450"/>
      <c r="I89" s="452"/>
      <c r="J89" s="460"/>
    </row>
    <row r="90" spans="1:10" ht="13.8">
      <c r="A90" s="472" t="s">
        <v>540</v>
      </c>
      <c r="B90" s="448" t="s">
        <v>1951</v>
      </c>
      <c r="C90" s="448" t="s">
        <v>2004</v>
      </c>
      <c r="D90" s="464">
        <v>3100</v>
      </c>
      <c r="E90" s="465"/>
      <c r="F90" s="453">
        <v>45391</v>
      </c>
      <c r="G90" s="448"/>
      <c r="H90" s="448"/>
      <c r="I90" s="449"/>
      <c r="J90" s="460"/>
    </row>
    <row r="91" spans="1:10" ht="13.8">
      <c r="A91" s="473" t="s">
        <v>541</v>
      </c>
      <c r="B91" s="450" t="s">
        <v>1953</v>
      </c>
      <c r="C91" s="450" t="s">
        <v>2005</v>
      </c>
      <c r="D91" s="462"/>
      <c r="E91" s="463">
        <v>2410</v>
      </c>
      <c r="F91" s="451">
        <v>45392</v>
      </c>
      <c r="G91" s="450"/>
      <c r="H91" s="450"/>
      <c r="I91" s="452"/>
      <c r="J91" s="460"/>
    </row>
    <row r="92" spans="1:10" ht="13.8">
      <c r="A92" s="472" t="s">
        <v>543</v>
      </c>
      <c r="B92" s="448" t="s">
        <v>1887</v>
      </c>
      <c r="C92" s="448" t="s">
        <v>2006</v>
      </c>
      <c r="D92" s="464">
        <v>285</v>
      </c>
      <c r="E92" s="465"/>
      <c r="F92" s="453">
        <v>45404</v>
      </c>
      <c r="G92" s="448"/>
      <c r="H92" s="448"/>
      <c r="I92" s="449"/>
      <c r="J92" s="460"/>
    </row>
    <row r="93" spans="1:10" ht="13.8">
      <c r="A93" s="473" t="s">
        <v>546</v>
      </c>
      <c r="B93" s="450" t="s">
        <v>547</v>
      </c>
      <c r="C93" s="450" t="s">
        <v>2007</v>
      </c>
      <c r="D93" s="462">
        <v>2475</v>
      </c>
      <c r="E93" s="463"/>
      <c r="F93" s="451">
        <v>45415</v>
      </c>
      <c r="G93" s="450"/>
      <c r="H93" s="450"/>
      <c r="I93" s="452"/>
      <c r="J93" s="460"/>
    </row>
    <row r="94" spans="1:10" ht="13.8">
      <c r="A94" s="472" t="s">
        <v>554</v>
      </c>
      <c r="B94" s="448" t="s">
        <v>1884</v>
      </c>
      <c r="C94" s="448" t="s">
        <v>2008</v>
      </c>
      <c r="D94" s="464">
        <v>3100</v>
      </c>
      <c r="E94" s="465"/>
      <c r="F94" s="453">
        <v>45433</v>
      </c>
      <c r="G94" s="448"/>
      <c r="H94" s="448"/>
      <c r="I94" s="449"/>
      <c r="J94" s="460"/>
    </row>
    <row r="95" spans="1:10" ht="13.8">
      <c r="A95" s="473" t="s">
        <v>556</v>
      </c>
      <c r="B95" s="450" t="s">
        <v>1884</v>
      </c>
      <c r="C95" s="450" t="s">
        <v>2009</v>
      </c>
      <c r="D95" s="462"/>
      <c r="E95" s="463">
        <v>2410</v>
      </c>
      <c r="F95" s="451">
        <v>45435</v>
      </c>
      <c r="G95" s="450"/>
      <c r="H95" s="450"/>
      <c r="I95" s="452"/>
      <c r="J95" s="460"/>
    </row>
    <row r="96" spans="1:10" ht="13.8">
      <c r="A96" s="472" t="s">
        <v>557</v>
      </c>
      <c r="B96" s="448" t="s">
        <v>1887</v>
      </c>
      <c r="C96" s="448" t="s">
        <v>2010</v>
      </c>
      <c r="D96" s="464">
        <v>380</v>
      </c>
      <c r="E96" s="465"/>
      <c r="F96" s="453">
        <v>45436</v>
      </c>
      <c r="G96" s="448"/>
      <c r="H96" s="448"/>
      <c r="I96" s="449"/>
      <c r="J96" s="460"/>
    </row>
    <row r="97" spans="1:10" ht="13.8">
      <c r="A97" s="473" t="s">
        <v>2011</v>
      </c>
      <c r="B97" s="450" t="s">
        <v>1882</v>
      </c>
      <c r="C97" s="450" t="s">
        <v>2012</v>
      </c>
      <c r="D97" s="462">
        <v>850</v>
      </c>
      <c r="E97" s="463"/>
      <c r="F97" s="451">
        <v>45441</v>
      </c>
      <c r="G97" s="450"/>
      <c r="H97" s="450"/>
      <c r="I97" s="452"/>
      <c r="J97" s="460"/>
    </row>
    <row r="98" spans="1:10" ht="13.8">
      <c r="A98" s="472" t="s">
        <v>2013</v>
      </c>
      <c r="B98" s="448" t="s">
        <v>1951</v>
      </c>
      <c r="C98" s="448" t="s">
        <v>2014</v>
      </c>
      <c r="D98" s="464">
        <v>3100</v>
      </c>
      <c r="E98" s="465"/>
      <c r="F98" s="453">
        <v>45467</v>
      </c>
      <c r="G98" s="448"/>
      <c r="H98" s="448"/>
      <c r="I98" s="449"/>
      <c r="J98" s="460"/>
    </row>
    <row r="99" spans="1:10" ht="13.8">
      <c r="A99" s="473" t="s">
        <v>2015</v>
      </c>
      <c r="B99" s="450" t="s">
        <v>1953</v>
      </c>
      <c r="C99" s="450" t="s">
        <v>2016</v>
      </c>
      <c r="D99" s="462"/>
      <c r="E99" s="463">
        <v>2410</v>
      </c>
      <c r="F99" s="451">
        <v>45496</v>
      </c>
      <c r="G99" s="450"/>
      <c r="H99" s="450"/>
      <c r="I99" s="452"/>
      <c r="J99" s="460"/>
    </row>
    <row r="100" spans="1:10" ht="13.8">
      <c r="A100" s="472" t="s">
        <v>2017</v>
      </c>
      <c r="B100" s="448" t="s">
        <v>1953</v>
      </c>
      <c r="C100" s="448" t="s">
        <v>2018</v>
      </c>
      <c r="D100" s="464"/>
      <c r="E100" s="465">
        <v>311.86</v>
      </c>
      <c r="F100" s="453">
        <v>45471</v>
      </c>
      <c r="G100" s="448"/>
      <c r="H100" s="448"/>
      <c r="I100" s="449"/>
      <c r="J100" s="460"/>
    </row>
    <row r="101" spans="1:10" ht="13.8">
      <c r="A101" s="473" t="s">
        <v>2019</v>
      </c>
      <c r="B101" s="450" t="s">
        <v>1887</v>
      </c>
      <c r="C101" s="450" t="s">
        <v>2020</v>
      </c>
      <c r="D101" s="462">
        <v>2570</v>
      </c>
      <c r="E101" s="463"/>
      <c r="F101" s="451">
        <v>45464</v>
      </c>
      <c r="G101" s="450"/>
      <c r="H101" s="450"/>
      <c r="I101" s="452"/>
      <c r="J101" s="460"/>
    </row>
    <row r="102" spans="1:10" ht="13.8">
      <c r="A102" s="472" t="s">
        <v>2021</v>
      </c>
      <c r="B102" s="448" t="s">
        <v>1887</v>
      </c>
      <c r="C102" s="448" t="s">
        <v>2022</v>
      </c>
      <c r="D102" s="464">
        <v>690</v>
      </c>
      <c r="E102" s="465"/>
      <c r="F102" s="453">
        <v>45464</v>
      </c>
      <c r="G102" s="448"/>
      <c r="H102" s="448"/>
      <c r="I102" s="449"/>
      <c r="J102" s="460"/>
    </row>
    <row r="103" spans="1:10" ht="13.8">
      <c r="A103" s="473" t="s">
        <v>2023</v>
      </c>
      <c r="B103" s="450" t="s">
        <v>389</v>
      </c>
      <c r="C103" s="450" t="s">
        <v>2024</v>
      </c>
      <c r="D103" s="462">
        <v>1900</v>
      </c>
      <c r="E103" s="463"/>
      <c r="F103" s="451">
        <v>45450</v>
      </c>
      <c r="G103" s="450"/>
      <c r="H103" s="450"/>
      <c r="I103" s="452"/>
      <c r="J103" s="460"/>
    </row>
    <row r="104" spans="1:10" ht="13.8">
      <c r="A104" s="472" t="s">
        <v>2025</v>
      </c>
      <c r="B104" s="448" t="s">
        <v>547</v>
      </c>
      <c r="C104" s="448" t="s">
        <v>2026</v>
      </c>
      <c r="D104" s="464">
        <v>49420</v>
      </c>
      <c r="E104" s="465"/>
      <c r="F104" s="453">
        <v>45471</v>
      </c>
      <c r="G104" s="448"/>
      <c r="H104" s="448"/>
      <c r="I104" s="449"/>
      <c r="J104" s="460"/>
    </row>
    <row r="105" spans="1:10" ht="13.8">
      <c r="A105" s="473" t="s">
        <v>2027</v>
      </c>
      <c r="B105" s="450" t="s">
        <v>547</v>
      </c>
      <c r="C105" s="450" t="s">
        <v>2028</v>
      </c>
      <c r="D105" s="462">
        <v>2250</v>
      </c>
      <c r="E105" s="463"/>
      <c r="F105" s="451">
        <v>45472</v>
      </c>
      <c r="G105" s="450"/>
      <c r="H105" s="450"/>
      <c r="I105" s="452"/>
      <c r="J105" s="460"/>
    </row>
    <row r="106" spans="1:10" ht="13.8">
      <c r="A106" s="472" t="s">
        <v>2029</v>
      </c>
      <c r="B106" s="448" t="s">
        <v>1951</v>
      </c>
      <c r="C106" s="448" t="s">
        <v>2030</v>
      </c>
      <c r="D106" s="464">
        <v>3100</v>
      </c>
      <c r="E106" s="465"/>
      <c r="F106" s="453">
        <v>45504</v>
      </c>
      <c r="G106" s="448"/>
      <c r="H106" s="448"/>
      <c r="I106" s="449"/>
      <c r="J106" s="460"/>
    </row>
    <row r="107" spans="1:10" ht="13.8">
      <c r="A107" s="473" t="s">
        <v>2031</v>
      </c>
      <c r="B107" s="450" t="s">
        <v>1953</v>
      </c>
      <c r="C107" s="450" t="s">
        <v>2032</v>
      </c>
      <c r="D107" s="462"/>
      <c r="E107" s="463">
        <v>2410</v>
      </c>
      <c r="F107" s="451">
        <v>45505</v>
      </c>
      <c r="G107" s="450"/>
      <c r="H107" s="450"/>
      <c r="I107" s="452"/>
      <c r="J107" s="460"/>
    </row>
    <row r="108" spans="1:10" ht="13.8">
      <c r="A108" s="472" t="s">
        <v>587</v>
      </c>
      <c r="B108" s="448" t="s">
        <v>1887</v>
      </c>
      <c r="C108" s="448" t="s">
        <v>2033</v>
      </c>
      <c r="D108" s="464">
        <v>1140</v>
      </c>
      <c r="E108" s="465"/>
      <c r="F108" s="453">
        <v>45497</v>
      </c>
      <c r="G108" s="448"/>
      <c r="H108" s="448"/>
      <c r="I108" s="449"/>
      <c r="J108" s="460"/>
    </row>
    <row r="109" spans="1:10" ht="13.8">
      <c r="A109" s="473" t="s">
        <v>2034</v>
      </c>
      <c r="B109" s="450" t="s">
        <v>1887</v>
      </c>
      <c r="C109" s="450" t="s">
        <v>2035</v>
      </c>
      <c r="D109" s="462">
        <v>285</v>
      </c>
      <c r="E109" s="463"/>
      <c r="F109" s="451">
        <v>45497</v>
      </c>
      <c r="G109" s="450"/>
      <c r="H109" s="450"/>
      <c r="I109" s="452"/>
      <c r="J109" s="460"/>
    </row>
    <row r="110" spans="1:10" ht="13.8">
      <c r="A110" s="472" t="s">
        <v>592</v>
      </c>
      <c r="B110" s="448" t="s">
        <v>1951</v>
      </c>
      <c r="C110" s="448" t="s">
        <v>2036</v>
      </c>
      <c r="D110" s="464">
        <v>3100</v>
      </c>
      <c r="E110" s="465"/>
      <c r="F110" s="453">
        <v>45539</v>
      </c>
      <c r="G110" s="448"/>
      <c r="H110" s="448"/>
      <c r="I110" s="449"/>
      <c r="J110" s="460"/>
    </row>
    <row r="111" spans="1:10" ht="13.8">
      <c r="A111" s="473" t="s">
        <v>590</v>
      </c>
      <c r="B111" s="450" t="s">
        <v>1953</v>
      </c>
      <c r="C111" s="450" t="s">
        <v>2037</v>
      </c>
      <c r="D111" s="462"/>
      <c r="E111" s="463">
        <v>2410</v>
      </c>
      <c r="F111" s="451">
        <v>45539</v>
      </c>
      <c r="G111" s="450"/>
      <c r="H111" s="450"/>
      <c r="I111" s="452"/>
      <c r="J111" s="460"/>
    </row>
    <row r="112" spans="1:10" ht="13.8">
      <c r="A112" s="472" t="s">
        <v>2038</v>
      </c>
      <c r="B112" s="448" t="s">
        <v>1887</v>
      </c>
      <c r="C112" s="448" t="s">
        <v>2039</v>
      </c>
      <c r="D112" s="464">
        <v>1140</v>
      </c>
      <c r="E112" s="465"/>
      <c r="F112" s="453">
        <v>45526</v>
      </c>
      <c r="G112" s="448"/>
      <c r="H112" s="448"/>
      <c r="I112" s="449"/>
      <c r="J112" s="460"/>
    </row>
    <row r="113" spans="1:10" ht="13.8">
      <c r="A113" s="473" t="s">
        <v>2040</v>
      </c>
      <c r="B113" s="450" t="s">
        <v>1951</v>
      </c>
      <c r="C113" s="450" t="s">
        <v>2041</v>
      </c>
      <c r="D113" s="462">
        <v>3100</v>
      </c>
      <c r="E113" s="463"/>
      <c r="F113" s="451">
        <v>45565</v>
      </c>
      <c r="G113" s="450"/>
      <c r="H113" s="450"/>
      <c r="I113" s="452"/>
      <c r="J113" s="460"/>
    </row>
    <row r="114" spans="1:10" ht="13.8">
      <c r="A114" s="472" t="s">
        <v>607</v>
      </c>
      <c r="B114" s="448" t="s">
        <v>1953</v>
      </c>
      <c r="C114" s="448" t="s">
        <v>2042</v>
      </c>
      <c r="D114" s="464"/>
      <c r="E114" s="465">
        <v>2410</v>
      </c>
      <c r="F114" s="453">
        <v>45569</v>
      </c>
      <c r="G114" s="448"/>
      <c r="H114" s="448"/>
      <c r="I114" s="449"/>
      <c r="J114" s="460"/>
    </row>
    <row r="115" spans="1:10" ht="13.8">
      <c r="A115" s="473" t="s">
        <v>603</v>
      </c>
      <c r="B115" s="450" t="s">
        <v>1887</v>
      </c>
      <c r="C115" s="450" t="s">
        <v>2043</v>
      </c>
      <c r="D115" s="462">
        <v>1734</v>
      </c>
      <c r="E115" s="463"/>
      <c r="F115" s="451">
        <v>45562</v>
      </c>
      <c r="G115" s="450"/>
      <c r="H115" s="450"/>
      <c r="I115" s="452"/>
      <c r="J115" s="460"/>
    </row>
    <row r="116" spans="1:10" ht="13.8">
      <c r="A116" s="472" t="s">
        <v>613</v>
      </c>
      <c r="B116" s="448" t="s">
        <v>1951</v>
      </c>
      <c r="C116" s="448" t="s">
        <v>2044</v>
      </c>
      <c r="D116" s="464">
        <v>1600</v>
      </c>
      <c r="E116" s="465"/>
      <c r="F116" s="461">
        <v>45596</v>
      </c>
      <c r="G116" s="448"/>
      <c r="H116" s="448"/>
      <c r="I116" s="449"/>
      <c r="J116" s="460"/>
    </row>
    <row r="117" spans="1:10" ht="13.8">
      <c r="A117" s="473" t="s">
        <v>2045</v>
      </c>
      <c r="B117" s="450" t="s">
        <v>1953</v>
      </c>
      <c r="C117" s="450" t="s">
        <v>2046</v>
      </c>
      <c r="D117" s="462"/>
      <c r="E117" s="463">
        <v>2410</v>
      </c>
      <c r="F117" s="451">
        <v>45597</v>
      </c>
      <c r="G117" s="450"/>
      <c r="H117" s="450"/>
      <c r="I117" s="452"/>
      <c r="J117" s="460"/>
    </row>
    <row r="118" spans="1:10" ht="13.8">
      <c r="A118" s="472" t="s">
        <v>620</v>
      </c>
      <c r="B118" s="448" t="s">
        <v>1887</v>
      </c>
      <c r="C118" s="448" t="s">
        <v>2047</v>
      </c>
      <c r="D118" s="464">
        <v>1328</v>
      </c>
      <c r="E118" s="465"/>
      <c r="F118" s="453">
        <v>45625</v>
      </c>
      <c r="G118" s="448"/>
      <c r="H118" s="448"/>
      <c r="I118" s="449"/>
      <c r="J118" s="460"/>
    </row>
    <row r="119" spans="1:10" ht="13.8">
      <c r="A119" s="473" t="s">
        <v>2048</v>
      </c>
      <c r="B119" s="450" t="s">
        <v>1951</v>
      </c>
      <c r="C119" s="450" t="s">
        <v>2049</v>
      </c>
      <c r="D119" s="462">
        <v>3100</v>
      </c>
      <c r="E119" s="463"/>
      <c r="F119" s="451">
        <v>45629</v>
      </c>
      <c r="G119" s="450"/>
      <c r="H119" s="450"/>
      <c r="I119" s="452"/>
      <c r="J119" s="460"/>
    </row>
    <row r="120" spans="1:10" ht="13.8">
      <c r="A120" s="472" t="s">
        <v>2050</v>
      </c>
      <c r="B120" s="448" t="s">
        <v>1953</v>
      </c>
      <c r="C120" s="448" t="s">
        <v>2051</v>
      </c>
      <c r="D120" s="464"/>
      <c r="E120" s="465">
        <v>2410</v>
      </c>
      <c r="F120" s="453">
        <v>45597</v>
      </c>
      <c r="G120" s="448"/>
      <c r="H120" s="448"/>
      <c r="I120" s="449"/>
      <c r="J120" s="460"/>
    </row>
    <row r="121" spans="1:10" ht="13.8">
      <c r="A121" s="473" t="s">
        <v>626</v>
      </c>
      <c r="B121" s="450" t="s">
        <v>1887</v>
      </c>
      <c r="C121" s="450" t="s">
        <v>2052</v>
      </c>
      <c r="D121" s="462">
        <v>1328</v>
      </c>
      <c r="E121" s="463"/>
      <c r="F121" s="451">
        <v>45625</v>
      </c>
      <c r="G121" s="450"/>
      <c r="H121" s="450"/>
      <c r="I121" s="452"/>
      <c r="J121" s="460"/>
    </row>
    <row r="122" spans="1:10" ht="13.8">
      <c r="A122" s="472" t="s">
        <v>615</v>
      </c>
      <c r="B122" s="448" t="s">
        <v>2053</v>
      </c>
      <c r="C122" s="448" t="s">
        <v>2054</v>
      </c>
      <c r="D122" s="464">
        <v>150</v>
      </c>
      <c r="E122" s="465"/>
      <c r="F122" s="461">
        <v>45596</v>
      </c>
      <c r="G122" s="448"/>
      <c r="H122" s="448"/>
      <c r="I122" s="449"/>
      <c r="J122" s="460"/>
    </row>
    <row r="123" spans="1:10" ht="13.8">
      <c r="A123" s="473" t="s">
        <v>2055</v>
      </c>
      <c r="B123" s="450" t="s">
        <v>547</v>
      </c>
      <c r="C123" s="450" t="s">
        <v>2056</v>
      </c>
      <c r="D123" s="462">
        <v>3552</v>
      </c>
      <c r="E123" s="463"/>
      <c r="F123" s="451">
        <v>45625</v>
      </c>
      <c r="G123" s="450"/>
      <c r="H123" s="450"/>
      <c r="I123" s="452"/>
      <c r="J123" s="460"/>
    </row>
    <row r="124" spans="1:10" ht="13.8">
      <c r="A124" s="472" t="s">
        <v>2057</v>
      </c>
      <c r="B124" s="448" t="s">
        <v>547</v>
      </c>
      <c r="C124" s="448" t="s">
        <v>2058</v>
      </c>
      <c r="D124" s="464">
        <v>4423</v>
      </c>
      <c r="E124" s="465"/>
      <c r="F124" s="453">
        <v>45625</v>
      </c>
      <c r="G124" s="448"/>
      <c r="H124" s="448"/>
      <c r="I124" s="449"/>
      <c r="J124" s="460"/>
    </row>
    <row r="125" spans="1:10" ht="13.8">
      <c r="A125" s="473" t="s">
        <v>2059</v>
      </c>
      <c r="B125" s="450" t="s">
        <v>547</v>
      </c>
      <c r="C125" s="450" t="s">
        <v>2060</v>
      </c>
      <c r="D125" s="462">
        <v>1454</v>
      </c>
      <c r="E125" s="463"/>
      <c r="F125" s="451">
        <v>45625</v>
      </c>
      <c r="G125" s="450"/>
      <c r="H125" s="450"/>
      <c r="I125" s="452"/>
      <c r="J125" s="460"/>
    </row>
    <row r="126" spans="1:10" ht="13.8">
      <c r="A126" s="472" t="s">
        <v>639</v>
      </c>
      <c r="B126" s="448" t="s">
        <v>1967</v>
      </c>
      <c r="C126" s="448" t="s">
        <v>2061</v>
      </c>
      <c r="D126" s="464"/>
      <c r="E126" s="465">
        <v>13796</v>
      </c>
      <c r="F126" s="453">
        <v>45664</v>
      </c>
      <c r="G126" s="448"/>
      <c r="H126" s="448"/>
      <c r="I126" s="449"/>
      <c r="J126" s="460"/>
    </row>
    <row r="127" spans="1:10" ht="13.8">
      <c r="A127" s="473" t="s">
        <v>630</v>
      </c>
      <c r="B127" s="450" t="s">
        <v>1951</v>
      </c>
      <c r="C127" s="450" t="s">
        <v>2255</v>
      </c>
      <c r="D127" s="462">
        <v>3100</v>
      </c>
      <c r="E127" s="463"/>
      <c r="F127" s="451">
        <v>45294</v>
      </c>
      <c r="G127" s="450"/>
      <c r="H127" s="450"/>
      <c r="I127" s="452"/>
      <c r="J127" s="460"/>
    </row>
    <row r="128" spans="1:10" ht="13.8">
      <c r="A128" s="472" t="s">
        <v>638</v>
      </c>
      <c r="B128" s="448" t="s">
        <v>1953</v>
      </c>
      <c r="C128" s="448" t="s">
        <v>2256</v>
      </c>
      <c r="D128" s="464"/>
      <c r="E128" s="465">
        <v>2410</v>
      </c>
      <c r="F128" s="453">
        <v>45664</v>
      </c>
      <c r="G128" s="448"/>
      <c r="H128" s="448"/>
      <c r="I128" s="449"/>
      <c r="J128" s="460"/>
    </row>
    <row r="129" spans="1:15" ht="13.8">
      <c r="A129" s="473" t="s">
        <v>635</v>
      </c>
      <c r="B129" s="450" t="s">
        <v>1887</v>
      </c>
      <c r="C129" s="450" t="s">
        <v>2062</v>
      </c>
      <c r="D129" s="462">
        <v>1328</v>
      </c>
      <c r="E129" s="463"/>
      <c r="F129" s="451">
        <v>45692</v>
      </c>
      <c r="G129" s="450"/>
      <c r="H129" s="450"/>
      <c r="I129" s="452"/>
      <c r="J129" s="460"/>
    </row>
    <row r="130" spans="1:15" ht="13.8">
      <c r="A130" s="472" t="s">
        <v>624</v>
      </c>
      <c r="B130" s="448" t="s">
        <v>2053</v>
      </c>
      <c r="C130" s="448" t="s">
        <v>2063</v>
      </c>
      <c r="D130" s="464">
        <v>350</v>
      </c>
      <c r="E130" s="465"/>
      <c r="F130" s="453">
        <v>45624</v>
      </c>
      <c r="G130" s="448"/>
      <c r="H130" s="448"/>
      <c r="I130" s="449"/>
      <c r="J130" s="460"/>
    </row>
    <row r="131" spans="1:15" ht="13.8">
      <c r="A131" s="473" t="s">
        <v>637</v>
      </c>
      <c r="B131" s="450" t="s">
        <v>547</v>
      </c>
      <c r="C131" s="450" t="s">
        <v>2064</v>
      </c>
      <c r="D131" s="462">
        <v>1500</v>
      </c>
      <c r="E131" s="463"/>
      <c r="F131" s="451">
        <v>45663</v>
      </c>
      <c r="G131" s="450"/>
      <c r="H131" s="450"/>
      <c r="I131" s="452"/>
      <c r="J131" s="460"/>
    </row>
    <row r="132" spans="1:15" ht="13.8">
      <c r="A132" s="474" t="s">
        <v>2278</v>
      </c>
      <c r="B132" s="475" t="s">
        <v>1951</v>
      </c>
      <c r="C132" s="475" t="s">
        <v>2275</v>
      </c>
      <c r="D132" s="735">
        <v>3100</v>
      </c>
      <c r="E132" s="736"/>
      <c r="F132" s="476">
        <v>45663</v>
      </c>
      <c r="G132" s="475"/>
      <c r="H132" s="475"/>
      <c r="I132" s="477"/>
      <c r="J132" s="460"/>
    </row>
    <row r="133" spans="1:15" ht="13.8">
      <c r="A133" s="474" t="s">
        <v>2279</v>
      </c>
      <c r="B133" s="475" t="s">
        <v>1953</v>
      </c>
      <c r="C133" s="475" t="s">
        <v>2276</v>
      </c>
      <c r="D133" s="735"/>
      <c r="E133" s="736">
        <v>2410</v>
      </c>
      <c r="F133" s="476">
        <v>45664</v>
      </c>
      <c r="G133" s="475"/>
      <c r="H133" s="475"/>
      <c r="I133" s="477"/>
      <c r="J133" s="460"/>
    </row>
    <row r="134" spans="1:15" ht="13.8">
      <c r="A134" s="474" t="s">
        <v>2280</v>
      </c>
      <c r="B134" s="475" t="s">
        <v>2053</v>
      </c>
      <c r="C134" s="475" t="s">
        <v>2277</v>
      </c>
      <c r="D134" s="735">
        <v>350</v>
      </c>
      <c r="E134" s="479"/>
      <c r="F134" s="476">
        <v>45666</v>
      </c>
      <c r="G134" s="475"/>
      <c r="H134" s="475"/>
      <c r="I134" s="477"/>
      <c r="J134" s="460"/>
    </row>
    <row r="135" spans="1:15" ht="13.8">
      <c r="A135" s="474"/>
      <c r="B135" s="475"/>
      <c r="C135" s="475"/>
      <c r="D135" s="478"/>
      <c r="E135" s="479"/>
      <c r="F135" s="476"/>
      <c r="G135" s="475"/>
      <c r="H135" s="475"/>
      <c r="I135" s="477"/>
      <c r="J135" s="460"/>
    </row>
    <row r="136" spans="1:15" ht="13.8">
      <c r="A136" s="474"/>
      <c r="B136" s="475"/>
      <c r="C136" s="475"/>
      <c r="D136" s="478"/>
      <c r="E136" s="479"/>
      <c r="F136" s="476"/>
      <c r="G136" s="475"/>
      <c r="H136" s="475"/>
      <c r="I136" s="477"/>
      <c r="J136" s="460"/>
    </row>
    <row r="137" spans="1:15" ht="13.8">
      <c r="A137" s="474"/>
      <c r="B137" s="475"/>
      <c r="C137" s="475"/>
      <c r="D137" s="478"/>
      <c r="E137" s="479"/>
      <c r="F137" s="476"/>
      <c r="G137" s="475"/>
      <c r="H137" s="475"/>
      <c r="I137" s="477"/>
      <c r="J137" s="460"/>
    </row>
    <row r="138" spans="1:15" ht="13.8">
      <c r="A138" s="474"/>
      <c r="B138" s="475"/>
      <c r="C138" s="475"/>
      <c r="D138" s="478"/>
      <c r="E138" s="479"/>
      <c r="F138" s="476"/>
      <c r="G138" s="475"/>
      <c r="H138" s="475"/>
      <c r="I138" s="477"/>
      <c r="J138" s="460"/>
      <c r="K138" s="480" t="s">
        <v>2213</v>
      </c>
    </row>
    <row r="139" spans="1:15" ht="18.600000000000001" customHeight="1">
      <c r="A139" s="513" t="s">
        <v>2214</v>
      </c>
      <c r="B139" s="514"/>
      <c r="C139" s="514"/>
      <c r="D139" s="515">
        <f>SUM(D140:D157)+SUM(D131:D134)</f>
        <v>18700</v>
      </c>
      <c r="E139" s="725">
        <f>SUM(E140:E157)+SUM(E132:E134)</f>
        <v>18790</v>
      </c>
      <c r="F139" s="516"/>
      <c r="G139" s="514"/>
      <c r="H139" s="514"/>
      <c r="I139" s="517"/>
      <c r="J139" s="460"/>
      <c r="K139" s="480" t="s">
        <v>2211</v>
      </c>
    </row>
    <row r="140" spans="1:15" ht="14.4" thickBot="1">
      <c r="A140" s="474"/>
      <c r="B140" s="475"/>
      <c r="C140" s="475"/>
      <c r="D140" s="478"/>
      <c r="E140" s="723"/>
      <c r="F140" s="476"/>
      <c r="G140" s="475"/>
      <c r="H140" s="475"/>
      <c r="I140" s="477"/>
      <c r="J140" s="460"/>
      <c r="K140" s="480" t="s">
        <v>2212</v>
      </c>
    </row>
    <row r="141" spans="1:15" ht="18.600000000000001" customHeight="1">
      <c r="A141" s="481" t="s">
        <v>2155</v>
      </c>
      <c r="B141" s="482" t="s">
        <v>1884</v>
      </c>
      <c r="C141" s="482" t="s">
        <v>2269</v>
      </c>
      <c r="D141" s="483">
        <v>3100</v>
      </c>
      <c r="E141" s="502"/>
      <c r="F141" s="484">
        <v>45693</v>
      </c>
      <c r="G141" s="482"/>
      <c r="H141" s="482"/>
      <c r="I141" s="485"/>
      <c r="J141" s="460"/>
    </row>
    <row r="142" spans="1:15" ht="18.600000000000001" customHeight="1">
      <c r="A142" s="488" t="s">
        <v>2156</v>
      </c>
      <c r="B142" s="448" t="s">
        <v>1884</v>
      </c>
      <c r="C142" s="448" t="s">
        <v>2270</v>
      </c>
      <c r="D142" s="466"/>
      <c r="E142" s="465">
        <v>2410</v>
      </c>
      <c r="F142" s="453">
        <v>45695</v>
      </c>
      <c r="G142" s="450"/>
      <c r="H142" s="450"/>
      <c r="I142" s="487"/>
      <c r="J142" s="460"/>
    </row>
    <row r="143" spans="1:15" s="468" customFormat="1" ht="18.600000000000001" customHeight="1" thickBot="1">
      <c r="A143" s="488" t="s">
        <v>2157</v>
      </c>
      <c r="B143" s="448" t="s">
        <v>1887</v>
      </c>
      <c r="C143" s="448" t="s">
        <v>2198</v>
      </c>
      <c r="D143" s="466">
        <v>1000</v>
      </c>
      <c r="E143" s="465"/>
      <c r="F143" s="453">
        <v>45722</v>
      </c>
      <c r="G143" s="448"/>
      <c r="H143" s="448"/>
      <c r="I143" s="489"/>
      <c r="J143" s="755"/>
    </row>
    <row r="144" spans="1:15" s="468" customFormat="1" ht="18.600000000000001" customHeight="1" thickBot="1">
      <c r="A144" s="488" t="s">
        <v>2158</v>
      </c>
      <c r="B144" s="448" t="s">
        <v>2053</v>
      </c>
      <c r="C144" s="448" t="s">
        <v>2197</v>
      </c>
      <c r="D144" s="466">
        <v>350</v>
      </c>
      <c r="E144" s="465"/>
      <c r="F144" s="453">
        <v>45687</v>
      </c>
      <c r="G144" s="450"/>
      <c r="H144" s="450"/>
      <c r="I144" s="487"/>
      <c r="J144" s="792" t="s">
        <v>2289</v>
      </c>
      <c r="K144" s="730">
        <v>2025</v>
      </c>
      <c r="L144" s="731">
        <f>D139+D159</f>
        <v>76217</v>
      </c>
      <c r="M144" s="732">
        <f>E139+E159</f>
        <v>43355</v>
      </c>
      <c r="N144" s="729">
        <f>M144+SUM(E128:E134)</f>
        <v>48175</v>
      </c>
      <c r="O144" s="728">
        <f>L144+SUM(D131:D134)</f>
        <v>81167</v>
      </c>
    </row>
    <row r="145" spans="1:14" s="468" customFormat="1" ht="18.600000000000001" customHeight="1">
      <c r="A145" s="488" t="s">
        <v>2159</v>
      </c>
      <c r="B145" s="448" t="s">
        <v>2160</v>
      </c>
      <c r="C145" s="448" t="s">
        <v>2199</v>
      </c>
      <c r="D145" s="466"/>
      <c r="E145" s="465">
        <v>850</v>
      </c>
      <c r="F145" s="453">
        <v>45688</v>
      </c>
      <c r="G145" s="448"/>
      <c r="H145" s="448"/>
      <c r="I145" s="489"/>
      <c r="J145" s="792" t="s">
        <v>2291</v>
      </c>
      <c r="M145" s="729">
        <v>7117.28</v>
      </c>
      <c r="N145" s="729">
        <f>N144-M147</f>
        <v>-2297.2799999999988</v>
      </c>
    </row>
    <row r="146" spans="1:14" s="468" customFormat="1" ht="18.600000000000001" customHeight="1">
      <c r="A146" s="488" t="s">
        <v>2161</v>
      </c>
      <c r="B146" s="448" t="s">
        <v>1884</v>
      </c>
      <c r="C146" s="448" t="s">
        <v>2281</v>
      </c>
      <c r="D146" s="466">
        <v>3100</v>
      </c>
      <c r="E146" s="465"/>
      <c r="F146" s="453">
        <v>45723</v>
      </c>
      <c r="G146" s="450"/>
      <c r="H146" s="450"/>
      <c r="I146" s="487"/>
      <c r="J146" s="793"/>
    </row>
    <row r="147" spans="1:14" s="468" customFormat="1" ht="18.600000000000001" customHeight="1" thickBot="1">
      <c r="A147" s="488" t="s">
        <v>2162</v>
      </c>
      <c r="B147" s="448" t="s">
        <v>1884</v>
      </c>
      <c r="C147" s="448" t="s">
        <v>2282</v>
      </c>
      <c r="D147" s="466"/>
      <c r="E147" s="465">
        <v>2410</v>
      </c>
      <c r="F147" s="453">
        <v>45726</v>
      </c>
      <c r="G147" s="448"/>
      <c r="H147" s="448"/>
      <c r="I147" s="489"/>
      <c r="J147" s="792"/>
      <c r="L147" s="729">
        <f>L144+L145+L146</f>
        <v>76217</v>
      </c>
      <c r="M147" s="729">
        <f>M144+M145+M146</f>
        <v>50472.28</v>
      </c>
    </row>
    <row r="148" spans="1:14" s="468" customFormat="1" ht="18.600000000000001" customHeight="1" thickBot="1">
      <c r="A148" s="488" t="s">
        <v>2163</v>
      </c>
      <c r="B148" s="448" t="s">
        <v>1887</v>
      </c>
      <c r="C148" s="448" t="s">
        <v>2198</v>
      </c>
      <c r="D148" s="466">
        <v>1000</v>
      </c>
      <c r="E148" s="465"/>
      <c r="F148" s="453">
        <v>45730</v>
      </c>
      <c r="G148" s="450"/>
      <c r="H148" s="450"/>
      <c r="I148" s="487"/>
      <c r="J148" s="792" t="s">
        <v>2292</v>
      </c>
      <c r="L148" s="733">
        <v>79895</v>
      </c>
      <c r="M148" s="734">
        <v>64269.14</v>
      </c>
    </row>
    <row r="149" spans="1:14" s="468" customFormat="1" ht="18.600000000000001" customHeight="1">
      <c r="A149" s="488" t="s">
        <v>2164</v>
      </c>
      <c r="B149" s="448" t="s">
        <v>2053</v>
      </c>
      <c r="C149" s="448" t="s">
        <v>2197</v>
      </c>
      <c r="D149" s="466">
        <v>550</v>
      </c>
      <c r="E149" s="465"/>
      <c r="F149" s="453">
        <v>45715</v>
      </c>
      <c r="G149" s="448"/>
      <c r="H149" s="448"/>
      <c r="I149" s="489"/>
      <c r="J149" s="755"/>
      <c r="L149" s="794">
        <f>L148-L147</f>
        <v>3678</v>
      </c>
      <c r="M149" s="794">
        <f>M148-M147</f>
        <v>13796.86</v>
      </c>
    </row>
    <row r="150" spans="1:14" s="468" customFormat="1" ht="18.600000000000001" customHeight="1">
      <c r="A150" s="488" t="s">
        <v>2165</v>
      </c>
      <c r="B150" s="448" t="s">
        <v>2160</v>
      </c>
      <c r="C150" s="448" t="s">
        <v>2200</v>
      </c>
      <c r="D150" s="466"/>
      <c r="E150" s="465">
        <v>850</v>
      </c>
      <c r="F150" s="453">
        <v>45716</v>
      </c>
      <c r="G150" s="450"/>
      <c r="H150" s="450"/>
      <c r="I150" s="487"/>
      <c r="J150" s="755"/>
    </row>
    <row r="151" spans="1:14" s="468" customFormat="1" ht="18.600000000000001" customHeight="1">
      <c r="A151" s="488" t="s">
        <v>2166</v>
      </c>
      <c r="B151" s="448" t="s">
        <v>1884</v>
      </c>
      <c r="C151" s="448" t="s">
        <v>2267</v>
      </c>
      <c r="D151" s="466">
        <v>3100</v>
      </c>
      <c r="E151" s="465"/>
      <c r="F151" s="453">
        <v>45754</v>
      </c>
      <c r="G151" s="448"/>
      <c r="H151" s="448"/>
      <c r="I151" s="489"/>
      <c r="J151" s="755"/>
    </row>
    <row r="152" spans="1:14" s="468" customFormat="1" ht="18.600000000000001" customHeight="1">
      <c r="A152" s="488" t="s">
        <v>2167</v>
      </c>
      <c r="B152" s="448" t="s">
        <v>1884</v>
      </c>
      <c r="C152" s="448" t="s">
        <v>2268</v>
      </c>
      <c r="D152" s="466"/>
      <c r="E152" s="465">
        <v>2410</v>
      </c>
      <c r="F152" s="453">
        <v>45761</v>
      </c>
      <c r="G152" s="450"/>
      <c r="H152" s="450"/>
      <c r="I152" s="487"/>
      <c r="J152" s="755"/>
    </row>
    <row r="153" spans="1:14" s="468" customFormat="1" ht="18.600000000000001" customHeight="1">
      <c r="A153" s="488" t="s">
        <v>2168</v>
      </c>
      <c r="B153" s="448" t="s">
        <v>1887</v>
      </c>
      <c r="C153" s="448" t="s">
        <v>2198</v>
      </c>
      <c r="D153" s="466">
        <v>1000</v>
      </c>
      <c r="E153" s="465"/>
      <c r="F153" s="453">
        <v>45772</v>
      </c>
      <c r="G153" s="448"/>
      <c r="H153" s="448"/>
      <c r="I153" s="489"/>
      <c r="J153" s="755"/>
    </row>
    <row r="154" spans="1:14" s="468" customFormat="1" ht="18.600000000000001" customHeight="1">
      <c r="A154" s="488" t="s">
        <v>2169</v>
      </c>
      <c r="B154" s="448" t="s">
        <v>2160</v>
      </c>
      <c r="C154" s="448" t="s">
        <v>2201</v>
      </c>
      <c r="D154" s="466"/>
      <c r="E154" s="465">
        <v>850</v>
      </c>
      <c r="F154" s="453">
        <v>45742</v>
      </c>
      <c r="G154" s="450"/>
      <c r="H154" s="450"/>
      <c r="I154" s="487"/>
      <c r="J154" s="755"/>
    </row>
    <row r="155" spans="1:14" s="468" customFormat="1" ht="18.600000000000001" customHeight="1">
      <c r="A155" s="488" t="s">
        <v>2170</v>
      </c>
      <c r="B155" s="448" t="s">
        <v>2053</v>
      </c>
      <c r="C155" s="448" t="s">
        <v>2197</v>
      </c>
      <c r="D155" s="466">
        <v>550</v>
      </c>
      <c r="E155" s="465"/>
      <c r="F155" s="453">
        <v>45778</v>
      </c>
      <c r="G155" s="448"/>
      <c r="H155" s="448"/>
      <c r="I155" s="489"/>
      <c r="J155" s="755"/>
    </row>
    <row r="156" spans="1:14" s="468" customFormat="1" ht="18.600000000000001" customHeight="1">
      <c r="A156" s="488" t="s">
        <v>2171</v>
      </c>
      <c r="B156" s="448" t="s">
        <v>389</v>
      </c>
      <c r="C156" s="448" t="s">
        <v>2202</v>
      </c>
      <c r="D156" s="466"/>
      <c r="E156" s="465">
        <v>2700</v>
      </c>
      <c r="F156" s="453">
        <v>45755</v>
      </c>
      <c r="G156" s="450"/>
      <c r="H156" s="450"/>
      <c r="I156" s="487"/>
      <c r="J156" s="755"/>
    </row>
    <row r="157" spans="1:14" s="468" customFormat="1" ht="18.600000000000001" customHeight="1" thickBot="1">
      <c r="A157" s="490" t="s">
        <v>2172</v>
      </c>
      <c r="B157" s="491" t="s">
        <v>389</v>
      </c>
      <c r="C157" s="491" t="s">
        <v>2203</v>
      </c>
      <c r="D157" s="492"/>
      <c r="E157" s="724">
        <v>3900</v>
      </c>
      <c r="F157" s="493">
        <v>45793</v>
      </c>
      <c r="G157" s="491"/>
      <c r="H157" s="491"/>
      <c r="I157" s="494"/>
      <c r="J157" s="755"/>
    </row>
    <row r="158" spans="1:14" s="468" customFormat="1" ht="18.600000000000001" customHeight="1">
      <c r="A158" s="495"/>
      <c r="B158" s="496"/>
      <c r="C158" s="496"/>
      <c r="D158" s="499"/>
      <c r="E158" s="499"/>
      <c r="F158" s="497"/>
      <c r="G158" s="496"/>
      <c r="H158" s="496"/>
      <c r="I158" s="498"/>
      <c r="J158" s="755"/>
      <c r="K158" s="728" cm="1">
        <f t="array" ref="K158">SUM(D140:D157+D143)</f>
        <v>31750</v>
      </c>
    </row>
    <row r="159" spans="1:14" s="468" customFormat="1" ht="18.600000000000001" customHeight="1">
      <c r="A159" s="513" t="s">
        <v>2215</v>
      </c>
      <c r="B159" s="514"/>
      <c r="C159" s="514"/>
      <c r="D159" s="726">
        <f>SUM(D161:D174)+SUM(D177:D190)</f>
        <v>57517</v>
      </c>
      <c r="E159" s="727">
        <f>SUM(E160:E186)+E195</f>
        <v>24565</v>
      </c>
      <c r="F159" s="516"/>
      <c r="G159" s="514"/>
      <c r="H159" s="514"/>
      <c r="I159" s="517"/>
      <c r="J159" s="755"/>
    </row>
    <row r="160" spans="1:14" s="468" customFormat="1" ht="18.600000000000001" customHeight="1" thickBot="1">
      <c r="A160" s="739"/>
      <c r="B160" s="496"/>
      <c r="C160" s="496"/>
      <c r="D160" s="499"/>
      <c r="E160" s="497"/>
      <c r="F160" s="497"/>
      <c r="G160" s="496"/>
      <c r="H160" s="496"/>
      <c r="I160" s="498"/>
      <c r="J160" s="755"/>
    </row>
    <row r="161" spans="1:15" s="468" customFormat="1" ht="18.600000000000001" customHeight="1">
      <c r="A161" s="738" t="s">
        <v>2173</v>
      </c>
      <c r="B161" s="482" t="s">
        <v>547</v>
      </c>
      <c r="C161" s="482" t="s">
        <v>2204</v>
      </c>
      <c r="D161" s="504">
        <v>20127</v>
      </c>
      <c r="E161" s="484"/>
      <c r="F161" s="484">
        <v>45786</v>
      </c>
      <c r="G161" s="482"/>
      <c r="H161" s="482"/>
      <c r="I161" s="505"/>
      <c r="J161" s="755"/>
    </row>
    <row r="162" spans="1:15" s="468" customFormat="1" ht="18.600000000000001" customHeight="1">
      <c r="A162" s="486" t="s">
        <v>2174</v>
      </c>
      <c r="B162" s="450" t="s">
        <v>547</v>
      </c>
      <c r="C162" s="450" t="s">
        <v>2205</v>
      </c>
      <c r="D162" s="467">
        <v>11530</v>
      </c>
      <c r="E162" s="465"/>
      <c r="F162" s="451">
        <v>45786</v>
      </c>
      <c r="G162" s="450"/>
      <c r="H162" s="450"/>
      <c r="I162" s="487"/>
      <c r="J162" s="755"/>
    </row>
    <row r="163" spans="1:15" s="468" customFormat="1" ht="18.600000000000001" customHeight="1">
      <c r="A163" s="754" t="s">
        <v>2288</v>
      </c>
      <c r="B163" s="450" t="s">
        <v>2160</v>
      </c>
      <c r="C163" s="450" t="s">
        <v>2199</v>
      </c>
      <c r="D163" s="753"/>
      <c r="E163" s="740">
        <v>2000</v>
      </c>
      <c r="F163" s="451">
        <v>45782</v>
      </c>
      <c r="G163" s="475"/>
      <c r="H163" s="475"/>
      <c r="I163" s="752"/>
      <c r="J163" s="755"/>
    </row>
    <row r="164" spans="1:15" s="468" customFormat="1" ht="18.600000000000001" customHeight="1">
      <c r="A164" s="486" t="s">
        <v>2175</v>
      </c>
      <c r="B164" s="450" t="s">
        <v>1884</v>
      </c>
      <c r="C164" s="450" t="s">
        <v>2265</v>
      </c>
      <c r="D164" s="467">
        <v>3100</v>
      </c>
      <c r="E164" s="465"/>
      <c r="F164" s="451">
        <v>45839</v>
      </c>
      <c r="G164" s="448"/>
      <c r="H164" s="448"/>
      <c r="I164" s="489"/>
      <c r="J164" s="755"/>
    </row>
    <row r="165" spans="1:15" s="468" customFormat="1" ht="18.600000000000001" customHeight="1">
      <c r="A165" s="486" t="s">
        <v>2176</v>
      </c>
      <c r="B165" s="450" t="s">
        <v>1884</v>
      </c>
      <c r="C165" s="450" t="s">
        <v>2266</v>
      </c>
      <c r="D165" s="467"/>
      <c r="E165" s="465">
        <v>2410</v>
      </c>
      <c r="F165" s="451">
        <v>45841</v>
      </c>
      <c r="G165" s="450"/>
      <c r="H165" s="450"/>
      <c r="I165" s="487"/>
      <c r="J165" s="755"/>
    </row>
    <row r="166" spans="1:15" s="468" customFormat="1" ht="18.600000000000001" customHeight="1">
      <c r="A166" s="486" t="s">
        <v>2177</v>
      </c>
      <c r="B166" s="450" t="s">
        <v>2053</v>
      </c>
      <c r="C166" s="450" t="s">
        <v>2197</v>
      </c>
      <c r="D166" s="467">
        <v>550</v>
      </c>
      <c r="E166" s="465"/>
      <c r="F166" s="451">
        <v>45806</v>
      </c>
      <c r="G166" s="448"/>
      <c r="H166" s="448"/>
      <c r="I166" s="489"/>
      <c r="J166" s="755"/>
    </row>
    <row r="167" spans="1:15" s="468" customFormat="1" ht="18.600000000000001" customHeight="1">
      <c r="A167" s="486" t="s">
        <v>2178</v>
      </c>
      <c r="B167" s="450" t="s">
        <v>2160</v>
      </c>
      <c r="C167" s="450" t="s">
        <v>2199</v>
      </c>
      <c r="D167" s="467"/>
      <c r="E167" s="465">
        <v>1000</v>
      </c>
      <c r="F167" s="451">
        <v>45804</v>
      </c>
      <c r="G167" s="450"/>
      <c r="H167" s="450"/>
      <c r="I167" s="487"/>
      <c r="J167" s="755"/>
    </row>
    <row r="168" spans="1:15" s="468" customFormat="1" ht="18.600000000000001" customHeight="1">
      <c r="A168" s="486" t="s">
        <v>2179</v>
      </c>
      <c r="B168" s="450" t="s">
        <v>1884</v>
      </c>
      <c r="C168" s="450" t="s">
        <v>2283</v>
      </c>
      <c r="D168" s="467">
        <v>3100</v>
      </c>
      <c r="E168" s="465"/>
      <c r="F168" s="451">
        <v>45839</v>
      </c>
      <c r="G168" s="448"/>
      <c r="H168" s="448"/>
      <c r="I168" s="489"/>
      <c r="J168" s="755"/>
    </row>
    <row r="169" spans="1:15" s="468" customFormat="1" ht="18.600000000000001" customHeight="1">
      <c r="A169" s="486" t="s">
        <v>2180</v>
      </c>
      <c r="B169" s="450" t="s">
        <v>1884</v>
      </c>
      <c r="C169" s="450" t="s">
        <v>2284</v>
      </c>
      <c r="D169" s="467"/>
      <c r="E169" s="465">
        <v>2410</v>
      </c>
      <c r="F169" s="451">
        <v>45841</v>
      </c>
      <c r="G169" s="450"/>
      <c r="H169" s="450"/>
      <c r="I169" s="487"/>
      <c r="J169" s="755"/>
    </row>
    <row r="170" spans="1:15" s="468" customFormat="1" ht="18.600000000000001" customHeight="1">
      <c r="A170" s="486" t="s">
        <v>2181</v>
      </c>
      <c r="B170" s="450" t="s">
        <v>2053</v>
      </c>
      <c r="C170" s="450" t="s">
        <v>2197</v>
      </c>
      <c r="D170" s="467">
        <v>550</v>
      </c>
      <c r="E170" s="465"/>
      <c r="F170" s="451">
        <v>45862</v>
      </c>
      <c r="G170" s="448"/>
      <c r="H170" s="448"/>
      <c r="I170" s="489"/>
      <c r="J170" s="755"/>
    </row>
    <row r="171" spans="1:15" s="468" customFormat="1" ht="18.600000000000001" customHeight="1">
      <c r="A171" s="486" t="s">
        <v>2182</v>
      </c>
      <c r="B171" s="450" t="s">
        <v>1884</v>
      </c>
      <c r="C171" s="450" t="s">
        <v>2263</v>
      </c>
      <c r="D171" s="467">
        <v>3100</v>
      </c>
      <c r="E171" s="465"/>
      <c r="F171" s="451">
        <v>45880</v>
      </c>
      <c r="G171" s="470"/>
      <c r="H171" s="470"/>
      <c r="I171" s="487"/>
      <c r="J171" s="755"/>
    </row>
    <row r="172" spans="1:15" s="468" customFormat="1" ht="18.600000000000001" customHeight="1">
      <c r="A172" s="486" t="s">
        <v>2183</v>
      </c>
      <c r="B172" s="450" t="s">
        <v>1884</v>
      </c>
      <c r="C172" s="450" t="s">
        <v>2264</v>
      </c>
      <c r="D172" s="467"/>
      <c r="E172" s="465">
        <v>2410</v>
      </c>
      <c r="F172" s="451">
        <v>45881</v>
      </c>
      <c r="G172" s="469"/>
      <c r="H172" s="469"/>
      <c r="I172" s="489"/>
      <c r="J172" s="755"/>
    </row>
    <row r="173" spans="1:15" s="468" customFormat="1" ht="18.600000000000001" customHeight="1">
      <c r="A173" s="486" t="s">
        <v>2184</v>
      </c>
      <c r="B173" s="450" t="s">
        <v>2160</v>
      </c>
      <c r="C173" s="450" t="s">
        <v>2199</v>
      </c>
      <c r="D173" s="467"/>
      <c r="E173" s="465">
        <v>850</v>
      </c>
      <c r="F173" s="451">
        <v>45839</v>
      </c>
      <c r="G173" s="506"/>
      <c r="H173" s="506"/>
      <c r="I173" s="489"/>
      <c r="J173" s="755"/>
      <c r="M173" s="743"/>
      <c r="O173" s="743"/>
    </row>
    <row r="174" spans="1:15" s="468" customFormat="1" ht="18.600000000000001" customHeight="1">
      <c r="A174" s="486" t="s">
        <v>2185</v>
      </c>
      <c r="B174" s="450" t="s">
        <v>1884</v>
      </c>
      <c r="C174" s="450" t="s">
        <v>2261</v>
      </c>
      <c r="D174" s="467">
        <v>3100</v>
      </c>
      <c r="E174" s="465"/>
      <c r="F174" s="451">
        <v>45880</v>
      </c>
      <c r="G174" s="506"/>
      <c r="H174" s="506"/>
      <c r="I174" s="487"/>
      <c r="J174" s="755"/>
      <c r="M174" s="743"/>
      <c r="O174" s="743"/>
    </row>
    <row r="175" spans="1:15" s="468" customFormat="1" ht="18.600000000000001" customHeight="1">
      <c r="A175" s="486" t="s">
        <v>2186</v>
      </c>
      <c r="B175" s="450" t="s">
        <v>1884</v>
      </c>
      <c r="C175" s="450" t="s">
        <v>2262</v>
      </c>
      <c r="D175" s="467"/>
      <c r="E175" s="465">
        <v>2410</v>
      </c>
      <c r="F175" s="451">
        <v>45881</v>
      </c>
      <c r="G175" s="506"/>
      <c r="H175" s="506"/>
      <c r="I175" s="489"/>
      <c r="J175" s="755"/>
      <c r="M175" s="743"/>
      <c r="O175" s="743"/>
    </row>
    <row r="176" spans="1:15" s="468" customFormat="1" ht="18.600000000000001" customHeight="1">
      <c r="A176" s="486" t="s">
        <v>2187</v>
      </c>
      <c r="B176" s="450" t="s">
        <v>1989</v>
      </c>
      <c r="C176" s="450" t="s">
        <v>2206</v>
      </c>
      <c r="D176" s="467">
        <v>2300</v>
      </c>
      <c r="E176" s="465"/>
      <c r="F176" s="451"/>
      <c r="G176" s="506"/>
      <c r="H176" s="506"/>
      <c r="I176" s="487"/>
      <c r="J176" s="755"/>
      <c r="M176" s="743"/>
      <c r="O176" s="743"/>
    </row>
    <row r="177" spans="1:15" s="468" customFormat="1" ht="18.600000000000001" customHeight="1">
      <c r="A177" s="486" t="s">
        <v>2188</v>
      </c>
      <c r="B177" s="450" t="s">
        <v>2053</v>
      </c>
      <c r="C177" s="450" t="s">
        <v>2197</v>
      </c>
      <c r="D177" s="467">
        <v>550</v>
      </c>
      <c r="E177" s="465"/>
      <c r="F177" s="451">
        <v>45890</v>
      </c>
      <c r="G177" s="506"/>
      <c r="H177" s="506"/>
      <c r="I177" s="489"/>
      <c r="J177" s="755"/>
      <c r="O177" s="743"/>
    </row>
    <row r="178" spans="1:15" s="468" customFormat="1" ht="18.600000000000001" customHeight="1">
      <c r="A178" s="486" t="s">
        <v>2189</v>
      </c>
      <c r="B178" s="450" t="s">
        <v>1884</v>
      </c>
      <c r="C178" s="450" t="s">
        <v>2259</v>
      </c>
      <c r="D178" s="467">
        <v>2350</v>
      </c>
      <c r="E178" s="465"/>
      <c r="F178" s="451">
        <v>45880</v>
      </c>
      <c r="G178" s="506"/>
      <c r="H178" s="506"/>
      <c r="I178" s="487"/>
      <c r="J178" s="755"/>
      <c r="O178" s="743"/>
    </row>
    <row r="179" spans="1:15" s="468" customFormat="1" ht="18.600000000000001" customHeight="1">
      <c r="A179" s="486" t="s">
        <v>2190</v>
      </c>
      <c r="B179" s="450" t="s">
        <v>1884</v>
      </c>
      <c r="C179" s="450" t="s">
        <v>2260</v>
      </c>
      <c r="D179" s="467"/>
      <c r="E179" s="465">
        <v>2110</v>
      </c>
      <c r="F179" s="451">
        <v>45943</v>
      </c>
      <c r="G179" s="506"/>
      <c r="H179" s="506"/>
      <c r="I179" s="489"/>
      <c r="J179" s="755"/>
      <c r="O179" s="743"/>
    </row>
    <row r="180" spans="1:15" s="468" customFormat="1" ht="18.600000000000001" customHeight="1">
      <c r="A180" s="486" t="s">
        <v>2191</v>
      </c>
      <c r="B180" s="450" t="s">
        <v>2053</v>
      </c>
      <c r="C180" s="450" t="s">
        <v>2197</v>
      </c>
      <c r="D180" s="467">
        <v>550</v>
      </c>
      <c r="E180" s="465"/>
      <c r="F180" s="451">
        <v>45925</v>
      </c>
      <c r="G180" s="506"/>
      <c r="H180" s="506"/>
      <c r="I180" s="487"/>
      <c r="J180" s="755"/>
    </row>
    <row r="181" spans="1:15" s="468" customFormat="1" ht="18.600000000000001" customHeight="1">
      <c r="A181" s="486" t="s">
        <v>2192</v>
      </c>
      <c r="B181" s="450" t="s">
        <v>1887</v>
      </c>
      <c r="C181" s="450" t="s">
        <v>2207</v>
      </c>
      <c r="D181" s="467">
        <v>1000</v>
      </c>
      <c r="E181" s="465"/>
      <c r="F181" s="451">
        <v>45966</v>
      </c>
      <c r="G181" s="506"/>
      <c r="H181" s="506"/>
      <c r="I181" s="489"/>
      <c r="J181" s="755"/>
    </row>
    <row r="182" spans="1:15" s="468" customFormat="1" ht="18.600000000000001" customHeight="1">
      <c r="A182" s="486" t="s">
        <v>2193</v>
      </c>
      <c r="B182" s="450" t="s">
        <v>1884</v>
      </c>
      <c r="C182" s="450" t="s">
        <v>2257</v>
      </c>
      <c r="D182" s="467">
        <v>2350</v>
      </c>
      <c r="E182" s="465"/>
      <c r="F182" s="451">
        <v>45994</v>
      </c>
      <c r="G182" s="506"/>
      <c r="H182" s="742">
        <f>Tabelle1[[#This Row],[UK]]+D178</f>
        <v>4700</v>
      </c>
      <c r="I182" s="487"/>
      <c r="J182" s="755"/>
    </row>
    <row r="183" spans="1:15" s="468" customFormat="1" ht="18.600000000000001" customHeight="1">
      <c r="A183" s="486" t="s">
        <v>2194</v>
      </c>
      <c r="B183" s="450" t="s">
        <v>1884</v>
      </c>
      <c r="C183" s="450" t="s">
        <v>2258</v>
      </c>
      <c r="D183" s="467"/>
      <c r="E183" s="465">
        <v>2110</v>
      </c>
      <c r="F183" s="451">
        <v>45943</v>
      </c>
      <c r="G183" s="506"/>
      <c r="H183" s="506"/>
      <c r="I183" s="489"/>
      <c r="J183" s="755"/>
    </row>
    <row r="184" spans="1:15" s="468" customFormat="1" ht="18.600000000000001" customHeight="1">
      <c r="A184" s="486" t="s">
        <v>2195</v>
      </c>
      <c r="B184" s="450" t="s">
        <v>2053</v>
      </c>
      <c r="C184" s="450" t="s">
        <v>2197</v>
      </c>
      <c r="D184" s="467">
        <v>550</v>
      </c>
      <c r="E184" s="465"/>
      <c r="F184" s="451">
        <v>45953</v>
      </c>
      <c r="G184" s="506"/>
      <c r="H184" s="506"/>
      <c r="I184" s="487"/>
      <c r="J184" s="755"/>
    </row>
    <row r="185" spans="1:15" s="468" customFormat="1" ht="18.600000000000001" customHeight="1">
      <c r="A185" s="486" t="s">
        <v>2208</v>
      </c>
      <c r="B185" s="450" t="s">
        <v>1887</v>
      </c>
      <c r="C185" s="450" t="s">
        <v>2209</v>
      </c>
      <c r="D185" s="467">
        <v>1000</v>
      </c>
      <c r="E185" s="465"/>
      <c r="F185" s="451">
        <v>45966</v>
      </c>
      <c r="G185" s="506"/>
      <c r="H185" s="506"/>
      <c r="I185" s="489"/>
      <c r="J185" s="755"/>
    </row>
    <row r="186" spans="1:15" s="468" customFormat="1" ht="18.600000000000001" customHeight="1">
      <c r="A186" s="486" t="s">
        <v>2196</v>
      </c>
      <c r="B186" s="450" t="s">
        <v>389</v>
      </c>
      <c r="C186" s="450" t="s">
        <v>2210</v>
      </c>
      <c r="D186" s="467"/>
      <c r="E186" s="465">
        <v>4500</v>
      </c>
      <c r="F186" s="451">
        <v>45931</v>
      </c>
      <c r="G186" s="506"/>
      <c r="H186" s="506"/>
      <c r="I186" s="487"/>
      <c r="J186" s="755"/>
    </row>
    <row r="187" spans="1:15" s="468" customFormat="1" ht="18.600000000000001" customHeight="1">
      <c r="A187" s="486" t="s">
        <v>2245</v>
      </c>
      <c r="B187" s="450" t="s">
        <v>1884</v>
      </c>
      <c r="C187" s="450" t="s">
        <v>2253</v>
      </c>
      <c r="D187" s="467">
        <v>2100</v>
      </c>
      <c r="E187" s="465"/>
      <c r="F187" s="451">
        <v>45994</v>
      </c>
      <c r="G187" s="741"/>
      <c r="H187" s="475"/>
      <c r="I187" s="507"/>
      <c r="J187" s="755"/>
    </row>
    <row r="188" spans="1:15" s="468" customFormat="1" ht="18.600000000000001" customHeight="1">
      <c r="A188" s="486" t="s">
        <v>2250</v>
      </c>
      <c r="B188" s="450" t="s">
        <v>1884</v>
      </c>
      <c r="C188" s="450" t="s">
        <v>2254</v>
      </c>
      <c r="D188" s="467"/>
      <c r="E188" s="465">
        <v>1720</v>
      </c>
      <c r="F188" s="451"/>
      <c r="G188" s="475"/>
      <c r="H188" s="475"/>
      <c r="I188" s="487"/>
      <c r="J188" s="755"/>
    </row>
    <row r="189" spans="1:15" ht="18.600000000000001" customHeight="1">
      <c r="A189" s="486" t="s">
        <v>2246</v>
      </c>
      <c r="B189" s="450" t="s">
        <v>2053</v>
      </c>
      <c r="C189" s="450" t="s">
        <v>2197</v>
      </c>
      <c r="D189" s="467">
        <v>550</v>
      </c>
      <c r="E189" s="465"/>
      <c r="F189" s="451">
        <v>45981</v>
      </c>
      <c r="G189" s="475"/>
      <c r="H189" s="475"/>
      <c r="I189" s="507"/>
      <c r="J189" s="460"/>
    </row>
    <row r="190" spans="1:15" ht="18.600000000000001" customHeight="1">
      <c r="A190" s="486" t="s">
        <v>2285</v>
      </c>
      <c r="B190" s="450" t="s">
        <v>1887</v>
      </c>
      <c r="C190" s="450" t="s">
        <v>2209</v>
      </c>
      <c r="D190" s="467">
        <v>1360</v>
      </c>
      <c r="E190" s="465"/>
      <c r="F190" s="451">
        <v>46010</v>
      </c>
      <c r="G190" s="475"/>
      <c r="H190" s="475"/>
      <c r="I190" s="744"/>
      <c r="J190" s="460"/>
    </row>
    <row r="191" spans="1:15" ht="18.600000000000001" customHeight="1">
      <c r="A191" s="486" t="s">
        <v>2247</v>
      </c>
      <c r="B191" s="506" t="s">
        <v>1884</v>
      </c>
      <c r="C191" s="448" t="s">
        <v>2255</v>
      </c>
      <c r="D191" s="462">
        <v>3100</v>
      </c>
      <c r="E191" s="465"/>
      <c r="F191" s="451"/>
      <c r="G191" s="742"/>
      <c r="H191" s="506"/>
      <c r="I191" s="508"/>
      <c r="J191" s="460"/>
    </row>
    <row r="192" spans="1:15" ht="18.600000000000001" customHeight="1">
      <c r="A192" s="486" t="s">
        <v>2248</v>
      </c>
      <c r="B192" s="506" t="s">
        <v>1884</v>
      </c>
      <c r="C192" s="448" t="s">
        <v>2256</v>
      </c>
      <c r="D192" s="464"/>
      <c r="E192" s="465">
        <v>2410</v>
      </c>
      <c r="F192" s="451"/>
      <c r="G192" s="506"/>
      <c r="H192" s="506"/>
      <c r="I192" s="507"/>
      <c r="J192" s="460"/>
    </row>
    <row r="193" spans="1:10" ht="18.600000000000001" customHeight="1">
      <c r="A193" s="486" t="s">
        <v>2249</v>
      </c>
      <c r="B193" s="506" t="s">
        <v>2053</v>
      </c>
      <c r="C193" s="475" t="s">
        <v>2197</v>
      </c>
      <c r="D193" s="467">
        <v>550</v>
      </c>
      <c r="E193" s="465"/>
      <c r="F193" s="451"/>
      <c r="G193" s="506"/>
      <c r="H193" s="506"/>
      <c r="I193" s="508"/>
      <c r="J193" s="460"/>
    </row>
    <row r="194" spans="1:10" ht="18.600000000000001" customHeight="1">
      <c r="A194" s="486" t="s">
        <v>2251</v>
      </c>
      <c r="B194" s="506" t="s">
        <v>2271</v>
      </c>
      <c r="C194" s="506" t="s">
        <v>2272</v>
      </c>
      <c r="D194" s="464"/>
      <c r="E194" s="465">
        <v>16405.689999999999</v>
      </c>
      <c r="F194" s="451"/>
      <c r="G194" s="506"/>
      <c r="H194" s="506"/>
      <c r="I194" s="507"/>
      <c r="J194" s="460"/>
    </row>
    <row r="195" spans="1:10" ht="18.600000000000001" customHeight="1">
      <c r="A195" s="486" t="s">
        <v>2252</v>
      </c>
      <c r="B195" s="506" t="s">
        <v>2274</v>
      </c>
      <c r="C195" s="506" t="s">
        <v>2273</v>
      </c>
      <c r="D195" s="462"/>
      <c r="E195" s="465">
        <v>2355</v>
      </c>
      <c r="F195" s="451">
        <v>45995</v>
      </c>
      <c r="G195" s="506"/>
      <c r="H195" s="506"/>
      <c r="I195" s="508"/>
      <c r="J195" s="460"/>
    </row>
    <row r="196" spans="1:10" ht="18.600000000000001" customHeight="1" thickBot="1">
      <c r="A196" s="737"/>
      <c r="B196" s="509"/>
      <c r="C196" s="509"/>
      <c r="D196" s="510"/>
      <c r="E196" s="511"/>
      <c r="F196" s="509"/>
      <c r="G196" s="509"/>
      <c r="H196" s="509"/>
      <c r="I196" s="512"/>
      <c r="J196" s="460"/>
    </row>
    <row r="197" spans="1:10" ht="18.600000000000001" customHeight="1">
      <c r="A197" s="500"/>
      <c r="B197" s="500"/>
      <c r="C197" s="500"/>
      <c r="D197" s="501"/>
      <c r="E197" s="502"/>
      <c r="F197" s="500"/>
      <c r="G197" s="500"/>
      <c r="H197" s="500"/>
      <c r="I197" s="503"/>
      <c r="J197" s="460"/>
    </row>
    <row r="198" spans="1:10" ht="18.600000000000001" customHeight="1">
      <c r="A198" s="460"/>
      <c r="B198" s="460"/>
      <c r="C198" s="460"/>
      <c r="D198" s="462"/>
      <c r="E198" s="463"/>
      <c r="F198" s="460"/>
      <c r="G198" s="460"/>
      <c r="H198" s="460"/>
      <c r="I198" s="452"/>
      <c r="J198" s="460"/>
    </row>
    <row r="199" spans="1:10" ht="18.600000000000001" customHeight="1">
      <c r="A199" s="460"/>
      <c r="B199" s="460"/>
      <c r="C199" s="460"/>
      <c r="D199" s="464"/>
      <c r="E199" s="465"/>
      <c r="F199" s="460"/>
      <c r="G199" s="460"/>
      <c r="H199" s="460"/>
      <c r="I199" s="449"/>
      <c r="J199" s="460"/>
    </row>
    <row r="200" spans="1:10" ht="18.600000000000001" customHeight="1">
      <c r="A200" s="460"/>
      <c r="B200" s="460"/>
      <c r="C200" s="460"/>
      <c r="D200" s="462"/>
      <c r="E200" s="463"/>
      <c r="F200" s="460"/>
      <c r="G200" s="460"/>
      <c r="H200" s="460"/>
      <c r="I200" s="452"/>
      <c r="J200" s="460"/>
    </row>
    <row r="201" spans="1:10" ht="18.600000000000001" customHeight="1">
      <c r="A201" s="460"/>
      <c r="B201" s="460"/>
      <c r="C201" s="460"/>
      <c r="D201" s="464"/>
      <c r="E201" s="465"/>
      <c r="F201" s="460"/>
      <c r="G201" s="460"/>
      <c r="H201" s="460"/>
      <c r="I201" s="449"/>
      <c r="J201" s="460"/>
    </row>
    <row r="202" spans="1:10" ht="18.600000000000001" customHeight="1">
      <c r="A202" s="460"/>
      <c r="B202" s="460"/>
      <c r="C202" s="460"/>
      <c r="D202" s="462"/>
      <c r="E202" s="463"/>
      <c r="F202" s="460"/>
      <c r="G202" s="460"/>
      <c r="H202" s="460"/>
      <c r="I202" s="452"/>
      <c r="J202" s="460"/>
    </row>
    <row r="203" spans="1:10" ht="18.600000000000001" customHeight="1">
      <c r="A203" s="460"/>
      <c r="B203" s="460"/>
      <c r="C203" s="460"/>
      <c r="D203" s="464"/>
      <c r="E203" s="465"/>
      <c r="F203" s="460"/>
      <c r="G203" s="460"/>
      <c r="H203" s="460"/>
      <c r="I203" s="449"/>
      <c r="J203" s="460"/>
    </row>
    <row r="204" spans="1:10" ht="18.600000000000001" customHeight="1">
      <c r="A204" s="460"/>
      <c r="B204" s="460"/>
      <c r="C204" s="460"/>
      <c r="D204" s="462"/>
      <c r="E204" s="463"/>
      <c r="F204" s="460"/>
      <c r="G204" s="460"/>
      <c r="H204" s="460"/>
      <c r="I204" s="452"/>
      <c r="J204" s="460"/>
    </row>
    <row r="205" spans="1:10" ht="18.600000000000001" customHeight="1">
      <c r="A205" s="460"/>
      <c r="B205" s="460"/>
      <c r="C205" s="460"/>
      <c r="D205" s="464"/>
      <c r="E205" s="465"/>
      <c r="F205" s="460"/>
      <c r="G205" s="460"/>
      <c r="H205" s="460"/>
      <c r="I205" s="449"/>
      <c r="J205" s="460"/>
    </row>
    <row r="206" spans="1:10" ht="18.600000000000001" customHeight="1">
      <c r="A206" s="460"/>
      <c r="B206" s="460"/>
      <c r="C206" s="460"/>
      <c r="D206" s="462"/>
      <c r="E206" s="463"/>
      <c r="F206" s="460"/>
      <c r="G206" s="460"/>
      <c r="H206" s="460"/>
      <c r="I206" s="452"/>
      <c r="J206" s="460"/>
    </row>
    <row r="207" spans="1:10" ht="18.600000000000001" customHeight="1">
      <c r="A207" s="460"/>
      <c r="B207" s="460"/>
      <c r="C207" s="460"/>
      <c r="D207" s="464"/>
      <c r="E207" s="465"/>
      <c r="F207" s="460"/>
      <c r="G207" s="460"/>
      <c r="H207" s="460"/>
      <c r="I207" s="449"/>
      <c r="J207" s="460"/>
    </row>
    <row r="208" spans="1:10" ht="18.600000000000001" customHeight="1">
      <c r="A208" s="460"/>
      <c r="B208" s="460"/>
      <c r="C208" s="460"/>
      <c r="D208" s="462"/>
      <c r="E208" s="463"/>
      <c r="F208" s="460"/>
      <c r="G208" s="460"/>
      <c r="H208" s="460"/>
      <c r="I208" s="452"/>
      <c r="J208" s="460"/>
    </row>
    <row r="209" spans="1:10" ht="18.600000000000001" customHeight="1">
      <c r="A209" s="460"/>
      <c r="B209" s="460"/>
      <c r="C209" s="460"/>
      <c r="D209" s="464"/>
      <c r="E209" s="465"/>
      <c r="F209" s="460"/>
      <c r="G209" s="460"/>
      <c r="H209" s="460"/>
      <c r="I209" s="449"/>
      <c r="J209" s="460"/>
    </row>
    <row r="210" spans="1:10" ht="18.600000000000001" customHeight="1">
      <c r="A210" s="460"/>
      <c r="B210" s="460"/>
      <c r="C210" s="460"/>
      <c r="D210" s="462"/>
      <c r="E210" s="463"/>
      <c r="F210" s="460"/>
      <c r="G210" s="460"/>
      <c r="H210" s="460"/>
      <c r="I210" s="452"/>
      <c r="J210" s="460"/>
    </row>
    <row r="211" spans="1:10" ht="18.600000000000001" customHeight="1">
      <c r="A211" s="460"/>
      <c r="B211" s="460"/>
      <c r="C211" s="460"/>
      <c r="D211" s="464"/>
      <c r="E211" s="465"/>
      <c r="F211" s="460"/>
      <c r="G211" s="460"/>
      <c r="H211" s="460"/>
      <c r="I211" s="449"/>
      <c r="J211" s="460"/>
    </row>
    <row r="212" spans="1:10" ht="13.8">
      <c r="A212" s="460"/>
      <c r="B212" s="460"/>
      <c r="C212" s="460"/>
      <c r="D212" s="462"/>
      <c r="E212" s="463"/>
      <c r="F212" s="460"/>
      <c r="G212" s="460"/>
      <c r="H212" s="460"/>
      <c r="I212" s="452"/>
      <c r="J212" s="460"/>
    </row>
    <row r="213" spans="1:10" ht="13.8">
      <c r="A213" s="460"/>
      <c r="B213" s="460"/>
      <c r="C213" s="460"/>
      <c r="D213" s="464"/>
      <c r="E213" s="465"/>
      <c r="F213" s="460"/>
      <c r="G213" s="460"/>
      <c r="H213" s="460"/>
      <c r="I213" s="449"/>
      <c r="J213" s="460"/>
    </row>
    <row r="214" spans="1:10" ht="13.8">
      <c r="A214" s="460"/>
      <c r="B214" s="460"/>
      <c r="C214" s="460"/>
      <c r="D214" s="462"/>
      <c r="E214" s="463"/>
      <c r="F214" s="460"/>
      <c r="G214" s="460"/>
      <c r="H214" s="460"/>
      <c r="I214" s="452"/>
      <c r="J214" s="460"/>
    </row>
    <row r="215" spans="1:10" ht="13.8">
      <c r="A215" s="460"/>
      <c r="B215" s="460"/>
      <c r="C215" s="460"/>
      <c r="D215" s="464"/>
      <c r="E215" s="465"/>
      <c r="F215" s="460"/>
      <c r="G215" s="460"/>
      <c r="H215" s="460"/>
      <c r="I215" s="449"/>
      <c r="J215" s="460"/>
    </row>
    <row r="216" spans="1:10" ht="13.8">
      <c r="A216" s="460"/>
      <c r="B216" s="460"/>
      <c r="C216" s="460"/>
      <c r="D216" s="462"/>
      <c r="E216" s="463"/>
      <c r="F216" s="460"/>
      <c r="G216" s="460"/>
      <c r="H216" s="460"/>
      <c r="I216" s="452"/>
      <c r="J216" s="460"/>
    </row>
    <row r="217" spans="1:10" ht="13.8">
      <c r="A217" s="460"/>
      <c r="B217" s="460"/>
      <c r="C217" s="460"/>
      <c r="D217" s="464"/>
      <c r="E217" s="465"/>
      <c r="F217" s="460"/>
      <c r="G217" s="460"/>
      <c r="H217" s="460"/>
      <c r="I217" s="449"/>
      <c r="J217" s="460"/>
    </row>
    <row r="218" spans="1:10" ht="13.8">
      <c r="A218" s="460"/>
      <c r="B218" s="460"/>
      <c r="C218" s="460"/>
      <c r="D218" s="462"/>
      <c r="E218" s="463"/>
      <c r="F218" s="460"/>
      <c r="G218" s="460"/>
      <c r="H218" s="460"/>
      <c r="I218" s="452"/>
      <c r="J218" s="460"/>
    </row>
    <row r="219" spans="1:10" ht="13.8">
      <c r="A219" s="460"/>
      <c r="B219" s="460"/>
      <c r="C219" s="460"/>
      <c r="D219" s="462"/>
      <c r="E219" s="463"/>
      <c r="F219" s="460"/>
      <c r="G219" s="460"/>
      <c r="H219" s="460"/>
      <c r="I219" s="452"/>
      <c r="J219" s="460"/>
    </row>
    <row r="220" spans="1:10" ht="13.8">
      <c r="A220" s="460"/>
      <c r="B220" s="460"/>
      <c r="C220" s="460"/>
      <c r="D220" s="464"/>
      <c r="E220" s="465"/>
      <c r="F220" s="460"/>
      <c r="G220" s="460"/>
      <c r="H220" s="460"/>
      <c r="I220" s="449"/>
      <c r="J220" s="460"/>
    </row>
    <row r="221" spans="1:10" ht="13.8">
      <c r="A221" s="460"/>
      <c r="B221" s="460"/>
      <c r="C221" s="460"/>
      <c r="D221" s="462"/>
      <c r="E221" s="463"/>
      <c r="F221" s="460"/>
      <c r="G221" s="460"/>
      <c r="H221" s="460"/>
      <c r="I221" s="452"/>
      <c r="J221" s="460"/>
    </row>
    <row r="222" spans="1:10" ht="13.8">
      <c r="A222" s="460"/>
      <c r="B222" s="460"/>
      <c r="C222" s="460"/>
      <c r="D222" s="464"/>
      <c r="E222" s="465"/>
      <c r="F222" s="460"/>
      <c r="G222" s="460"/>
      <c r="H222" s="460"/>
      <c r="I222" s="449"/>
      <c r="J222" s="460"/>
    </row>
    <row r="223" spans="1:10" ht="13.8">
      <c r="A223" s="460"/>
      <c r="B223" s="460"/>
      <c r="C223" s="460"/>
      <c r="D223" s="462"/>
      <c r="E223" s="463"/>
      <c r="F223" s="460"/>
      <c r="G223" s="460"/>
      <c r="H223" s="460"/>
      <c r="I223" s="452"/>
      <c r="J223" s="460"/>
    </row>
    <row r="224" spans="1:10" ht="13.8">
      <c r="A224" s="460"/>
      <c r="B224" s="460"/>
      <c r="C224" s="460"/>
      <c r="D224" s="462"/>
      <c r="E224" s="463"/>
      <c r="F224" s="460"/>
      <c r="G224" s="460"/>
      <c r="H224" s="460"/>
      <c r="I224" s="452"/>
      <c r="J224" s="460"/>
    </row>
    <row r="225" spans="1:10" ht="13.8">
      <c r="A225" s="460"/>
      <c r="B225" s="460"/>
      <c r="C225" s="460"/>
      <c r="D225" s="464"/>
      <c r="E225" s="465"/>
      <c r="F225" s="460"/>
      <c r="G225" s="460"/>
      <c r="H225" s="460"/>
      <c r="I225" s="449"/>
      <c r="J225" s="460"/>
    </row>
    <row r="226" spans="1:10" ht="13.8">
      <c r="A226" s="460"/>
      <c r="B226" s="460"/>
      <c r="C226" s="460"/>
      <c r="D226" s="462"/>
      <c r="E226" s="463"/>
      <c r="F226" s="460"/>
      <c r="G226" s="460"/>
      <c r="H226" s="460"/>
      <c r="I226" s="452"/>
      <c r="J226" s="460"/>
    </row>
    <row r="227" spans="1:10" ht="13.8">
      <c r="A227" s="460"/>
      <c r="B227" s="460"/>
      <c r="C227" s="460"/>
      <c r="D227" s="464"/>
      <c r="E227" s="465"/>
      <c r="F227" s="460"/>
      <c r="G227" s="460"/>
      <c r="H227" s="460"/>
      <c r="I227" s="449"/>
      <c r="J227" s="460"/>
    </row>
    <row r="228" spans="1:10" ht="13.8">
      <c r="A228" s="460"/>
      <c r="B228" s="460"/>
      <c r="C228" s="460"/>
      <c r="D228" s="462"/>
      <c r="E228" s="463"/>
      <c r="F228" s="460"/>
      <c r="G228" s="460"/>
      <c r="H228" s="460"/>
      <c r="I228" s="452"/>
      <c r="J228" s="460"/>
    </row>
    <row r="229" spans="1:10" ht="13.8">
      <c r="A229" s="460"/>
      <c r="B229" s="460"/>
      <c r="C229" s="460"/>
      <c r="D229" s="462"/>
      <c r="E229" s="463"/>
      <c r="F229" s="460"/>
      <c r="G229" s="460"/>
      <c r="H229" s="460"/>
      <c r="I229" s="452"/>
      <c r="J229" s="460"/>
    </row>
    <row r="230" spans="1:10" ht="13.8">
      <c r="A230" s="460"/>
      <c r="B230" s="460"/>
      <c r="C230" s="460"/>
      <c r="D230" s="462"/>
      <c r="E230" s="463"/>
      <c r="F230" s="460"/>
      <c r="G230" s="460"/>
      <c r="H230" s="460"/>
      <c r="I230" s="452"/>
      <c r="J230" s="460"/>
    </row>
    <row r="231" spans="1:10" ht="13.8">
      <c r="A231" s="460"/>
      <c r="B231" s="460"/>
      <c r="C231" s="460"/>
      <c r="D231" s="464"/>
      <c r="E231" s="465"/>
      <c r="F231" s="460"/>
      <c r="G231" s="460"/>
      <c r="H231" s="460"/>
      <c r="I231" s="449"/>
      <c r="J231" s="460"/>
    </row>
    <row r="232" spans="1:10" ht="13.8">
      <c r="A232" s="460"/>
      <c r="B232" s="460"/>
      <c r="C232" s="460"/>
      <c r="D232" s="462"/>
      <c r="E232" s="463"/>
      <c r="F232" s="460"/>
      <c r="G232" s="460"/>
      <c r="H232" s="460"/>
      <c r="I232" s="452"/>
      <c r="J232" s="460"/>
    </row>
    <row r="233" spans="1:10" ht="13.8">
      <c r="A233" s="460"/>
      <c r="B233" s="460"/>
      <c r="C233" s="460"/>
      <c r="D233" s="464"/>
      <c r="E233" s="465"/>
      <c r="F233" s="460"/>
      <c r="G233" s="460"/>
      <c r="H233" s="460"/>
      <c r="I233" s="449"/>
      <c r="J233" s="460"/>
    </row>
    <row r="234" spans="1:10" ht="13.8">
      <c r="A234" s="460"/>
      <c r="B234" s="460"/>
      <c r="C234" s="460"/>
      <c r="D234" s="462"/>
      <c r="E234" s="463"/>
      <c r="F234" s="460"/>
      <c r="G234" s="460"/>
      <c r="H234" s="460"/>
      <c r="I234" s="452"/>
      <c r="J234" s="460"/>
    </row>
    <row r="235" spans="1:10" ht="13.8">
      <c r="A235" s="460"/>
      <c r="B235" s="460"/>
      <c r="C235" s="460"/>
      <c r="D235" s="462"/>
      <c r="E235" s="463"/>
      <c r="F235" s="460"/>
      <c r="G235" s="460"/>
      <c r="H235" s="460"/>
      <c r="I235" s="452"/>
      <c r="J235" s="460"/>
    </row>
    <row r="236" spans="1:10" ht="13.8">
      <c r="A236" s="460"/>
      <c r="B236" s="460"/>
      <c r="C236" s="460"/>
      <c r="D236" s="464"/>
      <c r="E236" s="465"/>
      <c r="F236" s="460"/>
      <c r="G236" s="460"/>
      <c r="H236" s="460"/>
      <c r="I236" s="449"/>
      <c r="J236" s="460"/>
    </row>
    <row r="237" spans="1:10" ht="13.8">
      <c r="A237" s="460"/>
      <c r="B237" s="460"/>
      <c r="C237" s="460"/>
      <c r="D237" s="462"/>
      <c r="E237" s="463"/>
      <c r="F237" s="460"/>
      <c r="G237" s="460"/>
      <c r="H237" s="460"/>
      <c r="I237" s="452"/>
      <c r="J237" s="460"/>
    </row>
    <row r="238" spans="1:10" ht="13.8">
      <c r="A238" s="460"/>
      <c r="B238" s="460"/>
      <c r="C238" s="460"/>
      <c r="D238" s="464"/>
      <c r="E238" s="465"/>
      <c r="F238" s="460"/>
      <c r="G238" s="460"/>
      <c r="H238" s="460"/>
      <c r="I238" s="449"/>
      <c r="J238" s="460"/>
    </row>
    <row r="239" spans="1:10" ht="13.8">
      <c r="A239" s="460"/>
      <c r="B239" s="460"/>
      <c r="C239" s="460"/>
      <c r="D239" s="462"/>
      <c r="E239" s="463"/>
      <c r="F239" s="460"/>
      <c r="G239" s="460"/>
      <c r="H239" s="460"/>
      <c r="I239" s="452"/>
      <c r="J239" s="460"/>
    </row>
    <row r="240" spans="1:10" ht="13.8">
      <c r="A240" s="460"/>
      <c r="B240" s="460"/>
      <c r="C240" s="460"/>
      <c r="D240" s="462"/>
      <c r="E240" s="463"/>
      <c r="F240" s="460"/>
      <c r="G240" s="460"/>
      <c r="H240" s="460"/>
      <c r="I240" s="452"/>
      <c r="J240" s="460"/>
    </row>
    <row r="241" spans="1:10" ht="13.8">
      <c r="A241" s="460"/>
      <c r="B241" s="460"/>
      <c r="C241" s="460"/>
      <c r="D241" s="464"/>
      <c r="E241" s="465"/>
      <c r="F241" s="460"/>
      <c r="G241" s="460"/>
      <c r="H241" s="460"/>
      <c r="I241" s="449"/>
      <c r="J241" s="460"/>
    </row>
    <row r="242" spans="1:10" ht="13.8">
      <c r="A242" s="460"/>
      <c r="B242" s="460"/>
      <c r="C242" s="460"/>
      <c r="D242" s="462"/>
      <c r="E242" s="463"/>
      <c r="F242" s="460"/>
      <c r="G242" s="460"/>
      <c r="H242" s="460"/>
      <c r="I242" s="452"/>
      <c r="J242" s="460"/>
    </row>
    <row r="243" spans="1:10" ht="13.2">
      <c r="D243" s="407"/>
      <c r="I243" s="357"/>
    </row>
    <row r="244" spans="1:10" ht="13.2">
      <c r="D244" s="407"/>
      <c r="I244" s="357"/>
    </row>
    <row r="245" spans="1:10" ht="13.2">
      <c r="D245" s="407"/>
      <c r="I245" s="357"/>
    </row>
    <row r="246" spans="1:10" ht="13.2">
      <c r="D246" s="407"/>
      <c r="I246" s="357"/>
    </row>
    <row r="247" spans="1:10" ht="13.2">
      <c r="D247" s="407"/>
      <c r="I247" s="357"/>
    </row>
    <row r="248" spans="1:10" ht="13.2">
      <c r="D248" s="407"/>
      <c r="I248" s="357"/>
    </row>
    <row r="249" spans="1:10" ht="13.2">
      <c r="D249" s="407"/>
      <c r="I249" s="357"/>
    </row>
    <row r="250" spans="1:10" ht="13.2">
      <c r="D250" s="407"/>
      <c r="I250" s="357"/>
    </row>
    <row r="251" spans="1:10" ht="13.2">
      <c r="D251" s="407"/>
      <c r="I251" s="357"/>
    </row>
    <row r="252" spans="1:10" ht="13.2">
      <c r="D252" s="407"/>
      <c r="I252" s="357"/>
    </row>
    <row r="253" spans="1:10" ht="13.2">
      <c r="D253" s="407"/>
      <c r="I253" s="357"/>
    </row>
    <row r="254" spans="1:10" ht="13.2">
      <c r="D254" s="407"/>
      <c r="I254" s="357"/>
    </row>
    <row r="255" spans="1:10" ht="13.2">
      <c r="D255" s="407"/>
      <c r="I255" s="357"/>
    </row>
    <row r="256" spans="1:10" ht="13.2">
      <c r="D256" s="407"/>
      <c r="I256" s="357"/>
    </row>
    <row r="257" spans="4:9" ht="13.2">
      <c r="D257" s="407"/>
      <c r="I257" s="357"/>
    </row>
    <row r="258" spans="4:9" ht="13.2">
      <c r="D258" s="407"/>
      <c r="I258" s="357"/>
    </row>
    <row r="259" spans="4:9" ht="13.2">
      <c r="D259" s="407"/>
      <c r="I259" s="357"/>
    </row>
    <row r="260" spans="4:9" ht="13.2">
      <c r="D260" s="407"/>
      <c r="I260" s="357"/>
    </row>
    <row r="261" spans="4:9" ht="13.2">
      <c r="D261" s="407"/>
      <c r="I261" s="357"/>
    </row>
    <row r="262" spans="4:9" ht="13.2">
      <c r="D262" s="407"/>
      <c r="I262" s="357"/>
    </row>
    <row r="263" spans="4:9" ht="13.2">
      <c r="D263" s="407"/>
      <c r="I263" s="357"/>
    </row>
    <row r="264" spans="4:9" ht="13.2">
      <c r="D264" s="407"/>
      <c r="I264" s="357"/>
    </row>
    <row r="265" spans="4:9" ht="13.2">
      <c r="D265" s="407"/>
      <c r="I265" s="357"/>
    </row>
    <row r="266" spans="4:9" ht="13.2">
      <c r="D266" s="407"/>
      <c r="I266" s="357"/>
    </row>
    <row r="267" spans="4:9" ht="13.2">
      <c r="D267" s="407"/>
      <c r="I267" s="357"/>
    </row>
    <row r="268" spans="4:9" ht="13.2">
      <c r="D268" s="407"/>
      <c r="I268" s="357"/>
    </row>
    <row r="269" spans="4:9" ht="13.2">
      <c r="D269" s="407"/>
      <c r="I269" s="357"/>
    </row>
    <row r="270" spans="4:9" ht="13.2">
      <c r="D270" s="407"/>
      <c r="I270" s="357"/>
    </row>
    <row r="271" spans="4:9" ht="13.2">
      <c r="D271" s="407"/>
      <c r="I271" s="357"/>
    </row>
    <row r="272" spans="4:9" ht="13.2">
      <c r="D272" s="407"/>
      <c r="I272" s="357"/>
    </row>
    <row r="273" spans="4:9" ht="13.2">
      <c r="D273" s="407"/>
      <c r="I273" s="357"/>
    </row>
    <row r="274" spans="4:9" ht="13.2">
      <c r="D274" s="407"/>
      <c r="I274" s="357"/>
    </row>
    <row r="275" spans="4:9" ht="13.2">
      <c r="D275" s="407"/>
      <c r="I275" s="357"/>
    </row>
    <row r="276" spans="4:9" ht="13.2">
      <c r="D276" s="407"/>
      <c r="I276" s="357"/>
    </row>
    <row r="277" spans="4:9" ht="13.2">
      <c r="D277" s="407"/>
      <c r="I277" s="357"/>
    </row>
    <row r="278" spans="4:9" ht="13.2">
      <c r="D278" s="407"/>
      <c r="I278" s="357"/>
    </row>
    <row r="279" spans="4:9" ht="13.2">
      <c r="D279" s="407"/>
      <c r="I279" s="357"/>
    </row>
    <row r="280" spans="4:9" ht="13.2">
      <c r="D280" s="407"/>
      <c r="I280" s="357"/>
    </row>
    <row r="281" spans="4:9" ht="13.2">
      <c r="D281" s="407"/>
      <c r="I281" s="357"/>
    </row>
    <row r="282" spans="4:9" ht="13.2">
      <c r="D282" s="407"/>
      <c r="I282" s="357"/>
    </row>
    <row r="283" spans="4:9" ht="13.2">
      <c r="D283" s="407"/>
      <c r="I283" s="357"/>
    </row>
    <row r="284" spans="4:9" ht="13.2">
      <c r="D284" s="407"/>
      <c r="I284" s="357"/>
    </row>
    <row r="285" spans="4:9" ht="13.2">
      <c r="D285" s="407"/>
      <c r="I285" s="357"/>
    </row>
    <row r="286" spans="4:9" ht="13.2">
      <c r="D286" s="407"/>
      <c r="I286" s="357"/>
    </row>
    <row r="287" spans="4:9" ht="13.2">
      <c r="D287" s="407"/>
      <c r="I287" s="357"/>
    </row>
    <row r="288" spans="4:9" ht="13.2">
      <c r="D288" s="407"/>
      <c r="I288" s="357"/>
    </row>
    <row r="289" spans="4:9" ht="13.2">
      <c r="D289" s="407"/>
      <c r="I289" s="357"/>
    </row>
    <row r="290" spans="4:9" ht="13.2">
      <c r="D290" s="407"/>
      <c r="I290" s="357"/>
    </row>
    <row r="291" spans="4:9" ht="13.2">
      <c r="D291" s="407"/>
      <c r="I291" s="357"/>
    </row>
    <row r="292" spans="4:9" ht="13.2">
      <c r="D292" s="407"/>
      <c r="I292" s="357"/>
    </row>
    <row r="293" spans="4:9" ht="13.2">
      <c r="D293" s="407"/>
      <c r="I293" s="357"/>
    </row>
    <row r="294" spans="4:9" ht="13.2">
      <c r="D294" s="407"/>
      <c r="I294" s="357"/>
    </row>
    <row r="295" spans="4:9" ht="13.2">
      <c r="D295" s="407"/>
      <c r="I295" s="357"/>
    </row>
    <row r="296" spans="4:9" ht="13.2">
      <c r="D296" s="407"/>
      <c r="I296" s="357"/>
    </row>
    <row r="297" spans="4:9" ht="13.2">
      <c r="D297" s="407"/>
      <c r="I297" s="357"/>
    </row>
    <row r="298" spans="4:9" ht="13.2">
      <c r="D298" s="407"/>
      <c r="I298" s="357"/>
    </row>
    <row r="299" spans="4:9" ht="13.2">
      <c r="D299" s="407"/>
      <c r="I299" s="357"/>
    </row>
    <row r="300" spans="4:9" ht="13.2">
      <c r="D300" s="407"/>
      <c r="I300" s="357"/>
    </row>
    <row r="301" spans="4:9" ht="13.2">
      <c r="D301" s="407"/>
      <c r="I301" s="357"/>
    </row>
    <row r="302" spans="4:9" ht="13.2">
      <c r="D302" s="407"/>
      <c r="I302" s="357"/>
    </row>
    <row r="303" spans="4:9" ht="13.2">
      <c r="D303" s="407"/>
      <c r="I303" s="357"/>
    </row>
    <row r="304" spans="4:9" ht="13.2">
      <c r="D304" s="407"/>
      <c r="I304" s="357"/>
    </row>
    <row r="305" spans="4:9" ht="13.2">
      <c r="D305" s="407"/>
      <c r="I305" s="357"/>
    </row>
    <row r="306" spans="4:9" ht="13.2">
      <c r="D306" s="407"/>
      <c r="I306" s="357"/>
    </row>
    <row r="307" spans="4:9" ht="13.2">
      <c r="D307" s="407"/>
      <c r="I307" s="357"/>
    </row>
    <row r="308" spans="4:9" ht="13.2">
      <c r="D308" s="407"/>
      <c r="I308" s="357"/>
    </row>
    <row r="309" spans="4:9" ht="13.2">
      <c r="D309" s="407"/>
      <c r="I309" s="357"/>
    </row>
    <row r="310" spans="4:9" ht="13.2">
      <c r="D310" s="407"/>
      <c r="I310" s="357"/>
    </row>
    <row r="311" spans="4:9" ht="13.2">
      <c r="D311" s="407"/>
      <c r="I311" s="357"/>
    </row>
    <row r="312" spans="4:9" ht="13.2">
      <c r="D312" s="407"/>
      <c r="I312" s="357"/>
    </row>
    <row r="313" spans="4:9" ht="13.2">
      <c r="D313" s="407"/>
      <c r="I313" s="357"/>
    </row>
    <row r="314" spans="4:9" ht="13.2">
      <c r="D314" s="407"/>
      <c r="I314" s="357"/>
    </row>
    <row r="315" spans="4:9" ht="13.2">
      <c r="D315" s="407"/>
      <c r="I315" s="357"/>
    </row>
    <row r="316" spans="4:9" ht="13.2">
      <c r="D316" s="407"/>
      <c r="I316" s="357"/>
    </row>
    <row r="317" spans="4:9" ht="13.2">
      <c r="D317" s="407"/>
      <c r="I317" s="357"/>
    </row>
    <row r="318" spans="4:9" ht="13.2">
      <c r="D318" s="407"/>
      <c r="I318" s="357"/>
    </row>
    <row r="319" spans="4:9" ht="13.2">
      <c r="D319" s="407"/>
      <c r="I319" s="357"/>
    </row>
    <row r="320" spans="4:9" ht="13.2">
      <c r="D320" s="407"/>
      <c r="I320" s="357"/>
    </row>
    <row r="321" spans="4:9" ht="13.2">
      <c r="D321" s="407"/>
      <c r="I321" s="357"/>
    </row>
    <row r="322" spans="4:9" ht="13.2">
      <c r="D322" s="407"/>
      <c r="I322" s="357"/>
    </row>
    <row r="323" spans="4:9" ht="13.2">
      <c r="D323" s="407"/>
      <c r="I323" s="357"/>
    </row>
    <row r="324" spans="4:9" ht="13.2">
      <c r="D324" s="407"/>
      <c r="I324" s="357"/>
    </row>
    <row r="325" spans="4:9" ht="13.2">
      <c r="D325" s="407"/>
      <c r="I325" s="357"/>
    </row>
    <row r="326" spans="4:9" ht="13.2">
      <c r="D326" s="407"/>
      <c r="I326" s="357"/>
    </row>
    <row r="327" spans="4:9" ht="13.2">
      <c r="D327" s="407"/>
      <c r="I327" s="357"/>
    </row>
    <row r="328" spans="4:9" ht="13.2">
      <c r="D328" s="407"/>
      <c r="I328" s="357"/>
    </row>
    <row r="329" spans="4:9" ht="13.2">
      <c r="D329" s="407"/>
      <c r="I329" s="357"/>
    </row>
    <row r="330" spans="4:9" ht="13.2">
      <c r="D330" s="407"/>
      <c r="I330" s="357"/>
    </row>
    <row r="331" spans="4:9" ht="13.2">
      <c r="D331" s="407"/>
      <c r="I331" s="357"/>
    </row>
    <row r="332" spans="4:9" ht="13.2">
      <c r="D332" s="407"/>
      <c r="I332" s="357"/>
    </row>
    <row r="333" spans="4:9" ht="13.2">
      <c r="D333" s="407"/>
      <c r="I333" s="357"/>
    </row>
    <row r="334" spans="4:9" ht="13.2">
      <c r="D334" s="407"/>
      <c r="I334" s="357"/>
    </row>
    <row r="335" spans="4:9" ht="13.2">
      <c r="D335" s="407"/>
      <c r="I335" s="357"/>
    </row>
    <row r="336" spans="4:9" ht="13.2">
      <c r="D336" s="407"/>
      <c r="I336" s="357"/>
    </row>
    <row r="337" spans="4:9" ht="13.2">
      <c r="D337" s="407"/>
      <c r="I337" s="357"/>
    </row>
    <row r="338" spans="4:9" ht="13.2">
      <c r="D338" s="407"/>
      <c r="I338" s="357"/>
    </row>
    <row r="339" spans="4:9" ht="13.2">
      <c r="D339" s="407"/>
      <c r="I339" s="357"/>
    </row>
    <row r="340" spans="4:9" ht="13.2">
      <c r="D340" s="407"/>
      <c r="I340" s="357"/>
    </row>
    <row r="341" spans="4:9" ht="13.2">
      <c r="D341" s="407"/>
      <c r="I341" s="357"/>
    </row>
    <row r="342" spans="4:9" ht="13.2">
      <c r="D342" s="407"/>
      <c r="I342" s="357"/>
    </row>
    <row r="343" spans="4:9" ht="13.2">
      <c r="D343" s="407"/>
      <c r="I343" s="357"/>
    </row>
    <row r="344" spans="4:9" ht="13.2">
      <c r="D344" s="407"/>
      <c r="I344" s="357"/>
    </row>
    <row r="345" spans="4:9" ht="13.2">
      <c r="D345" s="407"/>
      <c r="I345" s="357"/>
    </row>
    <row r="346" spans="4:9" ht="13.2">
      <c r="D346" s="407"/>
      <c r="I346" s="357"/>
    </row>
    <row r="347" spans="4:9" ht="13.2">
      <c r="D347" s="407"/>
      <c r="I347" s="357"/>
    </row>
    <row r="348" spans="4:9" ht="13.2">
      <c r="D348" s="407"/>
      <c r="I348" s="357"/>
    </row>
    <row r="349" spans="4:9" ht="13.2">
      <c r="D349" s="407"/>
      <c r="I349" s="357"/>
    </row>
    <row r="350" spans="4:9" ht="13.2">
      <c r="D350" s="407"/>
      <c r="I350" s="357"/>
    </row>
    <row r="351" spans="4:9" ht="13.2">
      <c r="D351" s="407"/>
      <c r="I351" s="357"/>
    </row>
    <row r="352" spans="4:9" ht="13.2">
      <c r="D352" s="407"/>
      <c r="I352" s="357"/>
    </row>
    <row r="353" spans="4:9" ht="13.2">
      <c r="D353" s="407"/>
      <c r="I353" s="357"/>
    </row>
    <row r="354" spans="4:9" ht="13.2">
      <c r="D354" s="407"/>
      <c r="I354" s="357"/>
    </row>
    <row r="355" spans="4:9" ht="13.2">
      <c r="D355" s="407"/>
      <c r="I355" s="357"/>
    </row>
    <row r="356" spans="4:9" ht="13.2">
      <c r="D356" s="407"/>
      <c r="I356" s="357"/>
    </row>
    <row r="357" spans="4:9" ht="13.2">
      <c r="D357" s="407"/>
      <c r="I357" s="357"/>
    </row>
    <row r="358" spans="4:9" ht="13.2">
      <c r="D358" s="407"/>
      <c r="I358" s="357"/>
    </row>
    <row r="359" spans="4:9" ht="13.2">
      <c r="D359" s="407"/>
      <c r="I359" s="357"/>
    </row>
    <row r="360" spans="4:9" ht="13.2">
      <c r="D360" s="407"/>
      <c r="I360" s="357"/>
    </row>
    <row r="361" spans="4:9" ht="13.2">
      <c r="D361" s="407"/>
      <c r="I361" s="357"/>
    </row>
    <row r="362" spans="4:9" ht="13.2">
      <c r="D362" s="407"/>
      <c r="I362" s="357"/>
    </row>
    <row r="363" spans="4:9" ht="13.2">
      <c r="D363" s="407"/>
      <c r="I363" s="357"/>
    </row>
    <row r="364" spans="4:9" ht="13.2">
      <c r="D364" s="407"/>
      <c r="I364" s="357"/>
    </row>
    <row r="365" spans="4:9" ht="13.2">
      <c r="D365" s="407"/>
      <c r="I365" s="357"/>
    </row>
    <row r="366" spans="4:9" ht="13.2">
      <c r="D366" s="407"/>
      <c r="I366" s="357"/>
    </row>
    <row r="367" spans="4:9" ht="13.2">
      <c r="D367" s="407"/>
      <c r="I367" s="357"/>
    </row>
    <row r="368" spans="4:9" ht="13.2">
      <c r="D368" s="407"/>
      <c r="I368" s="357"/>
    </row>
    <row r="369" spans="4:9" ht="13.2">
      <c r="D369" s="407"/>
      <c r="I369" s="357"/>
    </row>
    <row r="370" spans="4:9" ht="13.2">
      <c r="D370" s="407"/>
      <c r="I370" s="357"/>
    </row>
    <row r="371" spans="4:9" ht="13.2">
      <c r="D371" s="407"/>
      <c r="I371" s="357"/>
    </row>
    <row r="372" spans="4:9" ht="13.2">
      <c r="D372" s="407"/>
      <c r="I372" s="357"/>
    </row>
    <row r="373" spans="4:9" ht="13.2">
      <c r="D373" s="407"/>
      <c r="I373" s="357"/>
    </row>
    <row r="374" spans="4:9" ht="13.2">
      <c r="D374" s="407"/>
      <c r="I374" s="357"/>
    </row>
    <row r="375" spans="4:9" ht="13.2">
      <c r="D375" s="407"/>
      <c r="I375" s="357"/>
    </row>
    <row r="376" spans="4:9" ht="13.2">
      <c r="D376" s="407"/>
      <c r="I376" s="357"/>
    </row>
    <row r="377" spans="4:9" ht="13.2">
      <c r="D377" s="407"/>
      <c r="I377" s="357"/>
    </row>
    <row r="378" spans="4:9" ht="13.2">
      <c r="D378" s="407"/>
      <c r="I378" s="357"/>
    </row>
    <row r="379" spans="4:9" ht="13.2">
      <c r="D379" s="407"/>
      <c r="I379" s="357"/>
    </row>
    <row r="380" spans="4:9" ht="13.2">
      <c r="D380" s="407"/>
      <c r="I380" s="357"/>
    </row>
    <row r="381" spans="4:9" ht="13.2">
      <c r="D381" s="407"/>
      <c r="I381" s="357"/>
    </row>
    <row r="382" spans="4:9" ht="13.2">
      <c r="D382" s="407"/>
      <c r="I382" s="357"/>
    </row>
    <row r="383" spans="4:9" ht="13.2">
      <c r="D383" s="407"/>
      <c r="I383" s="357"/>
    </row>
    <row r="384" spans="4:9" ht="13.2">
      <c r="D384" s="407"/>
      <c r="I384" s="357"/>
    </row>
    <row r="385" spans="4:9" ht="13.2">
      <c r="D385" s="407"/>
      <c r="I385" s="357"/>
    </row>
    <row r="386" spans="4:9" ht="13.2">
      <c r="D386" s="407"/>
      <c r="I386" s="357"/>
    </row>
    <row r="387" spans="4:9" ht="13.2">
      <c r="D387" s="407"/>
      <c r="I387" s="357"/>
    </row>
    <row r="388" spans="4:9" ht="13.2">
      <c r="D388" s="407"/>
      <c r="I388" s="357"/>
    </row>
    <row r="389" spans="4:9" ht="13.2">
      <c r="D389" s="407"/>
      <c r="I389" s="357"/>
    </row>
    <row r="390" spans="4:9" ht="13.2">
      <c r="D390" s="407"/>
      <c r="I390" s="357"/>
    </row>
    <row r="391" spans="4:9" ht="13.2">
      <c r="D391" s="407"/>
      <c r="I391" s="357"/>
    </row>
    <row r="392" spans="4:9" ht="13.2">
      <c r="D392" s="407"/>
      <c r="I392" s="357"/>
    </row>
    <row r="393" spans="4:9" ht="13.2">
      <c r="D393" s="407"/>
      <c r="I393" s="357"/>
    </row>
    <row r="394" spans="4:9" ht="13.2">
      <c r="D394" s="407"/>
      <c r="I394" s="357"/>
    </row>
    <row r="395" spans="4:9" ht="13.2">
      <c r="D395" s="407"/>
      <c r="I395" s="357"/>
    </row>
    <row r="396" spans="4:9" ht="13.2">
      <c r="D396" s="407"/>
      <c r="I396" s="357"/>
    </row>
    <row r="397" spans="4:9" ht="13.2">
      <c r="D397" s="407"/>
      <c r="I397" s="357"/>
    </row>
    <row r="398" spans="4:9" ht="13.2">
      <c r="D398" s="407"/>
      <c r="I398" s="357"/>
    </row>
    <row r="399" spans="4:9" ht="13.2">
      <c r="D399" s="407"/>
      <c r="I399" s="357"/>
    </row>
    <row r="400" spans="4:9" ht="13.2">
      <c r="D400" s="407"/>
      <c r="I400" s="357"/>
    </row>
    <row r="401" spans="4:9" ht="13.2">
      <c r="D401" s="407"/>
      <c r="I401" s="357"/>
    </row>
    <row r="402" spans="4:9" ht="13.2">
      <c r="D402" s="407"/>
      <c r="I402" s="357"/>
    </row>
    <row r="403" spans="4:9" ht="13.2">
      <c r="D403" s="407"/>
      <c r="I403" s="357"/>
    </row>
    <row r="404" spans="4:9" ht="13.2">
      <c r="D404" s="407"/>
      <c r="I404" s="357"/>
    </row>
    <row r="405" spans="4:9" ht="13.2">
      <c r="D405" s="407"/>
      <c r="I405" s="357"/>
    </row>
    <row r="406" spans="4:9" ht="13.2">
      <c r="D406" s="407"/>
      <c r="I406" s="357"/>
    </row>
    <row r="407" spans="4:9" ht="13.2">
      <c r="D407" s="407"/>
      <c r="I407" s="357"/>
    </row>
    <row r="408" spans="4:9" ht="13.2">
      <c r="D408" s="407"/>
      <c r="I408" s="357"/>
    </row>
    <row r="409" spans="4:9" ht="13.2">
      <c r="D409" s="407"/>
      <c r="I409" s="357"/>
    </row>
    <row r="410" spans="4:9" ht="13.2">
      <c r="D410" s="407"/>
      <c r="I410" s="357"/>
    </row>
    <row r="411" spans="4:9" ht="13.2">
      <c r="D411" s="407"/>
      <c r="I411" s="357"/>
    </row>
    <row r="412" spans="4:9" ht="13.2">
      <c r="D412" s="407"/>
      <c r="I412" s="357"/>
    </row>
    <row r="413" spans="4:9" ht="13.2">
      <c r="D413" s="407"/>
      <c r="I413" s="357"/>
    </row>
    <row r="414" spans="4:9" ht="13.2">
      <c r="D414" s="407"/>
      <c r="I414" s="357"/>
    </row>
    <row r="415" spans="4:9" ht="13.2">
      <c r="D415" s="407"/>
      <c r="I415" s="357"/>
    </row>
    <row r="416" spans="4:9" ht="13.2">
      <c r="D416" s="407"/>
      <c r="I416" s="357"/>
    </row>
    <row r="417" spans="4:9" ht="13.2">
      <c r="D417" s="407"/>
      <c r="I417" s="357"/>
    </row>
    <row r="418" spans="4:9" ht="13.2">
      <c r="D418" s="407"/>
      <c r="I418" s="357"/>
    </row>
    <row r="419" spans="4:9" ht="13.2">
      <c r="D419" s="407"/>
      <c r="I419" s="357"/>
    </row>
    <row r="420" spans="4:9" ht="13.2">
      <c r="D420" s="407"/>
      <c r="I420" s="357"/>
    </row>
    <row r="421" spans="4:9" ht="13.2">
      <c r="D421" s="407"/>
      <c r="I421" s="357"/>
    </row>
    <row r="422" spans="4:9" ht="13.2">
      <c r="D422" s="407"/>
      <c r="I422" s="357"/>
    </row>
    <row r="423" spans="4:9" ht="13.2">
      <c r="D423" s="407"/>
      <c r="I423" s="357"/>
    </row>
    <row r="424" spans="4:9" ht="13.2">
      <c r="D424" s="407"/>
      <c r="I424" s="357"/>
    </row>
    <row r="425" spans="4:9" ht="13.2">
      <c r="D425" s="407"/>
      <c r="I425" s="357"/>
    </row>
    <row r="426" spans="4:9" ht="13.2">
      <c r="D426" s="407"/>
      <c r="I426" s="357"/>
    </row>
    <row r="427" spans="4:9" ht="13.2">
      <c r="D427" s="407"/>
      <c r="I427" s="357"/>
    </row>
    <row r="428" spans="4:9" ht="13.2">
      <c r="D428" s="407"/>
      <c r="I428" s="357"/>
    </row>
    <row r="429" spans="4:9" ht="13.2">
      <c r="D429" s="407"/>
      <c r="I429" s="357"/>
    </row>
    <row r="430" spans="4:9" ht="13.2">
      <c r="D430" s="407"/>
      <c r="I430" s="357"/>
    </row>
    <row r="431" spans="4:9" ht="13.2">
      <c r="D431" s="407"/>
      <c r="I431" s="357"/>
    </row>
    <row r="432" spans="4:9" ht="13.2">
      <c r="D432" s="407"/>
      <c r="I432" s="357"/>
    </row>
    <row r="433" spans="4:9" ht="13.2">
      <c r="D433" s="407"/>
      <c r="I433" s="357"/>
    </row>
    <row r="434" spans="4:9" ht="13.2">
      <c r="D434" s="407"/>
      <c r="I434" s="357"/>
    </row>
    <row r="435" spans="4:9" ht="13.2">
      <c r="D435" s="407"/>
      <c r="I435" s="357"/>
    </row>
    <row r="436" spans="4:9" ht="13.2">
      <c r="D436" s="407"/>
      <c r="I436" s="357"/>
    </row>
    <row r="437" spans="4:9" ht="13.2">
      <c r="D437" s="407"/>
      <c r="I437" s="357"/>
    </row>
    <row r="438" spans="4:9" ht="13.2">
      <c r="D438" s="407"/>
      <c r="I438" s="357"/>
    </row>
    <row r="439" spans="4:9" ht="13.2">
      <c r="D439" s="407"/>
      <c r="I439" s="357"/>
    </row>
    <row r="440" spans="4:9" ht="13.2">
      <c r="D440" s="407"/>
      <c r="I440" s="357"/>
    </row>
    <row r="441" spans="4:9" ht="13.2">
      <c r="D441" s="407"/>
      <c r="I441" s="357"/>
    </row>
    <row r="442" spans="4:9" ht="13.2">
      <c r="D442" s="407"/>
      <c r="I442" s="357"/>
    </row>
    <row r="443" spans="4:9" ht="13.2">
      <c r="D443" s="407"/>
      <c r="I443" s="357"/>
    </row>
    <row r="444" spans="4:9" ht="13.2">
      <c r="D444" s="407"/>
      <c r="I444" s="357"/>
    </row>
    <row r="445" spans="4:9" ht="13.2">
      <c r="D445" s="407"/>
      <c r="I445" s="357"/>
    </row>
    <row r="446" spans="4:9" ht="13.2">
      <c r="D446" s="407"/>
      <c r="I446" s="357"/>
    </row>
    <row r="447" spans="4:9" ht="13.2">
      <c r="D447" s="407"/>
      <c r="I447" s="357"/>
    </row>
    <row r="448" spans="4:9" ht="13.2">
      <c r="D448" s="407"/>
      <c r="I448" s="357"/>
    </row>
    <row r="449" spans="4:9" ht="13.2">
      <c r="D449" s="407"/>
      <c r="I449" s="357"/>
    </row>
    <row r="450" spans="4:9" ht="13.2">
      <c r="D450" s="407"/>
      <c r="I450" s="357"/>
    </row>
    <row r="451" spans="4:9" ht="13.2">
      <c r="D451" s="407"/>
      <c r="I451" s="357"/>
    </row>
    <row r="452" spans="4:9" ht="13.2">
      <c r="D452" s="407"/>
      <c r="I452" s="357"/>
    </row>
    <row r="453" spans="4:9" ht="13.2">
      <c r="D453" s="407"/>
      <c r="I453" s="357"/>
    </row>
    <row r="454" spans="4:9" ht="13.2">
      <c r="D454" s="407"/>
      <c r="I454" s="357"/>
    </row>
    <row r="455" spans="4:9" ht="13.2">
      <c r="D455" s="407"/>
      <c r="I455" s="357"/>
    </row>
    <row r="456" spans="4:9" ht="13.2">
      <c r="D456" s="407"/>
      <c r="I456" s="357"/>
    </row>
    <row r="457" spans="4:9" ht="13.2">
      <c r="D457" s="407"/>
      <c r="I457" s="357"/>
    </row>
    <row r="458" spans="4:9" ht="13.2">
      <c r="D458" s="407"/>
      <c r="I458" s="357"/>
    </row>
    <row r="459" spans="4:9" ht="13.2">
      <c r="D459" s="407"/>
      <c r="I459" s="357"/>
    </row>
    <row r="460" spans="4:9" ht="13.2">
      <c r="D460" s="407"/>
      <c r="I460" s="357"/>
    </row>
    <row r="461" spans="4:9" ht="13.2">
      <c r="D461" s="407"/>
      <c r="I461" s="357"/>
    </row>
    <row r="462" spans="4:9" ht="13.2">
      <c r="D462" s="407"/>
      <c r="I462" s="357"/>
    </row>
    <row r="463" spans="4:9" ht="13.2">
      <c r="D463" s="407"/>
      <c r="I463" s="357"/>
    </row>
    <row r="464" spans="4:9" ht="13.2">
      <c r="D464" s="407"/>
      <c r="I464" s="357"/>
    </row>
    <row r="465" spans="4:9" ht="13.2">
      <c r="D465" s="407"/>
      <c r="I465" s="357"/>
    </row>
    <row r="466" spans="4:9" ht="13.2">
      <c r="D466" s="407"/>
      <c r="I466" s="357"/>
    </row>
    <row r="467" spans="4:9" ht="13.2">
      <c r="D467" s="407"/>
      <c r="I467" s="357"/>
    </row>
    <row r="468" spans="4:9" ht="13.2">
      <c r="D468" s="407"/>
      <c r="I468" s="357"/>
    </row>
    <row r="469" spans="4:9" ht="13.2">
      <c r="D469" s="407"/>
      <c r="I469" s="357"/>
    </row>
    <row r="470" spans="4:9" ht="13.2">
      <c r="D470" s="407"/>
      <c r="I470" s="357"/>
    </row>
    <row r="471" spans="4:9" ht="13.2">
      <c r="D471" s="407"/>
      <c r="I471" s="357"/>
    </row>
    <row r="472" spans="4:9" ht="13.2">
      <c r="D472" s="407"/>
      <c r="I472" s="357"/>
    </row>
    <row r="473" spans="4:9" ht="13.2">
      <c r="D473" s="407"/>
      <c r="I473" s="357"/>
    </row>
    <row r="474" spans="4:9" ht="13.2">
      <c r="D474" s="407"/>
      <c r="I474" s="357"/>
    </row>
    <row r="475" spans="4:9" ht="13.2">
      <c r="D475" s="407"/>
      <c r="I475" s="357"/>
    </row>
    <row r="476" spans="4:9" ht="13.2">
      <c r="D476" s="407"/>
      <c r="I476" s="357"/>
    </row>
    <row r="477" spans="4:9" ht="13.2">
      <c r="D477" s="407"/>
      <c r="I477" s="357"/>
    </row>
    <row r="478" spans="4:9" ht="13.2">
      <c r="D478" s="407"/>
      <c r="I478" s="357"/>
    </row>
    <row r="479" spans="4:9" ht="13.2">
      <c r="D479" s="407"/>
      <c r="I479" s="357"/>
    </row>
    <row r="480" spans="4:9" ht="13.2">
      <c r="D480" s="407"/>
      <c r="I480" s="357"/>
    </row>
    <row r="481" spans="4:9" ht="13.2">
      <c r="D481" s="407"/>
      <c r="I481" s="357"/>
    </row>
    <row r="482" spans="4:9" ht="13.2">
      <c r="D482" s="407"/>
      <c r="I482" s="357"/>
    </row>
    <row r="483" spans="4:9" ht="13.2">
      <c r="D483" s="407"/>
      <c r="I483" s="357"/>
    </row>
    <row r="484" spans="4:9" ht="13.2">
      <c r="D484" s="407"/>
      <c r="I484" s="357"/>
    </row>
    <row r="485" spans="4:9" ht="13.2">
      <c r="D485" s="407"/>
      <c r="I485" s="357"/>
    </row>
    <row r="486" spans="4:9" ht="13.2">
      <c r="D486" s="407"/>
      <c r="I486" s="357"/>
    </row>
    <row r="487" spans="4:9" ht="13.2">
      <c r="D487" s="407"/>
      <c r="I487" s="357"/>
    </row>
    <row r="488" spans="4:9" ht="13.2">
      <c r="D488" s="407"/>
      <c r="I488" s="357"/>
    </row>
    <row r="489" spans="4:9" ht="13.2">
      <c r="D489" s="407"/>
      <c r="I489" s="357"/>
    </row>
    <row r="490" spans="4:9" ht="13.2">
      <c r="D490" s="407"/>
      <c r="I490" s="357"/>
    </row>
    <row r="491" spans="4:9" ht="13.2">
      <c r="D491" s="407"/>
      <c r="I491" s="357"/>
    </row>
    <row r="492" spans="4:9" ht="13.2">
      <c r="D492" s="407"/>
      <c r="I492" s="357"/>
    </row>
    <row r="493" spans="4:9" ht="13.2">
      <c r="D493" s="407"/>
      <c r="I493" s="357"/>
    </row>
    <row r="494" spans="4:9" ht="13.2">
      <c r="D494" s="407"/>
      <c r="I494" s="357"/>
    </row>
    <row r="495" spans="4:9" ht="13.2">
      <c r="D495" s="407"/>
      <c r="I495" s="357"/>
    </row>
    <row r="496" spans="4:9" ht="13.2">
      <c r="D496" s="407"/>
      <c r="I496" s="357"/>
    </row>
    <row r="497" spans="4:9" ht="13.2">
      <c r="D497" s="407"/>
      <c r="I497" s="357"/>
    </row>
    <row r="498" spans="4:9" ht="13.2">
      <c r="D498" s="407"/>
      <c r="I498" s="357"/>
    </row>
    <row r="499" spans="4:9" ht="13.2">
      <c r="D499" s="407"/>
      <c r="I499" s="357"/>
    </row>
    <row r="500" spans="4:9" ht="13.2">
      <c r="D500" s="407"/>
      <c r="I500" s="357"/>
    </row>
    <row r="501" spans="4:9" ht="13.2">
      <c r="D501" s="407"/>
      <c r="I501" s="357"/>
    </row>
    <row r="502" spans="4:9" ht="13.2">
      <c r="D502" s="407"/>
      <c r="I502" s="357"/>
    </row>
    <row r="503" spans="4:9" ht="13.2">
      <c r="D503" s="407"/>
      <c r="I503" s="357"/>
    </row>
    <row r="504" spans="4:9" ht="13.2">
      <c r="D504" s="407"/>
      <c r="I504" s="357"/>
    </row>
    <row r="505" spans="4:9" ht="13.2">
      <c r="D505" s="407"/>
      <c r="I505" s="357"/>
    </row>
    <row r="506" spans="4:9" ht="13.2">
      <c r="D506" s="407"/>
      <c r="I506" s="357"/>
    </row>
    <row r="507" spans="4:9" ht="13.2">
      <c r="D507" s="407"/>
      <c r="I507" s="357"/>
    </row>
    <row r="508" spans="4:9" ht="13.2">
      <c r="D508" s="407"/>
      <c r="I508" s="357"/>
    </row>
    <row r="509" spans="4:9" ht="13.2">
      <c r="D509" s="407"/>
      <c r="I509" s="357"/>
    </row>
    <row r="510" spans="4:9" ht="13.2">
      <c r="D510" s="407"/>
      <c r="I510" s="357"/>
    </row>
    <row r="511" spans="4:9" ht="13.2">
      <c r="D511" s="407"/>
      <c r="I511" s="357"/>
    </row>
    <row r="512" spans="4:9" ht="13.2">
      <c r="D512" s="407"/>
      <c r="I512" s="357"/>
    </row>
    <row r="513" spans="4:9" ht="13.2">
      <c r="D513" s="407"/>
      <c r="I513" s="357"/>
    </row>
    <row r="514" spans="4:9" ht="13.2">
      <c r="D514" s="407"/>
      <c r="I514" s="357"/>
    </row>
    <row r="515" spans="4:9" ht="13.2">
      <c r="D515" s="407"/>
      <c r="I515" s="357"/>
    </row>
    <row r="516" spans="4:9" ht="13.2">
      <c r="D516" s="407"/>
      <c r="I516" s="357"/>
    </row>
    <row r="517" spans="4:9" ht="13.2">
      <c r="D517" s="407"/>
      <c r="I517" s="357"/>
    </row>
    <row r="518" spans="4:9" ht="13.2">
      <c r="D518" s="407"/>
      <c r="I518" s="357"/>
    </row>
    <row r="519" spans="4:9" ht="13.2">
      <c r="D519" s="407"/>
      <c r="I519" s="357"/>
    </row>
    <row r="520" spans="4:9" ht="13.2">
      <c r="D520" s="407"/>
      <c r="I520" s="357"/>
    </row>
    <row r="521" spans="4:9" ht="13.2">
      <c r="D521" s="407"/>
      <c r="I521" s="357"/>
    </row>
    <row r="522" spans="4:9" ht="13.2">
      <c r="D522" s="407"/>
      <c r="I522" s="357"/>
    </row>
    <row r="523" spans="4:9" ht="13.2">
      <c r="D523" s="407"/>
      <c r="I523" s="357"/>
    </row>
    <row r="524" spans="4:9" ht="13.2">
      <c r="D524" s="407"/>
      <c r="I524" s="357"/>
    </row>
    <row r="525" spans="4:9" ht="13.2">
      <c r="D525" s="407"/>
      <c r="I525" s="357"/>
    </row>
    <row r="526" spans="4:9" ht="13.2">
      <c r="D526" s="407"/>
      <c r="I526" s="357"/>
    </row>
    <row r="527" spans="4:9" ht="13.2">
      <c r="D527" s="407"/>
      <c r="I527" s="357"/>
    </row>
    <row r="528" spans="4:9" ht="13.2">
      <c r="D528" s="407"/>
      <c r="I528" s="357"/>
    </row>
    <row r="529" spans="4:9" ht="13.2">
      <c r="D529" s="407"/>
      <c r="I529" s="357"/>
    </row>
    <row r="530" spans="4:9" ht="13.2">
      <c r="D530" s="407"/>
      <c r="I530" s="357"/>
    </row>
    <row r="531" spans="4:9" ht="13.2">
      <c r="D531" s="407"/>
      <c r="I531" s="357"/>
    </row>
    <row r="532" spans="4:9" ht="13.2">
      <c r="D532" s="407"/>
      <c r="I532" s="357"/>
    </row>
    <row r="533" spans="4:9" ht="13.2">
      <c r="D533" s="407"/>
      <c r="I533" s="357"/>
    </row>
    <row r="534" spans="4:9" ht="13.2">
      <c r="D534" s="407"/>
      <c r="I534" s="357"/>
    </row>
    <row r="535" spans="4:9" ht="13.2">
      <c r="D535" s="407"/>
      <c r="I535" s="357"/>
    </row>
    <row r="536" spans="4:9" ht="13.2">
      <c r="D536" s="407"/>
      <c r="I536" s="357"/>
    </row>
    <row r="537" spans="4:9" ht="13.2">
      <c r="D537" s="407"/>
      <c r="I537" s="357"/>
    </row>
    <row r="538" spans="4:9" ht="13.2">
      <c r="D538" s="407"/>
      <c r="I538" s="357"/>
    </row>
    <row r="539" spans="4:9" ht="13.2">
      <c r="D539" s="407"/>
      <c r="I539" s="357"/>
    </row>
    <row r="540" spans="4:9" ht="13.2">
      <c r="D540" s="407"/>
      <c r="I540" s="357"/>
    </row>
    <row r="541" spans="4:9" ht="13.2">
      <c r="D541" s="407"/>
      <c r="I541" s="357"/>
    </row>
    <row r="542" spans="4:9" ht="13.2">
      <c r="D542" s="407"/>
      <c r="I542" s="357"/>
    </row>
    <row r="543" spans="4:9" ht="13.2">
      <c r="D543" s="407"/>
      <c r="I543" s="357"/>
    </row>
    <row r="544" spans="4:9" ht="13.2">
      <c r="D544" s="407"/>
      <c r="I544" s="357"/>
    </row>
    <row r="545" spans="4:9" ht="13.2">
      <c r="D545" s="407"/>
      <c r="I545" s="357"/>
    </row>
    <row r="546" spans="4:9" ht="13.2">
      <c r="D546" s="407"/>
      <c r="I546" s="357"/>
    </row>
    <row r="547" spans="4:9" ht="13.2">
      <c r="D547" s="407"/>
      <c r="I547" s="357"/>
    </row>
    <row r="548" spans="4:9" ht="13.2">
      <c r="D548" s="407"/>
      <c r="I548" s="357"/>
    </row>
    <row r="549" spans="4:9" ht="13.2">
      <c r="D549" s="407"/>
      <c r="I549" s="357"/>
    </row>
    <row r="550" spans="4:9" ht="13.2">
      <c r="D550" s="407"/>
      <c r="I550" s="357"/>
    </row>
    <row r="551" spans="4:9" ht="13.2">
      <c r="D551" s="407"/>
      <c r="I551" s="357"/>
    </row>
    <row r="552" spans="4:9" ht="13.2">
      <c r="D552" s="407"/>
      <c r="I552" s="357"/>
    </row>
    <row r="553" spans="4:9" ht="13.2">
      <c r="D553" s="407"/>
      <c r="I553" s="357"/>
    </row>
    <row r="554" spans="4:9" ht="13.2">
      <c r="D554" s="407"/>
      <c r="I554" s="357"/>
    </row>
    <row r="555" spans="4:9" ht="13.2">
      <c r="D555" s="407"/>
      <c r="I555" s="357"/>
    </row>
    <row r="556" spans="4:9" ht="13.2">
      <c r="D556" s="407"/>
      <c r="I556" s="357"/>
    </row>
    <row r="557" spans="4:9" ht="13.2">
      <c r="D557" s="407"/>
      <c r="I557" s="357"/>
    </row>
    <row r="558" spans="4:9" ht="13.2">
      <c r="D558" s="407"/>
      <c r="I558" s="357"/>
    </row>
    <row r="559" spans="4:9" ht="13.2">
      <c r="D559" s="407"/>
      <c r="I559" s="357"/>
    </row>
    <row r="560" spans="4:9" ht="13.2">
      <c r="D560" s="407"/>
      <c r="I560" s="357"/>
    </row>
    <row r="561" spans="4:9" ht="13.2">
      <c r="D561" s="407"/>
      <c r="I561" s="357"/>
    </row>
    <row r="562" spans="4:9" ht="13.2">
      <c r="D562" s="407"/>
      <c r="I562" s="357"/>
    </row>
    <row r="563" spans="4:9" ht="13.2">
      <c r="D563" s="407"/>
      <c r="I563" s="357"/>
    </row>
    <row r="564" spans="4:9" ht="13.2">
      <c r="D564" s="407"/>
      <c r="I564" s="357"/>
    </row>
    <row r="565" spans="4:9" ht="13.2">
      <c r="D565" s="407"/>
      <c r="I565" s="357"/>
    </row>
    <row r="566" spans="4:9" ht="13.2">
      <c r="D566" s="407"/>
      <c r="I566" s="357"/>
    </row>
    <row r="567" spans="4:9" ht="13.2">
      <c r="D567" s="407"/>
      <c r="I567" s="357"/>
    </row>
    <row r="568" spans="4:9" ht="13.2">
      <c r="D568" s="407"/>
      <c r="I568" s="357"/>
    </row>
    <row r="569" spans="4:9" ht="13.2">
      <c r="D569" s="407"/>
      <c r="I569" s="357"/>
    </row>
    <row r="570" spans="4:9" ht="13.2">
      <c r="D570" s="407"/>
      <c r="I570" s="357"/>
    </row>
    <row r="571" spans="4:9" ht="13.2">
      <c r="D571" s="407"/>
      <c r="I571" s="357"/>
    </row>
    <row r="572" spans="4:9" ht="13.2">
      <c r="D572" s="407"/>
      <c r="I572" s="357"/>
    </row>
    <row r="573" spans="4:9" ht="13.2">
      <c r="D573" s="407"/>
      <c r="I573" s="357"/>
    </row>
    <row r="574" spans="4:9" ht="13.2">
      <c r="D574" s="407"/>
      <c r="I574" s="357"/>
    </row>
    <row r="575" spans="4:9" ht="13.2">
      <c r="D575" s="407"/>
      <c r="I575" s="357"/>
    </row>
    <row r="576" spans="4:9" ht="13.2">
      <c r="D576" s="407"/>
      <c r="I576" s="357"/>
    </row>
    <row r="577" spans="4:9" ht="13.2">
      <c r="D577" s="407"/>
      <c r="I577" s="357"/>
    </row>
    <row r="578" spans="4:9" ht="13.2">
      <c r="D578" s="407"/>
      <c r="I578" s="357"/>
    </row>
    <row r="579" spans="4:9" ht="13.2">
      <c r="D579" s="407"/>
      <c r="I579" s="357"/>
    </row>
    <row r="580" spans="4:9" ht="13.2">
      <c r="D580" s="407"/>
      <c r="I580" s="357"/>
    </row>
    <row r="581" spans="4:9" ht="13.2">
      <c r="D581" s="407"/>
      <c r="I581" s="357"/>
    </row>
    <row r="582" spans="4:9" ht="13.2">
      <c r="D582" s="407"/>
      <c r="I582" s="357"/>
    </row>
    <row r="583" spans="4:9" ht="13.2">
      <c r="D583" s="407"/>
      <c r="I583" s="357"/>
    </row>
    <row r="584" spans="4:9" ht="13.2">
      <c r="D584" s="407"/>
      <c r="I584" s="357"/>
    </row>
    <row r="585" spans="4:9" ht="13.2">
      <c r="D585" s="407"/>
      <c r="I585" s="357"/>
    </row>
    <row r="586" spans="4:9" ht="13.2">
      <c r="D586" s="407"/>
      <c r="I586" s="357"/>
    </row>
    <row r="587" spans="4:9" ht="13.2">
      <c r="D587" s="407"/>
      <c r="I587" s="357"/>
    </row>
    <row r="588" spans="4:9" ht="13.2">
      <c r="D588" s="407"/>
      <c r="I588" s="357"/>
    </row>
    <row r="589" spans="4:9" ht="13.2">
      <c r="D589" s="407"/>
      <c r="I589" s="357"/>
    </row>
    <row r="590" spans="4:9" ht="13.2">
      <c r="D590" s="407"/>
      <c r="I590" s="357"/>
    </row>
    <row r="591" spans="4:9" ht="13.2">
      <c r="D591" s="407"/>
      <c r="I591" s="357"/>
    </row>
    <row r="592" spans="4:9" ht="13.2">
      <c r="D592" s="407"/>
      <c r="I592" s="357"/>
    </row>
    <row r="593" spans="4:9" ht="13.2">
      <c r="D593" s="407"/>
      <c r="I593" s="357"/>
    </row>
    <row r="594" spans="4:9" ht="13.2">
      <c r="D594" s="407"/>
      <c r="I594" s="357"/>
    </row>
    <row r="595" spans="4:9" ht="13.2">
      <c r="D595" s="407"/>
      <c r="I595" s="357"/>
    </row>
    <row r="596" spans="4:9" ht="13.2">
      <c r="D596" s="407"/>
      <c r="I596" s="357"/>
    </row>
    <row r="597" spans="4:9" ht="13.2">
      <c r="D597" s="407"/>
      <c r="I597" s="357"/>
    </row>
    <row r="598" spans="4:9" ht="13.2">
      <c r="D598" s="407"/>
      <c r="I598" s="357"/>
    </row>
    <row r="599" spans="4:9" ht="13.2">
      <c r="D599" s="407"/>
      <c r="I599" s="357"/>
    </row>
    <row r="600" spans="4:9" ht="13.2">
      <c r="D600" s="407"/>
      <c r="I600" s="357"/>
    </row>
    <row r="601" spans="4:9" ht="13.2">
      <c r="D601" s="407"/>
      <c r="I601" s="357"/>
    </row>
    <row r="602" spans="4:9" ht="13.2">
      <c r="D602" s="407"/>
      <c r="I602" s="357"/>
    </row>
    <row r="603" spans="4:9" ht="13.2">
      <c r="D603" s="407"/>
      <c r="I603" s="357"/>
    </row>
    <row r="604" spans="4:9" ht="13.2">
      <c r="D604" s="407"/>
      <c r="I604" s="357"/>
    </row>
    <row r="605" spans="4:9" ht="13.2">
      <c r="D605" s="407"/>
      <c r="I605" s="357"/>
    </row>
    <row r="606" spans="4:9" ht="13.2">
      <c r="D606" s="407"/>
      <c r="I606" s="357"/>
    </row>
    <row r="607" spans="4:9" ht="13.2">
      <c r="D607" s="407"/>
      <c r="I607" s="357"/>
    </row>
    <row r="608" spans="4:9" ht="13.2">
      <c r="D608" s="407"/>
      <c r="I608" s="357"/>
    </row>
    <row r="609" spans="4:9" ht="13.2">
      <c r="D609" s="407"/>
      <c r="I609" s="357"/>
    </row>
    <row r="610" spans="4:9" ht="13.2">
      <c r="D610" s="407"/>
      <c r="I610" s="357"/>
    </row>
    <row r="611" spans="4:9" ht="13.2">
      <c r="D611" s="407"/>
      <c r="I611" s="357"/>
    </row>
    <row r="612" spans="4:9" ht="13.2">
      <c r="D612" s="407"/>
      <c r="I612" s="357"/>
    </row>
    <row r="613" spans="4:9" ht="13.2">
      <c r="D613" s="407"/>
      <c r="I613" s="357"/>
    </row>
    <row r="614" spans="4:9" ht="13.2">
      <c r="D614" s="407"/>
      <c r="I614" s="357"/>
    </row>
    <row r="615" spans="4:9" ht="13.2">
      <c r="D615" s="407"/>
      <c r="I615" s="357"/>
    </row>
    <row r="616" spans="4:9" ht="13.2">
      <c r="D616" s="407"/>
      <c r="I616" s="357"/>
    </row>
    <row r="617" spans="4:9" ht="13.2">
      <c r="D617" s="407"/>
      <c r="I617" s="357"/>
    </row>
    <row r="618" spans="4:9" ht="13.2">
      <c r="D618" s="407"/>
      <c r="I618" s="357"/>
    </row>
    <row r="619" spans="4:9" ht="13.2">
      <c r="D619" s="407"/>
      <c r="I619" s="357"/>
    </row>
    <row r="620" spans="4:9" ht="13.2">
      <c r="D620" s="407"/>
      <c r="I620" s="357"/>
    </row>
    <row r="621" spans="4:9" ht="13.2">
      <c r="D621" s="407"/>
      <c r="I621" s="357"/>
    </row>
    <row r="622" spans="4:9" ht="13.2">
      <c r="D622" s="407"/>
      <c r="I622" s="357"/>
    </row>
    <row r="623" spans="4:9" ht="13.2">
      <c r="D623" s="407"/>
      <c r="I623" s="357"/>
    </row>
    <row r="624" spans="4:9" ht="13.2">
      <c r="D624" s="407"/>
      <c r="I624" s="357"/>
    </row>
    <row r="625" spans="4:9" ht="13.2">
      <c r="D625" s="407"/>
      <c r="I625" s="357"/>
    </row>
    <row r="626" spans="4:9" ht="13.2">
      <c r="D626" s="407"/>
      <c r="I626" s="357"/>
    </row>
    <row r="627" spans="4:9" ht="13.2">
      <c r="D627" s="407"/>
      <c r="I627" s="357"/>
    </row>
    <row r="628" spans="4:9" ht="13.2">
      <c r="D628" s="407"/>
      <c r="I628" s="357"/>
    </row>
    <row r="629" spans="4:9" ht="13.2">
      <c r="D629" s="407"/>
      <c r="I629" s="357"/>
    </row>
    <row r="630" spans="4:9" ht="13.2">
      <c r="D630" s="407"/>
      <c r="I630" s="357"/>
    </row>
    <row r="631" spans="4:9" ht="13.2">
      <c r="D631" s="407"/>
      <c r="I631" s="357"/>
    </row>
    <row r="632" spans="4:9" ht="13.2">
      <c r="D632" s="407"/>
      <c r="I632" s="357"/>
    </row>
    <row r="633" spans="4:9" ht="13.2">
      <c r="D633" s="407"/>
      <c r="I633" s="357"/>
    </row>
    <row r="634" spans="4:9" ht="13.2">
      <c r="D634" s="407"/>
      <c r="I634" s="357"/>
    </row>
    <row r="635" spans="4:9" ht="13.2">
      <c r="D635" s="407"/>
      <c r="I635" s="357"/>
    </row>
    <row r="636" spans="4:9" ht="13.2">
      <c r="D636" s="407"/>
      <c r="I636" s="357"/>
    </row>
    <row r="637" spans="4:9" ht="13.2">
      <c r="D637" s="407"/>
      <c r="I637" s="357"/>
    </row>
    <row r="638" spans="4:9" ht="13.2">
      <c r="D638" s="407"/>
      <c r="I638" s="357"/>
    </row>
    <row r="639" spans="4:9" ht="13.2">
      <c r="D639" s="407"/>
      <c r="I639" s="357"/>
    </row>
    <row r="640" spans="4:9" ht="13.2">
      <c r="D640" s="407"/>
      <c r="I640" s="357"/>
    </row>
    <row r="641" spans="4:9" ht="13.2">
      <c r="D641" s="407"/>
      <c r="I641" s="357"/>
    </row>
    <row r="642" spans="4:9" ht="13.2">
      <c r="D642" s="407"/>
      <c r="I642" s="357"/>
    </row>
    <row r="643" spans="4:9" ht="13.2">
      <c r="D643" s="407"/>
      <c r="I643" s="357"/>
    </row>
    <row r="644" spans="4:9" ht="13.2">
      <c r="D644" s="407"/>
      <c r="I644" s="357"/>
    </row>
    <row r="645" spans="4:9" ht="13.2">
      <c r="D645" s="407"/>
      <c r="I645" s="357"/>
    </row>
    <row r="646" spans="4:9" ht="13.2">
      <c r="D646" s="407"/>
      <c r="I646" s="357"/>
    </row>
    <row r="647" spans="4:9" ht="13.2">
      <c r="D647" s="407"/>
      <c r="I647" s="357"/>
    </row>
    <row r="648" spans="4:9" ht="13.2">
      <c r="D648" s="407"/>
      <c r="I648" s="357"/>
    </row>
    <row r="649" spans="4:9" ht="13.2">
      <c r="D649" s="407"/>
      <c r="I649" s="357"/>
    </row>
    <row r="650" spans="4:9" ht="13.2">
      <c r="D650" s="407"/>
      <c r="I650" s="357"/>
    </row>
    <row r="651" spans="4:9" ht="13.2">
      <c r="D651" s="407"/>
      <c r="I651" s="357"/>
    </row>
    <row r="652" spans="4:9" ht="13.2">
      <c r="D652" s="407"/>
      <c r="I652" s="357"/>
    </row>
    <row r="653" spans="4:9" ht="13.2">
      <c r="D653" s="407"/>
      <c r="I653" s="357"/>
    </row>
    <row r="654" spans="4:9" ht="13.2">
      <c r="D654" s="407"/>
      <c r="I654" s="357"/>
    </row>
    <row r="655" spans="4:9" ht="13.2">
      <c r="D655" s="407"/>
      <c r="I655" s="357"/>
    </row>
    <row r="656" spans="4:9" ht="13.2">
      <c r="D656" s="407"/>
      <c r="I656" s="357"/>
    </row>
    <row r="657" spans="4:9" ht="13.2">
      <c r="D657" s="407"/>
      <c r="I657" s="357"/>
    </row>
    <row r="658" spans="4:9" ht="13.2">
      <c r="D658" s="407"/>
      <c r="I658" s="357"/>
    </row>
    <row r="659" spans="4:9" ht="13.2">
      <c r="D659" s="407"/>
      <c r="I659" s="357"/>
    </row>
    <row r="660" spans="4:9" ht="13.2">
      <c r="D660" s="407"/>
      <c r="I660" s="357"/>
    </row>
    <row r="661" spans="4:9" ht="13.2">
      <c r="D661" s="407"/>
      <c r="I661" s="357"/>
    </row>
    <row r="662" spans="4:9" ht="13.2">
      <c r="D662" s="407"/>
      <c r="I662" s="357"/>
    </row>
    <row r="663" spans="4:9" ht="13.2">
      <c r="D663" s="407"/>
      <c r="I663" s="357"/>
    </row>
    <row r="664" spans="4:9" ht="13.2">
      <c r="D664" s="407"/>
      <c r="I664" s="357"/>
    </row>
    <row r="665" spans="4:9" ht="13.2">
      <c r="D665" s="407"/>
      <c r="I665" s="357"/>
    </row>
    <row r="666" spans="4:9" ht="13.2">
      <c r="D666" s="407"/>
      <c r="I666" s="357"/>
    </row>
    <row r="667" spans="4:9" ht="13.2">
      <c r="D667" s="407"/>
      <c r="I667" s="357"/>
    </row>
    <row r="668" spans="4:9" ht="13.2">
      <c r="D668" s="407"/>
      <c r="I668" s="357"/>
    </row>
    <row r="669" spans="4:9" ht="13.2">
      <c r="D669" s="407"/>
      <c r="I669" s="357"/>
    </row>
    <row r="670" spans="4:9" ht="13.2">
      <c r="D670" s="407"/>
      <c r="I670" s="357"/>
    </row>
    <row r="671" spans="4:9" ht="13.2">
      <c r="D671" s="407"/>
      <c r="I671" s="357"/>
    </row>
    <row r="672" spans="4:9" ht="13.2">
      <c r="D672" s="407"/>
      <c r="I672" s="357"/>
    </row>
    <row r="673" spans="4:9" ht="13.2">
      <c r="D673" s="407"/>
      <c r="I673" s="357"/>
    </row>
    <row r="674" spans="4:9" ht="13.2">
      <c r="D674" s="407"/>
      <c r="I674" s="357"/>
    </row>
    <row r="675" spans="4:9" ht="13.2">
      <c r="D675" s="407"/>
      <c r="I675" s="357"/>
    </row>
    <row r="676" spans="4:9" ht="13.2">
      <c r="D676" s="407"/>
      <c r="I676" s="357"/>
    </row>
    <row r="677" spans="4:9" ht="13.2">
      <c r="D677" s="407"/>
      <c r="I677" s="357"/>
    </row>
    <row r="678" spans="4:9" ht="13.2">
      <c r="D678" s="407"/>
      <c r="I678" s="357"/>
    </row>
    <row r="679" spans="4:9" ht="13.2">
      <c r="D679" s="407"/>
      <c r="I679" s="357"/>
    </row>
    <row r="680" spans="4:9" ht="13.2">
      <c r="D680" s="407"/>
      <c r="I680" s="357"/>
    </row>
    <row r="681" spans="4:9" ht="13.2">
      <c r="D681" s="407"/>
      <c r="I681" s="357"/>
    </row>
    <row r="682" spans="4:9" ht="13.2">
      <c r="D682" s="407"/>
      <c r="I682" s="357"/>
    </row>
    <row r="683" spans="4:9" ht="13.2">
      <c r="D683" s="407"/>
      <c r="I683" s="357"/>
    </row>
    <row r="684" spans="4:9" ht="13.2">
      <c r="D684" s="407"/>
      <c r="I684" s="357"/>
    </row>
    <row r="685" spans="4:9" ht="13.2">
      <c r="D685" s="407"/>
      <c r="I685" s="357"/>
    </row>
    <row r="686" spans="4:9" ht="13.2">
      <c r="D686" s="407"/>
      <c r="I686" s="357"/>
    </row>
    <row r="687" spans="4:9" ht="13.2">
      <c r="D687" s="407"/>
      <c r="I687" s="357"/>
    </row>
    <row r="688" spans="4:9" ht="13.2">
      <c r="D688" s="407"/>
      <c r="I688" s="357"/>
    </row>
    <row r="689" spans="4:9" ht="13.2">
      <c r="D689" s="407"/>
      <c r="I689" s="357"/>
    </row>
    <row r="690" spans="4:9" ht="13.2">
      <c r="D690" s="407"/>
      <c r="I690" s="357"/>
    </row>
    <row r="691" spans="4:9" ht="13.2">
      <c r="D691" s="407"/>
      <c r="I691" s="357"/>
    </row>
    <row r="692" spans="4:9" ht="13.2">
      <c r="D692" s="407"/>
      <c r="I692" s="357"/>
    </row>
    <row r="693" spans="4:9" ht="13.2">
      <c r="D693" s="407"/>
      <c r="I693" s="357"/>
    </row>
    <row r="694" spans="4:9" ht="13.2">
      <c r="D694" s="407"/>
      <c r="I694" s="357"/>
    </row>
    <row r="695" spans="4:9" ht="13.2">
      <c r="D695" s="407"/>
      <c r="I695" s="357"/>
    </row>
    <row r="696" spans="4:9" ht="13.2">
      <c r="D696" s="407"/>
      <c r="I696" s="357"/>
    </row>
    <row r="697" spans="4:9" ht="13.2">
      <c r="D697" s="407"/>
      <c r="I697" s="357"/>
    </row>
    <row r="698" spans="4:9" ht="13.2">
      <c r="D698" s="407"/>
      <c r="I698" s="357"/>
    </row>
    <row r="699" spans="4:9" ht="13.2">
      <c r="D699" s="407"/>
      <c r="I699" s="357"/>
    </row>
    <row r="700" spans="4:9" ht="13.2">
      <c r="D700" s="407"/>
      <c r="I700" s="357"/>
    </row>
    <row r="701" spans="4:9" ht="13.2">
      <c r="D701" s="407"/>
      <c r="I701" s="357"/>
    </row>
    <row r="702" spans="4:9" ht="13.2">
      <c r="D702" s="407"/>
      <c r="I702" s="357"/>
    </row>
    <row r="703" spans="4:9" ht="13.2">
      <c r="D703" s="407"/>
      <c r="I703" s="357"/>
    </row>
    <row r="704" spans="4:9" ht="13.2">
      <c r="D704" s="407"/>
      <c r="I704" s="357"/>
    </row>
    <row r="705" spans="4:9" ht="13.2">
      <c r="D705" s="407"/>
      <c r="I705" s="357"/>
    </row>
    <row r="706" spans="4:9" ht="13.2">
      <c r="D706" s="407"/>
      <c r="I706" s="357"/>
    </row>
    <row r="707" spans="4:9" ht="13.2">
      <c r="D707" s="407"/>
      <c r="I707" s="357"/>
    </row>
    <row r="708" spans="4:9" ht="13.2">
      <c r="D708" s="407"/>
      <c r="I708" s="357"/>
    </row>
    <row r="709" spans="4:9" ht="13.2">
      <c r="D709" s="407"/>
      <c r="I709" s="357"/>
    </row>
    <row r="710" spans="4:9" ht="13.2">
      <c r="D710" s="407"/>
      <c r="I710" s="357"/>
    </row>
    <row r="711" spans="4:9" ht="13.2">
      <c r="D711" s="407"/>
      <c r="I711" s="357"/>
    </row>
    <row r="712" spans="4:9" ht="13.2">
      <c r="D712" s="407"/>
      <c r="I712" s="357"/>
    </row>
    <row r="713" spans="4:9" ht="13.2">
      <c r="D713" s="407"/>
      <c r="I713" s="357"/>
    </row>
    <row r="714" spans="4:9" ht="13.2">
      <c r="D714" s="407"/>
      <c r="I714" s="357"/>
    </row>
    <row r="715" spans="4:9" ht="13.2">
      <c r="D715" s="407"/>
      <c r="I715" s="357"/>
    </row>
    <row r="716" spans="4:9" ht="13.2">
      <c r="D716" s="407"/>
      <c r="I716" s="357"/>
    </row>
    <row r="717" spans="4:9" ht="13.2">
      <c r="D717" s="407"/>
      <c r="I717" s="357"/>
    </row>
    <row r="718" spans="4:9" ht="13.2">
      <c r="D718" s="407"/>
      <c r="I718" s="357"/>
    </row>
    <row r="719" spans="4:9" ht="13.2">
      <c r="D719" s="407"/>
      <c r="I719" s="357"/>
    </row>
    <row r="720" spans="4:9" ht="13.2">
      <c r="D720" s="407"/>
      <c r="I720" s="357"/>
    </row>
    <row r="721" spans="4:9" ht="13.2">
      <c r="D721" s="407"/>
      <c r="I721" s="357"/>
    </row>
    <row r="722" spans="4:9" ht="13.2">
      <c r="D722" s="407"/>
      <c r="I722" s="357"/>
    </row>
    <row r="723" spans="4:9" ht="13.2">
      <c r="D723" s="407"/>
      <c r="I723" s="357"/>
    </row>
    <row r="724" spans="4:9" ht="13.2">
      <c r="D724" s="407"/>
      <c r="I724" s="357"/>
    </row>
    <row r="725" spans="4:9" ht="13.2">
      <c r="D725" s="407"/>
      <c r="I725" s="357"/>
    </row>
    <row r="726" spans="4:9" ht="13.2">
      <c r="D726" s="407"/>
      <c r="I726" s="357"/>
    </row>
    <row r="727" spans="4:9" ht="13.2">
      <c r="D727" s="407"/>
      <c r="I727" s="357"/>
    </row>
    <row r="728" spans="4:9" ht="13.2">
      <c r="D728" s="407"/>
      <c r="I728" s="357"/>
    </row>
    <row r="729" spans="4:9" ht="13.2">
      <c r="D729" s="407"/>
      <c r="I729" s="357"/>
    </row>
    <row r="730" spans="4:9" ht="13.2">
      <c r="D730" s="407"/>
      <c r="I730" s="357"/>
    </row>
    <row r="731" spans="4:9" ht="13.2">
      <c r="D731" s="407"/>
      <c r="I731" s="357"/>
    </row>
    <row r="732" spans="4:9" ht="13.2">
      <c r="D732" s="407"/>
      <c r="I732" s="357"/>
    </row>
    <row r="733" spans="4:9" ht="13.2">
      <c r="D733" s="407"/>
      <c r="I733" s="357"/>
    </row>
    <row r="734" spans="4:9" ht="13.2">
      <c r="D734" s="407"/>
      <c r="I734" s="357"/>
    </row>
    <row r="735" spans="4:9" ht="13.2">
      <c r="D735" s="407"/>
      <c r="I735" s="357"/>
    </row>
    <row r="736" spans="4:9" ht="13.2">
      <c r="D736" s="407"/>
      <c r="I736" s="357"/>
    </row>
    <row r="737" spans="4:9" ht="13.2">
      <c r="D737" s="407"/>
      <c r="I737" s="357"/>
    </row>
    <row r="738" spans="4:9" ht="13.2">
      <c r="D738" s="407"/>
      <c r="I738" s="357"/>
    </row>
    <row r="739" spans="4:9" ht="13.2">
      <c r="D739" s="407"/>
      <c r="I739" s="357"/>
    </row>
    <row r="740" spans="4:9" ht="13.2">
      <c r="D740" s="407"/>
      <c r="I740" s="357"/>
    </row>
    <row r="741" spans="4:9" ht="13.2">
      <c r="D741" s="407"/>
      <c r="I741" s="357"/>
    </row>
    <row r="742" spans="4:9" ht="13.2">
      <c r="D742" s="407"/>
      <c r="I742" s="357"/>
    </row>
    <row r="743" spans="4:9" ht="13.2">
      <c r="D743" s="407"/>
      <c r="I743" s="357"/>
    </row>
    <row r="744" spans="4:9" ht="13.2">
      <c r="D744" s="407"/>
      <c r="I744" s="357"/>
    </row>
    <row r="745" spans="4:9" ht="13.2">
      <c r="D745" s="407"/>
      <c r="I745" s="357"/>
    </row>
    <row r="746" spans="4:9" ht="13.2">
      <c r="D746" s="407"/>
      <c r="I746" s="357"/>
    </row>
    <row r="747" spans="4:9" ht="13.2">
      <c r="D747" s="407"/>
      <c r="I747" s="357"/>
    </row>
    <row r="748" spans="4:9" ht="13.2">
      <c r="D748" s="407"/>
      <c r="I748" s="357"/>
    </row>
    <row r="749" spans="4:9" ht="13.2">
      <c r="D749" s="407"/>
      <c r="I749" s="357"/>
    </row>
    <row r="750" spans="4:9" ht="13.2">
      <c r="D750" s="407"/>
      <c r="I750" s="357"/>
    </row>
    <row r="751" spans="4:9" ht="13.2">
      <c r="D751" s="407"/>
      <c r="I751" s="357"/>
    </row>
    <row r="752" spans="4:9" ht="13.2">
      <c r="D752" s="407"/>
      <c r="I752" s="357"/>
    </row>
    <row r="753" spans="4:9" ht="13.2">
      <c r="D753" s="407"/>
      <c r="I753" s="357"/>
    </row>
    <row r="754" spans="4:9" ht="13.2">
      <c r="D754" s="407"/>
      <c r="I754" s="357"/>
    </row>
    <row r="755" spans="4:9" ht="13.2">
      <c r="D755" s="407"/>
      <c r="I755" s="357"/>
    </row>
    <row r="756" spans="4:9" ht="13.2">
      <c r="D756" s="407"/>
      <c r="I756" s="357"/>
    </row>
    <row r="757" spans="4:9" ht="13.2">
      <c r="D757" s="407"/>
      <c r="I757" s="357"/>
    </row>
    <row r="758" spans="4:9" ht="13.2">
      <c r="D758" s="407"/>
      <c r="I758" s="357"/>
    </row>
    <row r="759" spans="4:9" ht="13.2">
      <c r="D759" s="407"/>
      <c r="I759" s="357"/>
    </row>
    <row r="760" spans="4:9" ht="13.2">
      <c r="D760" s="407"/>
      <c r="I760" s="357"/>
    </row>
    <row r="761" spans="4:9" ht="13.2">
      <c r="D761" s="407"/>
      <c r="I761" s="357"/>
    </row>
    <row r="762" spans="4:9" ht="13.2">
      <c r="D762" s="407"/>
      <c r="I762" s="357"/>
    </row>
    <row r="763" spans="4:9" ht="13.2">
      <c r="D763" s="407"/>
      <c r="I763" s="357"/>
    </row>
    <row r="764" spans="4:9" ht="13.2">
      <c r="D764" s="407"/>
      <c r="I764" s="357"/>
    </row>
    <row r="765" spans="4:9" ht="13.2">
      <c r="D765" s="407"/>
      <c r="I765" s="357"/>
    </row>
    <row r="766" spans="4:9" ht="13.2">
      <c r="D766" s="407"/>
      <c r="I766" s="357"/>
    </row>
    <row r="767" spans="4:9" ht="13.2">
      <c r="D767" s="407"/>
      <c r="I767" s="357"/>
    </row>
    <row r="768" spans="4:9" ht="13.2">
      <c r="D768" s="407"/>
      <c r="I768" s="357"/>
    </row>
    <row r="769" spans="4:9" ht="13.2">
      <c r="D769" s="407"/>
      <c r="I769" s="357"/>
    </row>
    <row r="770" spans="4:9" ht="13.2">
      <c r="D770" s="407"/>
      <c r="I770" s="357"/>
    </row>
    <row r="771" spans="4:9" ht="13.2">
      <c r="D771" s="407"/>
      <c r="I771" s="357"/>
    </row>
    <row r="772" spans="4:9" ht="13.2">
      <c r="D772" s="407"/>
      <c r="I772" s="357"/>
    </row>
    <row r="773" spans="4:9" ht="13.2">
      <c r="D773" s="407"/>
      <c r="I773" s="357"/>
    </row>
    <row r="774" spans="4:9" ht="13.2">
      <c r="D774" s="407"/>
      <c r="I774" s="357"/>
    </row>
    <row r="775" spans="4:9" ht="13.2">
      <c r="D775" s="407"/>
      <c r="I775" s="357"/>
    </row>
    <row r="776" spans="4:9" ht="13.2">
      <c r="D776" s="407"/>
      <c r="I776" s="357"/>
    </row>
    <row r="777" spans="4:9" ht="13.2">
      <c r="D777" s="407"/>
      <c r="I777" s="357"/>
    </row>
    <row r="778" spans="4:9" ht="13.2">
      <c r="D778" s="407"/>
      <c r="I778" s="357"/>
    </row>
    <row r="779" spans="4:9" ht="13.2">
      <c r="D779" s="407"/>
      <c r="I779" s="357"/>
    </row>
    <row r="780" spans="4:9" ht="13.2">
      <c r="D780" s="407"/>
      <c r="I780" s="357"/>
    </row>
    <row r="781" spans="4:9" ht="13.2">
      <c r="D781" s="407"/>
      <c r="I781" s="357"/>
    </row>
    <row r="782" spans="4:9" ht="13.2">
      <c r="D782" s="407"/>
      <c r="I782" s="357"/>
    </row>
    <row r="783" spans="4:9" ht="13.2">
      <c r="D783" s="407"/>
      <c r="I783" s="357"/>
    </row>
    <row r="784" spans="4:9" ht="13.2">
      <c r="D784" s="407"/>
      <c r="I784" s="357"/>
    </row>
    <row r="785" spans="4:9" ht="13.2">
      <c r="D785" s="407"/>
      <c r="I785" s="357"/>
    </row>
    <row r="786" spans="4:9" ht="13.2">
      <c r="D786" s="407"/>
      <c r="I786" s="357"/>
    </row>
    <row r="787" spans="4:9" ht="13.2">
      <c r="D787" s="407"/>
      <c r="I787" s="357"/>
    </row>
    <row r="788" spans="4:9" ht="13.2">
      <c r="D788" s="407"/>
      <c r="I788" s="357"/>
    </row>
    <row r="789" spans="4:9" ht="13.2">
      <c r="D789" s="407"/>
      <c r="I789" s="357"/>
    </row>
    <row r="790" spans="4:9" ht="13.2">
      <c r="D790" s="407"/>
      <c r="I790" s="357"/>
    </row>
    <row r="791" spans="4:9" ht="13.2">
      <c r="D791" s="407"/>
      <c r="I791" s="357"/>
    </row>
    <row r="792" spans="4:9" ht="13.2">
      <c r="D792" s="407"/>
      <c r="I792" s="357"/>
    </row>
    <row r="793" spans="4:9" ht="13.2">
      <c r="D793" s="407"/>
      <c r="I793" s="357"/>
    </row>
    <row r="794" spans="4:9" ht="13.2">
      <c r="D794" s="407"/>
      <c r="I794" s="357"/>
    </row>
    <row r="795" spans="4:9" ht="13.2">
      <c r="D795" s="407"/>
      <c r="I795" s="357"/>
    </row>
    <row r="796" spans="4:9" ht="13.2">
      <c r="D796" s="407"/>
      <c r="I796" s="357"/>
    </row>
    <row r="797" spans="4:9" ht="13.2">
      <c r="D797" s="407"/>
      <c r="I797" s="357"/>
    </row>
    <row r="798" spans="4:9" ht="13.2">
      <c r="D798" s="407"/>
      <c r="I798" s="357"/>
    </row>
    <row r="799" spans="4:9" ht="13.2">
      <c r="D799" s="407"/>
      <c r="I799" s="357"/>
    </row>
    <row r="800" spans="4:9" ht="13.2">
      <c r="D800" s="407"/>
      <c r="I800" s="357"/>
    </row>
    <row r="801" spans="4:9" ht="13.2">
      <c r="D801" s="407"/>
      <c r="I801" s="357"/>
    </row>
    <row r="802" spans="4:9" ht="13.2">
      <c r="D802" s="407"/>
      <c r="I802" s="357"/>
    </row>
    <row r="803" spans="4:9" ht="13.2">
      <c r="D803" s="407"/>
      <c r="I803" s="357"/>
    </row>
    <row r="804" spans="4:9" ht="13.2">
      <c r="D804" s="407"/>
      <c r="I804" s="357"/>
    </row>
    <row r="805" spans="4:9" ht="13.2">
      <c r="D805" s="407"/>
      <c r="I805" s="357"/>
    </row>
    <row r="806" spans="4:9" ht="13.2">
      <c r="D806" s="407"/>
      <c r="I806" s="357"/>
    </row>
    <row r="807" spans="4:9" ht="13.2">
      <c r="D807" s="407"/>
      <c r="I807" s="357"/>
    </row>
    <row r="808" spans="4:9" ht="13.2">
      <c r="D808" s="407"/>
      <c r="I808" s="357"/>
    </row>
    <row r="809" spans="4:9" ht="13.2">
      <c r="D809" s="407"/>
      <c r="I809" s="357"/>
    </row>
    <row r="810" spans="4:9" ht="13.2">
      <c r="D810" s="407"/>
      <c r="I810" s="357"/>
    </row>
    <row r="811" spans="4:9" ht="13.2">
      <c r="D811" s="407"/>
      <c r="I811" s="357"/>
    </row>
    <row r="812" spans="4:9" ht="13.2">
      <c r="D812" s="407"/>
      <c r="I812" s="357"/>
    </row>
    <row r="813" spans="4:9" ht="13.2">
      <c r="D813" s="407"/>
      <c r="I813" s="357"/>
    </row>
    <row r="814" spans="4:9" ht="13.2">
      <c r="D814" s="407"/>
      <c r="I814" s="357"/>
    </row>
    <row r="815" spans="4:9" ht="13.2">
      <c r="D815" s="407"/>
      <c r="I815" s="357"/>
    </row>
    <row r="816" spans="4:9" ht="13.2">
      <c r="D816" s="407"/>
      <c r="I816" s="357"/>
    </row>
    <row r="817" spans="4:9" ht="13.2">
      <c r="D817" s="407"/>
      <c r="I817" s="357"/>
    </row>
    <row r="818" spans="4:9" ht="13.2">
      <c r="D818" s="407"/>
      <c r="I818" s="357"/>
    </row>
    <row r="819" spans="4:9" ht="13.2">
      <c r="D819" s="407"/>
      <c r="I819" s="357"/>
    </row>
    <row r="820" spans="4:9" ht="13.2">
      <c r="D820" s="407"/>
      <c r="I820" s="357"/>
    </row>
    <row r="821" spans="4:9" ht="13.2">
      <c r="D821" s="407"/>
      <c r="I821" s="357"/>
    </row>
    <row r="822" spans="4:9" ht="13.2">
      <c r="D822" s="407"/>
      <c r="I822" s="357"/>
    </row>
    <row r="823" spans="4:9" ht="13.2">
      <c r="D823" s="407"/>
      <c r="I823" s="357"/>
    </row>
    <row r="824" spans="4:9" ht="13.2">
      <c r="D824" s="407"/>
      <c r="I824" s="357"/>
    </row>
    <row r="825" spans="4:9" ht="13.2">
      <c r="D825" s="407"/>
      <c r="I825" s="357"/>
    </row>
    <row r="826" spans="4:9" ht="13.2">
      <c r="D826" s="407"/>
      <c r="I826" s="357"/>
    </row>
    <row r="827" spans="4:9" ht="13.2">
      <c r="D827" s="407"/>
      <c r="I827" s="357"/>
    </row>
    <row r="828" spans="4:9" ht="13.2">
      <c r="D828" s="407"/>
      <c r="I828" s="357"/>
    </row>
    <row r="829" spans="4:9" ht="13.2">
      <c r="D829" s="407"/>
      <c r="I829" s="357"/>
    </row>
    <row r="830" spans="4:9" ht="13.2">
      <c r="D830" s="407"/>
      <c r="I830" s="357"/>
    </row>
    <row r="831" spans="4:9" ht="13.2">
      <c r="D831" s="407"/>
      <c r="I831" s="357"/>
    </row>
    <row r="832" spans="4:9" ht="13.2">
      <c r="D832" s="407"/>
      <c r="I832" s="357"/>
    </row>
    <row r="833" spans="4:9" ht="13.2">
      <c r="D833" s="407"/>
      <c r="I833" s="357"/>
    </row>
    <row r="834" spans="4:9" ht="13.2">
      <c r="D834" s="407"/>
      <c r="I834" s="357"/>
    </row>
    <row r="835" spans="4:9" ht="13.2">
      <c r="D835" s="407"/>
      <c r="I835" s="357"/>
    </row>
    <row r="836" spans="4:9" ht="13.2">
      <c r="D836" s="407"/>
      <c r="I836" s="357"/>
    </row>
    <row r="837" spans="4:9" ht="13.2">
      <c r="D837" s="407"/>
      <c r="I837" s="357"/>
    </row>
    <row r="838" spans="4:9" ht="13.2">
      <c r="D838" s="407"/>
      <c r="I838" s="357"/>
    </row>
    <row r="839" spans="4:9" ht="13.2">
      <c r="D839" s="407"/>
      <c r="I839" s="357"/>
    </row>
    <row r="840" spans="4:9" ht="13.2">
      <c r="D840" s="407"/>
      <c r="I840" s="357"/>
    </row>
    <row r="841" spans="4:9" ht="13.2">
      <c r="D841" s="407"/>
      <c r="I841" s="357"/>
    </row>
    <row r="842" spans="4:9" ht="13.2">
      <c r="D842" s="407"/>
      <c r="I842" s="357"/>
    </row>
    <row r="843" spans="4:9" ht="13.2">
      <c r="D843" s="407"/>
      <c r="I843" s="357"/>
    </row>
    <row r="844" spans="4:9" ht="13.2">
      <c r="D844" s="407"/>
      <c r="I844" s="357"/>
    </row>
    <row r="845" spans="4:9" ht="13.2">
      <c r="D845" s="407"/>
      <c r="I845" s="357"/>
    </row>
    <row r="846" spans="4:9" ht="13.2">
      <c r="D846" s="407"/>
      <c r="I846" s="357"/>
    </row>
    <row r="847" spans="4:9" ht="13.2">
      <c r="D847" s="407"/>
      <c r="I847" s="357"/>
    </row>
    <row r="848" spans="4:9" ht="13.2">
      <c r="D848" s="407"/>
      <c r="I848" s="357"/>
    </row>
    <row r="849" spans="4:9" ht="13.2">
      <c r="D849" s="407"/>
      <c r="I849" s="357"/>
    </row>
    <row r="850" spans="4:9" ht="13.2">
      <c r="D850" s="407"/>
      <c r="I850" s="357"/>
    </row>
    <row r="851" spans="4:9" ht="13.2">
      <c r="D851" s="407"/>
      <c r="I851" s="357"/>
    </row>
    <row r="852" spans="4:9" ht="13.2">
      <c r="D852" s="407"/>
      <c r="I852" s="357"/>
    </row>
    <row r="853" spans="4:9" ht="13.2">
      <c r="D853" s="407"/>
      <c r="I853" s="357"/>
    </row>
    <row r="854" spans="4:9" ht="13.2">
      <c r="D854" s="407"/>
      <c r="I854" s="357"/>
    </row>
    <row r="855" spans="4:9" ht="13.2">
      <c r="D855" s="407"/>
      <c r="I855" s="357"/>
    </row>
    <row r="856" spans="4:9" ht="13.2">
      <c r="D856" s="407"/>
      <c r="I856" s="357"/>
    </row>
    <row r="857" spans="4:9" ht="13.2">
      <c r="D857" s="407"/>
      <c r="I857" s="357"/>
    </row>
    <row r="858" spans="4:9" ht="13.2">
      <c r="D858" s="407"/>
      <c r="I858" s="357"/>
    </row>
    <row r="859" spans="4:9" ht="13.2">
      <c r="D859" s="407"/>
      <c r="I859" s="357"/>
    </row>
    <row r="860" spans="4:9" ht="13.2">
      <c r="D860" s="407"/>
      <c r="I860" s="357"/>
    </row>
    <row r="861" spans="4:9" ht="13.2">
      <c r="D861" s="407"/>
      <c r="I861" s="357"/>
    </row>
    <row r="862" spans="4:9" ht="13.2">
      <c r="D862" s="407"/>
      <c r="I862" s="357"/>
    </row>
    <row r="863" spans="4:9" ht="13.2">
      <c r="D863" s="407"/>
      <c r="I863" s="357"/>
    </row>
    <row r="864" spans="4:9" ht="13.2">
      <c r="D864" s="407"/>
      <c r="I864" s="357"/>
    </row>
    <row r="865" spans="4:9" ht="13.2">
      <c r="D865" s="407"/>
      <c r="I865" s="357"/>
    </row>
    <row r="866" spans="4:9" ht="13.2">
      <c r="D866" s="407"/>
      <c r="I866" s="357"/>
    </row>
    <row r="867" spans="4:9" ht="13.2">
      <c r="D867" s="407"/>
      <c r="I867" s="357"/>
    </row>
    <row r="868" spans="4:9" ht="13.2">
      <c r="D868" s="407"/>
      <c r="I868" s="357"/>
    </row>
    <row r="869" spans="4:9" ht="13.2">
      <c r="D869" s="407"/>
      <c r="I869" s="357"/>
    </row>
    <row r="870" spans="4:9" ht="13.2">
      <c r="D870" s="407"/>
      <c r="I870" s="357"/>
    </row>
    <row r="871" spans="4:9" ht="13.2">
      <c r="D871" s="407"/>
      <c r="I871" s="357"/>
    </row>
    <row r="872" spans="4:9" ht="13.2">
      <c r="D872" s="407"/>
      <c r="I872" s="357"/>
    </row>
    <row r="873" spans="4:9" ht="13.2">
      <c r="D873" s="407"/>
      <c r="I873" s="357"/>
    </row>
    <row r="874" spans="4:9" ht="13.2">
      <c r="D874" s="407"/>
      <c r="I874" s="357"/>
    </row>
    <row r="875" spans="4:9" ht="13.2">
      <c r="D875" s="407"/>
      <c r="I875" s="357"/>
    </row>
    <row r="876" spans="4:9" ht="13.2">
      <c r="D876" s="407"/>
      <c r="I876" s="357"/>
    </row>
    <row r="877" spans="4:9" ht="13.2">
      <c r="D877" s="407"/>
      <c r="I877" s="357"/>
    </row>
    <row r="878" spans="4:9" ht="13.2">
      <c r="D878" s="407"/>
      <c r="I878" s="357"/>
    </row>
    <row r="879" spans="4:9" ht="13.2">
      <c r="D879" s="407"/>
      <c r="I879" s="357"/>
    </row>
    <row r="880" spans="4:9" ht="13.2">
      <c r="D880" s="407"/>
      <c r="I880" s="357"/>
    </row>
    <row r="881" spans="4:9" ht="13.2">
      <c r="D881" s="407"/>
      <c r="I881" s="357"/>
    </row>
    <row r="882" spans="4:9" ht="13.2">
      <c r="D882" s="407"/>
      <c r="I882" s="357"/>
    </row>
    <row r="883" spans="4:9" ht="13.2">
      <c r="D883" s="407"/>
      <c r="I883" s="357"/>
    </row>
    <row r="884" spans="4:9" ht="13.2">
      <c r="D884" s="407"/>
      <c r="I884" s="357"/>
    </row>
    <row r="885" spans="4:9" ht="13.2">
      <c r="D885" s="407"/>
      <c r="I885" s="357"/>
    </row>
    <row r="886" spans="4:9" ht="13.2">
      <c r="D886" s="407"/>
      <c r="I886" s="357"/>
    </row>
    <row r="887" spans="4:9" ht="13.2">
      <c r="D887" s="407"/>
      <c r="I887" s="357"/>
    </row>
    <row r="888" spans="4:9" ht="13.2">
      <c r="D888" s="407"/>
      <c r="I888" s="357"/>
    </row>
    <row r="889" spans="4:9" ht="13.2">
      <c r="D889" s="407"/>
      <c r="I889" s="357"/>
    </row>
    <row r="890" spans="4:9" ht="13.2">
      <c r="D890" s="407"/>
      <c r="I890" s="357"/>
    </row>
    <row r="891" spans="4:9" ht="13.2">
      <c r="D891" s="407"/>
      <c r="I891" s="357"/>
    </row>
    <row r="892" spans="4:9" ht="13.2">
      <c r="D892" s="407"/>
      <c r="I892" s="357"/>
    </row>
    <row r="893" spans="4:9" ht="13.2">
      <c r="D893" s="407"/>
      <c r="I893" s="357"/>
    </row>
    <row r="894" spans="4:9" ht="13.2">
      <c r="D894" s="407"/>
      <c r="I894" s="357"/>
    </row>
    <row r="895" spans="4:9" ht="13.2">
      <c r="D895" s="407"/>
      <c r="I895" s="357"/>
    </row>
    <row r="896" spans="4:9" ht="13.2">
      <c r="D896" s="407"/>
      <c r="I896" s="357"/>
    </row>
    <row r="897" spans="4:9" ht="13.2">
      <c r="D897" s="407"/>
      <c r="I897" s="357"/>
    </row>
    <row r="898" spans="4:9" ht="13.2">
      <c r="D898" s="407"/>
      <c r="I898" s="357"/>
    </row>
    <row r="899" spans="4:9" ht="13.2">
      <c r="D899" s="407"/>
      <c r="I899" s="357"/>
    </row>
    <row r="900" spans="4:9" ht="13.2">
      <c r="D900" s="407"/>
      <c r="I900" s="357"/>
    </row>
    <row r="901" spans="4:9" ht="13.2">
      <c r="D901" s="407"/>
      <c r="I901" s="357"/>
    </row>
    <row r="902" spans="4:9" ht="13.2">
      <c r="D902" s="407"/>
      <c r="I902" s="357"/>
    </row>
    <row r="903" spans="4:9" ht="13.2">
      <c r="D903" s="407"/>
      <c r="I903" s="357"/>
    </row>
    <row r="904" spans="4:9" ht="13.2">
      <c r="D904" s="407"/>
      <c r="I904" s="357"/>
    </row>
    <row r="905" spans="4:9" ht="13.2">
      <c r="D905" s="407"/>
      <c r="I905" s="357"/>
    </row>
    <row r="906" spans="4:9" ht="13.2">
      <c r="D906" s="407"/>
      <c r="I906" s="357"/>
    </row>
    <row r="907" spans="4:9" ht="13.2">
      <c r="D907" s="407"/>
      <c r="I907" s="357"/>
    </row>
    <row r="908" spans="4:9" ht="13.2">
      <c r="D908" s="407"/>
      <c r="I908" s="357"/>
    </row>
    <row r="909" spans="4:9" ht="13.2">
      <c r="D909" s="407"/>
      <c r="I909" s="357"/>
    </row>
    <row r="910" spans="4:9" ht="13.2">
      <c r="D910" s="407"/>
      <c r="I910" s="357"/>
    </row>
    <row r="911" spans="4:9" ht="13.2">
      <c r="D911" s="407"/>
      <c r="I911" s="357"/>
    </row>
    <row r="912" spans="4:9" ht="13.2">
      <c r="D912" s="407"/>
      <c r="I912" s="357"/>
    </row>
    <row r="913" spans="4:9" ht="13.2">
      <c r="D913" s="407"/>
      <c r="I913" s="357"/>
    </row>
    <row r="914" spans="4:9" ht="13.2">
      <c r="D914" s="407"/>
      <c r="I914" s="357"/>
    </row>
    <row r="915" spans="4:9" ht="13.2">
      <c r="D915" s="407"/>
      <c r="I915" s="357"/>
    </row>
    <row r="916" spans="4:9" ht="13.2">
      <c r="D916" s="407"/>
      <c r="I916" s="357"/>
    </row>
    <row r="917" spans="4:9" ht="13.2">
      <c r="D917" s="407"/>
      <c r="I917" s="357"/>
    </row>
    <row r="918" spans="4:9" ht="13.2">
      <c r="D918" s="407"/>
      <c r="I918" s="357"/>
    </row>
    <row r="919" spans="4:9" ht="13.2">
      <c r="D919" s="407"/>
      <c r="I919" s="357"/>
    </row>
    <row r="920" spans="4:9" ht="13.2">
      <c r="D920" s="407"/>
      <c r="I920" s="357"/>
    </row>
    <row r="921" spans="4:9" ht="13.2">
      <c r="D921" s="407"/>
      <c r="I921" s="357"/>
    </row>
    <row r="922" spans="4:9" ht="13.2">
      <c r="D922" s="407"/>
      <c r="I922" s="357"/>
    </row>
    <row r="923" spans="4:9" ht="13.2">
      <c r="D923" s="407"/>
      <c r="I923" s="357"/>
    </row>
    <row r="924" spans="4:9" ht="13.2">
      <c r="D924" s="407"/>
      <c r="I924" s="357"/>
    </row>
    <row r="925" spans="4:9" ht="13.2">
      <c r="D925" s="407"/>
      <c r="I925" s="357"/>
    </row>
    <row r="926" spans="4:9" ht="13.2">
      <c r="D926" s="407"/>
      <c r="I926" s="357"/>
    </row>
    <row r="927" spans="4:9" ht="13.2">
      <c r="D927" s="407"/>
      <c r="I927" s="357"/>
    </row>
    <row r="928" spans="4:9" ht="13.2">
      <c r="D928" s="407"/>
      <c r="I928" s="357"/>
    </row>
    <row r="929" spans="4:9" ht="13.2">
      <c r="D929" s="407"/>
      <c r="I929" s="357"/>
    </row>
    <row r="930" spans="4:9" ht="13.2">
      <c r="D930" s="407"/>
      <c r="I930" s="357"/>
    </row>
    <row r="931" spans="4:9" ht="13.2">
      <c r="D931" s="407"/>
      <c r="I931" s="357"/>
    </row>
    <row r="932" spans="4:9" ht="13.2">
      <c r="D932" s="407"/>
      <c r="I932" s="357"/>
    </row>
    <row r="933" spans="4:9" ht="13.2">
      <c r="D933" s="407"/>
      <c r="I933" s="357"/>
    </row>
    <row r="934" spans="4:9" ht="13.2">
      <c r="D934" s="407"/>
      <c r="I934" s="357"/>
    </row>
    <row r="935" spans="4:9" ht="13.2">
      <c r="D935" s="407"/>
      <c r="I935" s="357"/>
    </row>
    <row r="936" spans="4:9" ht="13.2">
      <c r="D936" s="407"/>
      <c r="I936" s="357"/>
    </row>
    <row r="937" spans="4:9" ht="13.2">
      <c r="D937" s="407"/>
      <c r="I937" s="357"/>
    </row>
    <row r="938" spans="4:9" ht="13.2">
      <c r="D938" s="407"/>
      <c r="I938" s="357"/>
    </row>
    <row r="939" spans="4:9" ht="13.2">
      <c r="D939" s="407"/>
      <c r="I939" s="357"/>
    </row>
    <row r="940" spans="4:9" ht="13.2">
      <c r="D940" s="407"/>
      <c r="I940" s="357"/>
    </row>
    <row r="941" spans="4:9" ht="13.2">
      <c r="D941" s="407"/>
      <c r="I941" s="357"/>
    </row>
    <row r="942" spans="4:9" ht="13.2">
      <c r="D942" s="407"/>
      <c r="I942" s="357"/>
    </row>
    <row r="943" spans="4:9" ht="13.2">
      <c r="D943" s="407"/>
      <c r="I943" s="357"/>
    </row>
    <row r="944" spans="4:9" ht="13.2">
      <c r="D944" s="407"/>
      <c r="I944" s="357"/>
    </row>
    <row r="945" spans="4:9" ht="13.2">
      <c r="D945" s="407"/>
      <c r="I945" s="357"/>
    </row>
    <row r="946" spans="4:9" ht="13.2">
      <c r="D946" s="407"/>
      <c r="I946" s="357"/>
    </row>
    <row r="947" spans="4:9" ht="13.2">
      <c r="D947" s="407"/>
      <c r="I947" s="357"/>
    </row>
    <row r="948" spans="4:9" ht="13.2">
      <c r="D948" s="407"/>
      <c r="I948" s="357"/>
    </row>
    <row r="949" spans="4:9" ht="13.2">
      <c r="D949" s="407"/>
      <c r="I949" s="357"/>
    </row>
    <row r="950" spans="4:9" ht="13.2">
      <c r="D950" s="407"/>
      <c r="I950" s="357"/>
    </row>
    <row r="951" spans="4:9" ht="13.2">
      <c r="D951" s="407"/>
      <c r="I951" s="357"/>
    </row>
    <row r="952" spans="4:9" ht="13.2">
      <c r="D952" s="407"/>
      <c r="I952" s="357"/>
    </row>
    <row r="953" spans="4:9" ht="13.2">
      <c r="D953" s="407"/>
      <c r="I953" s="357"/>
    </row>
    <row r="954" spans="4:9" ht="13.2">
      <c r="D954" s="407"/>
      <c r="I954" s="357"/>
    </row>
    <row r="955" spans="4:9" ht="13.2">
      <c r="D955" s="407"/>
      <c r="I955" s="357"/>
    </row>
    <row r="956" spans="4:9" ht="13.2">
      <c r="D956" s="407"/>
      <c r="I956" s="357"/>
    </row>
    <row r="957" spans="4:9" ht="13.2">
      <c r="D957" s="407"/>
      <c r="I957" s="357"/>
    </row>
    <row r="958" spans="4:9" ht="13.2">
      <c r="D958" s="407"/>
      <c r="I958" s="357"/>
    </row>
    <row r="959" spans="4:9" ht="13.2">
      <c r="D959" s="407"/>
      <c r="I959" s="357"/>
    </row>
    <row r="960" spans="4:9" ht="13.2">
      <c r="D960" s="407"/>
      <c r="I960" s="357"/>
    </row>
    <row r="961" spans="4:9" ht="13.2">
      <c r="D961" s="407"/>
      <c r="I961" s="357"/>
    </row>
    <row r="962" spans="4:9" ht="13.2">
      <c r="D962" s="407"/>
      <c r="I962" s="357"/>
    </row>
    <row r="963" spans="4:9" ht="13.2">
      <c r="D963" s="407"/>
      <c r="I963" s="357"/>
    </row>
    <row r="964" spans="4:9" ht="13.2">
      <c r="D964" s="407"/>
      <c r="I964" s="357"/>
    </row>
    <row r="965" spans="4:9" ht="13.2">
      <c r="D965" s="407"/>
      <c r="I965" s="357"/>
    </row>
    <row r="966" spans="4:9" ht="13.2">
      <c r="D966" s="407"/>
      <c r="I966" s="357"/>
    </row>
    <row r="967" spans="4:9" ht="13.2">
      <c r="D967" s="407"/>
      <c r="I967" s="357"/>
    </row>
    <row r="968" spans="4:9" ht="13.2">
      <c r="D968" s="407"/>
      <c r="I968" s="357"/>
    </row>
    <row r="969" spans="4:9" ht="13.2">
      <c r="D969" s="407"/>
      <c r="I969" s="357"/>
    </row>
    <row r="970" spans="4:9" ht="13.2">
      <c r="D970" s="407"/>
      <c r="I970" s="357"/>
    </row>
    <row r="971" spans="4:9" ht="13.2">
      <c r="D971" s="407"/>
      <c r="I971" s="357"/>
    </row>
    <row r="972" spans="4:9" ht="13.2">
      <c r="D972" s="407"/>
      <c r="I972" s="357"/>
    </row>
    <row r="973" spans="4:9" ht="13.2">
      <c r="D973" s="407"/>
      <c r="I973" s="357"/>
    </row>
    <row r="974" spans="4:9" ht="13.2">
      <c r="D974" s="407"/>
      <c r="I974" s="357"/>
    </row>
    <row r="975" spans="4:9" ht="13.2">
      <c r="D975" s="407"/>
      <c r="I975" s="357"/>
    </row>
    <row r="976" spans="4:9" ht="13.2">
      <c r="D976" s="407"/>
      <c r="I976" s="357"/>
    </row>
    <row r="977" spans="4:9" ht="13.2">
      <c r="D977" s="407"/>
      <c r="I977" s="357"/>
    </row>
    <row r="978" spans="4:9" ht="13.2">
      <c r="D978" s="407"/>
      <c r="I978" s="357"/>
    </row>
    <row r="979" spans="4:9" ht="13.2">
      <c r="D979" s="407"/>
      <c r="I979" s="357"/>
    </row>
    <row r="980" spans="4:9" ht="13.2">
      <c r="D980" s="407"/>
      <c r="I980" s="357"/>
    </row>
    <row r="981" spans="4:9" ht="13.2">
      <c r="D981" s="407"/>
      <c r="I981" s="357"/>
    </row>
    <row r="982" spans="4:9" ht="13.2">
      <c r="D982" s="407"/>
      <c r="I982" s="357"/>
    </row>
    <row r="983" spans="4:9" ht="13.2">
      <c r="D983" s="407"/>
      <c r="I983" s="357"/>
    </row>
    <row r="984" spans="4:9" ht="13.2">
      <c r="D984" s="407"/>
      <c r="I984" s="357"/>
    </row>
    <row r="985" spans="4:9" ht="13.2">
      <c r="D985" s="407"/>
      <c r="I985" s="357"/>
    </row>
    <row r="986" spans="4:9" ht="13.2">
      <c r="D986" s="407"/>
      <c r="I986" s="357"/>
    </row>
    <row r="987" spans="4:9" ht="13.2">
      <c r="D987" s="407"/>
      <c r="I987" s="357"/>
    </row>
    <row r="988" spans="4:9" ht="13.2">
      <c r="D988" s="407"/>
      <c r="I988" s="357"/>
    </row>
    <row r="989" spans="4:9" ht="13.2">
      <c r="D989" s="407"/>
      <c r="I989" s="357"/>
    </row>
    <row r="990" spans="4:9" ht="13.2">
      <c r="D990" s="407"/>
      <c r="I990" s="357"/>
    </row>
    <row r="991" spans="4:9" ht="13.2">
      <c r="D991" s="407"/>
      <c r="I991" s="357"/>
    </row>
    <row r="992" spans="4:9" ht="13.2">
      <c r="D992" s="407"/>
      <c r="I992" s="357"/>
    </row>
    <row r="993" spans="4:9" ht="13.2">
      <c r="D993" s="407"/>
      <c r="I993" s="357"/>
    </row>
    <row r="994" spans="4:9" ht="13.2">
      <c r="D994" s="407"/>
      <c r="I994" s="357"/>
    </row>
    <row r="995" spans="4:9" ht="13.2">
      <c r="D995" s="407"/>
      <c r="I995" s="357"/>
    </row>
    <row r="996" spans="4:9" ht="13.2">
      <c r="D996" s="407"/>
      <c r="I996" s="357"/>
    </row>
    <row r="997" spans="4:9" ht="13.2">
      <c r="D997" s="407"/>
      <c r="I997" s="357"/>
    </row>
    <row r="998" spans="4:9" ht="13.2">
      <c r="D998" s="407"/>
      <c r="I998" s="357"/>
    </row>
    <row r="999" spans="4:9" ht="13.2">
      <c r="D999" s="407"/>
      <c r="I999" s="357"/>
    </row>
    <row r="1000" spans="4:9" ht="13.2">
      <c r="D1000" s="407"/>
      <c r="I1000" s="357"/>
    </row>
    <row r="1001" spans="4:9" ht="13.2">
      <c r="D1001" s="407"/>
      <c r="I1001" s="357"/>
    </row>
    <row r="1002" spans="4:9" ht="13.2">
      <c r="D1002" s="407"/>
      <c r="I1002" s="357"/>
    </row>
    <row r="1003" spans="4:9" ht="13.2">
      <c r="D1003" s="407"/>
      <c r="I1003" s="357"/>
    </row>
    <row r="1004" spans="4:9" ht="13.2">
      <c r="D1004" s="407"/>
      <c r="I1004" s="357"/>
    </row>
    <row r="1005" spans="4:9" ht="13.2">
      <c r="D1005" s="407"/>
      <c r="I1005" s="357"/>
    </row>
  </sheetData>
  <sortState xmlns:xlrd2="http://schemas.microsoft.com/office/spreadsheetml/2017/richdata2" ref="N174:O177">
    <sortCondition ref="O174:O177"/>
    <sortCondition ref="N174:N177"/>
  </sortState>
  <phoneticPr fontId="45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outlinePr summaryBelow="0" summaryRight="0"/>
  </sheetPr>
  <dimension ref="A1:H88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2.6640625" defaultRowHeight="15" customHeight="1"/>
  <cols>
    <col min="1" max="1" width="18.44140625" customWidth="1"/>
    <col min="2" max="2" width="15.88671875" customWidth="1"/>
    <col min="3" max="3" width="33.88671875" customWidth="1"/>
    <col min="4" max="4" width="11.109375" customWidth="1"/>
    <col min="5" max="5" width="11.77734375" customWidth="1"/>
    <col min="6" max="6" width="14.21875" customWidth="1"/>
    <col min="7" max="7" width="24.88671875" customWidth="1"/>
    <col min="8" max="17" width="11.109375" customWidth="1"/>
  </cols>
  <sheetData>
    <row r="1" spans="1:8" ht="45" customHeight="1">
      <c r="A1" s="27" t="s">
        <v>1</v>
      </c>
      <c r="B1" s="27" t="s">
        <v>2139</v>
      </c>
      <c r="C1" s="27" t="s">
        <v>2140</v>
      </c>
      <c r="D1" s="26" t="s">
        <v>2141</v>
      </c>
      <c r="E1" s="26" t="s">
        <v>2142</v>
      </c>
      <c r="F1" s="27" t="s">
        <v>2143</v>
      </c>
      <c r="G1" s="421">
        <v>1.18</v>
      </c>
    </row>
    <row r="2" spans="1:8" ht="17.25" customHeight="1">
      <c r="A2" s="422" t="s">
        <v>514</v>
      </c>
      <c r="B2" s="422" t="s">
        <v>1951</v>
      </c>
      <c r="C2" s="423" t="s">
        <v>1991</v>
      </c>
      <c r="D2" s="424">
        <v>1600</v>
      </c>
      <c r="E2" s="425"/>
      <c r="F2" s="426">
        <v>45313</v>
      </c>
      <c r="G2" s="427"/>
      <c r="H2" s="428" t="s">
        <v>535</v>
      </c>
    </row>
    <row r="3" spans="1:8" ht="1.5" customHeight="1">
      <c r="A3" s="422" t="s">
        <v>516</v>
      </c>
      <c r="B3" s="422" t="s">
        <v>1884</v>
      </c>
      <c r="C3" s="423" t="s">
        <v>1992</v>
      </c>
      <c r="D3" s="424"/>
      <c r="E3" s="425">
        <v>1260</v>
      </c>
      <c r="F3" s="426">
        <v>45321</v>
      </c>
      <c r="G3" s="427"/>
    </row>
    <row r="4" spans="1:8" ht="17.25" customHeight="1">
      <c r="A4" s="429" t="s">
        <v>1995</v>
      </c>
      <c r="B4" s="429" t="s">
        <v>1951</v>
      </c>
      <c r="C4" s="423" t="s">
        <v>1996</v>
      </c>
      <c r="D4" s="430">
        <v>3100</v>
      </c>
      <c r="E4" s="425"/>
      <c r="F4" s="426">
        <v>45364</v>
      </c>
      <c r="G4" s="427"/>
    </row>
    <row r="5" spans="1:8" ht="17.25" customHeight="1">
      <c r="A5" s="431" t="s">
        <v>1997</v>
      </c>
      <c r="B5" s="429" t="s">
        <v>1953</v>
      </c>
      <c r="C5" s="432" t="s">
        <v>2144</v>
      </c>
      <c r="D5" s="430"/>
      <c r="E5" s="425">
        <v>2410</v>
      </c>
      <c r="F5" s="426">
        <v>45365</v>
      </c>
      <c r="G5" s="427"/>
      <c r="H5" s="428" t="s">
        <v>534</v>
      </c>
    </row>
    <row r="6" spans="1:8" ht="17.25" customHeight="1">
      <c r="A6" s="431" t="s">
        <v>2000</v>
      </c>
      <c r="B6" s="429" t="s">
        <v>1953</v>
      </c>
      <c r="C6" s="433" t="s">
        <v>2001</v>
      </c>
      <c r="D6" s="430"/>
      <c r="E6" s="425">
        <v>2410</v>
      </c>
      <c r="F6" s="426">
        <v>45365</v>
      </c>
      <c r="G6" s="427"/>
    </row>
    <row r="7" spans="1:8" ht="17.25" customHeight="1">
      <c r="A7" s="431" t="s">
        <v>2002</v>
      </c>
      <c r="B7" s="429" t="s">
        <v>1951</v>
      </c>
      <c r="C7" s="434" t="s">
        <v>2003</v>
      </c>
      <c r="D7" s="430">
        <v>3100</v>
      </c>
      <c r="E7" s="425"/>
      <c r="F7" s="426">
        <v>45364</v>
      </c>
      <c r="G7" s="427"/>
    </row>
    <row r="8" spans="1:8" ht="17.25" customHeight="1">
      <c r="A8" s="422" t="s">
        <v>540</v>
      </c>
      <c r="B8" s="422" t="s">
        <v>1951</v>
      </c>
      <c r="C8" s="433" t="s">
        <v>2004</v>
      </c>
      <c r="D8" s="430">
        <v>3100</v>
      </c>
      <c r="E8" s="425"/>
      <c r="F8" s="426">
        <v>45391</v>
      </c>
      <c r="G8" s="427"/>
    </row>
    <row r="9" spans="1:8" ht="17.25" customHeight="1">
      <c r="A9" s="422" t="s">
        <v>541</v>
      </c>
      <c r="B9" s="422" t="s">
        <v>1953</v>
      </c>
      <c r="C9" s="434" t="s">
        <v>2145</v>
      </c>
      <c r="D9" s="430"/>
      <c r="E9" s="425">
        <v>2410</v>
      </c>
      <c r="F9" s="426">
        <v>45392</v>
      </c>
      <c r="G9" s="427"/>
    </row>
    <row r="10" spans="1:8" ht="17.25" customHeight="1">
      <c r="A10" s="422" t="s">
        <v>554</v>
      </c>
      <c r="B10" s="422" t="s">
        <v>1951</v>
      </c>
      <c r="C10" s="432" t="s">
        <v>2146</v>
      </c>
      <c r="D10" s="430">
        <v>3100</v>
      </c>
      <c r="E10" s="425"/>
      <c r="F10" s="426">
        <v>45433</v>
      </c>
      <c r="G10" s="427"/>
    </row>
    <row r="11" spans="1:8" ht="17.25" customHeight="1">
      <c r="A11" s="422" t="s">
        <v>556</v>
      </c>
      <c r="B11" s="422" t="s">
        <v>1953</v>
      </c>
      <c r="C11" s="432" t="s">
        <v>2147</v>
      </c>
      <c r="D11" s="430"/>
      <c r="E11" s="425">
        <v>2410</v>
      </c>
      <c r="F11" s="426">
        <v>45435</v>
      </c>
      <c r="G11" s="427"/>
    </row>
    <row r="12" spans="1:8" ht="17.25" customHeight="1">
      <c r="A12" s="422" t="s">
        <v>2013</v>
      </c>
      <c r="B12" s="422" t="s">
        <v>1951</v>
      </c>
      <c r="C12" s="433" t="s">
        <v>2148</v>
      </c>
      <c r="D12" s="430">
        <v>3100</v>
      </c>
      <c r="E12" s="425"/>
      <c r="F12" s="435">
        <v>45467</v>
      </c>
      <c r="G12" s="427"/>
    </row>
    <row r="13" spans="1:8" ht="17.25" customHeight="1">
      <c r="A13" s="422" t="s">
        <v>2015</v>
      </c>
      <c r="B13" s="422" t="s">
        <v>1953</v>
      </c>
      <c r="C13" s="434" t="s">
        <v>2149</v>
      </c>
      <c r="D13" s="430"/>
      <c r="E13" s="425">
        <v>2410</v>
      </c>
      <c r="F13" s="435">
        <v>45496</v>
      </c>
      <c r="G13" s="427"/>
    </row>
    <row r="14" spans="1:8" ht="17.25" customHeight="1">
      <c r="A14" s="422" t="s">
        <v>2029</v>
      </c>
      <c r="B14" s="422" t="s">
        <v>1951</v>
      </c>
      <c r="C14" s="434" t="s">
        <v>2030</v>
      </c>
      <c r="D14" s="430">
        <v>3100</v>
      </c>
      <c r="E14" s="425"/>
      <c r="F14" s="435">
        <v>45504</v>
      </c>
      <c r="G14" s="436"/>
    </row>
    <row r="15" spans="1:8" ht="17.25" customHeight="1">
      <c r="A15" s="422" t="s">
        <v>2031</v>
      </c>
      <c r="B15" s="422" t="s">
        <v>1953</v>
      </c>
      <c r="C15" s="434" t="s">
        <v>2032</v>
      </c>
      <c r="D15" s="430"/>
      <c r="E15" s="425">
        <v>2410</v>
      </c>
      <c r="F15" s="435">
        <v>45505</v>
      </c>
      <c r="G15" s="436"/>
    </row>
    <row r="16" spans="1:8" ht="17.25" customHeight="1">
      <c r="A16" s="422" t="s">
        <v>592</v>
      </c>
      <c r="B16" s="422" t="s">
        <v>1951</v>
      </c>
      <c r="C16" s="434" t="s">
        <v>2036</v>
      </c>
      <c r="D16" s="430">
        <v>3100</v>
      </c>
      <c r="E16" s="425"/>
      <c r="F16" s="426">
        <v>45539</v>
      </c>
      <c r="G16" s="436"/>
    </row>
    <row r="17" spans="1:7" ht="17.25" customHeight="1">
      <c r="A17" s="422" t="s">
        <v>590</v>
      </c>
      <c r="B17" s="422" t="s">
        <v>1953</v>
      </c>
      <c r="C17" s="434" t="s">
        <v>2037</v>
      </c>
      <c r="D17" s="430"/>
      <c r="E17" s="425">
        <v>2410</v>
      </c>
      <c r="F17" s="426">
        <v>45539</v>
      </c>
      <c r="G17" s="436"/>
    </row>
    <row r="18" spans="1:7" ht="17.25" customHeight="1">
      <c r="A18" s="422" t="s">
        <v>2040</v>
      </c>
      <c r="B18" s="422" t="s">
        <v>1951</v>
      </c>
      <c r="C18" s="434" t="s">
        <v>2041</v>
      </c>
      <c r="D18" s="430">
        <v>3100</v>
      </c>
      <c r="E18" s="425"/>
      <c r="F18" s="426"/>
      <c r="G18" s="436"/>
    </row>
    <row r="19" spans="1:7" ht="15.75" customHeight="1">
      <c r="A19" s="422" t="s">
        <v>607</v>
      </c>
      <c r="B19" s="422" t="s">
        <v>1953</v>
      </c>
      <c r="C19" s="434" t="s">
        <v>2042</v>
      </c>
      <c r="D19" s="430"/>
      <c r="E19" s="425">
        <v>2410</v>
      </c>
      <c r="F19" s="426">
        <v>45569</v>
      </c>
      <c r="G19" s="436"/>
    </row>
    <row r="20" spans="1:7" ht="15.75" customHeight="1">
      <c r="A20" s="422" t="s">
        <v>613</v>
      </c>
      <c r="B20" s="422" t="s">
        <v>1951</v>
      </c>
      <c r="C20" s="434" t="s">
        <v>2044</v>
      </c>
      <c r="D20" s="430">
        <v>1600</v>
      </c>
      <c r="E20" s="425"/>
      <c r="F20" s="426"/>
      <c r="G20" s="436"/>
    </row>
    <row r="21" spans="1:7" ht="15.75" customHeight="1">
      <c r="A21" s="422" t="s">
        <v>2045</v>
      </c>
      <c r="B21" s="422" t="s">
        <v>1953</v>
      </c>
      <c r="C21" s="434" t="s">
        <v>2046</v>
      </c>
      <c r="D21" s="430"/>
      <c r="E21" s="425">
        <v>2410</v>
      </c>
      <c r="F21" s="426"/>
      <c r="G21" s="436"/>
    </row>
    <row r="22" spans="1:7" ht="15.75" customHeight="1">
      <c r="A22" s="436"/>
      <c r="B22" s="436"/>
      <c r="C22" s="436"/>
      <c r="D22" s="436"/>
      <c r="E22" s="436"/>
      <c r="F22" s="436"/>
      <c r="G22" s="436"/>
    </row>
    <row r="23" spans="1:7" ht="15.75" customHeight="1">
      <c r="A23" s="436"/>
      <c r="B23" s="436"/>
      <c r="C23" s="436"/>
      <c r="D23" s="436"/>
      <c r="E23" s="436"/>
      <c r="F23" s="436"/>
      <c r="G23" s="436"/>
    </row>
    <row r="24" spans="1:7" ht="15.75" customHeight="1">
      <c r="A24" s="436"/>
      <c r="B24" s="436"/>
      <c r="C24" s="436"/>
      <c r="D24" s="436"/>
      <c r="E24" s="436"/>
      <c r="F24" s="436"/>
      <c r="G24" s="436"/>
    </row>
    <row r="25" spans="1:7" ht="15.75" customHeight="1">
      <c r="A25" s="436"/>
      <c r="B25" s="436"/>
      <c r="C25" s="436"/>
      <c r="D25" s="436"/>
      <c r="E25" s="436"/>
      <c r="F25" s="436"/>
      <c r="G25" s="436"/>
    </row>
    <row r="26" spans="1:7" ht="15.75" customHeight="1">
      <c r="A26" s="436"/>
      <c r="B26" s="436"/>
      <c r="C26" s="436"/>
      <c r="D26" s="436"/>
      <c r="E26" s="436"/>
      <c r="F26" s="436"/>
      <c r="G26" s="436"/>
    </row>
    <row r="27" spans="1:7" ht="15.75" customHeight="1">
      <c r="A27" s="436"/>
      <c r="B27" s="436"/>
      <c r="C27" s="436"/>
      <c r="D27" s="436"/>
      <c r="E27" s="436"/>
      <c r="F27" s="436"/>
      <c r="G27" s="436"/>
    </row>
    <row r="28" spans="1:7" ht="15.75" customHeight="1">
      <c r="A28" s="436"/>
      <c r="B28" s="436"/>
      <c r="C28" s="436"/>
      <c r="D28" s="436"/>
      <c r="E28" s="436"/>
      <c r="F28" s="436"/>
      <c r="G28" s="436"/>
    </row>
    <row r="29" spans="1:7" ht="15.75" customHeight="1">
      <c r="A29" s="436"/>
      <c r="B29" s="436"/>
      <c r="C29" s="436"/>
      <c r="D29" s="436"/>
      <c r="E29" s="436"/>
      <c r="F29" s="436"/>
      <c r="G29" s="436"/>
    </row>
    <row r="30" spans="1:7" ht="15.75" customHeight="1">
      <c r="A30" s="436"/>
      <c r="B30" s="436"/>
      <c r="C30" s="436"/>
      <c r="D30" s="436"/>
      <c r="E30" s="436"/>
      <c r="F30" s="436"/>
      <c r="G30" s="436"/>
    </row>
    <row r="31" spans="1:7" ht="15.75" customHeight="1">
      <c r="A31" s="436"/>
      <c r="B31" s="436"/>
      <c r="C31" s="436"/>
      <c r="D31" s="436"/>
      <c r="E31" s="436"/>
      <c r="F31" s="436"/>
      <c r="G31" s="436"/>
    </row>
    <row r="32" spans="1:7" ht="15.75" customHeight="1">
      <c r="A32" s="436"/>
      <c r="B32" s="436"/>
      <c r="C32" s="436"/>
      <c r="D32" s="436"/>
      <c r="E32" s="436"/>
      <c r="F32" s="436"/>
      <c r="G32" s="436"/>
    </row>
    <row r="33" spans="1:7" ht="15.75" customHeight="1">
      <c r="A33" s="436"/>
      <c r="B33" s="436"/>
      <c r="C33" s="436"/>
      <c r="D33" s="436"/>
      <c r="E33" s="436"/>
      <c r="F33" s="436"/>
      <c r="G33" s="436"/>
    </row>
    <row r="34" spans="1:7" ht="15.75" customHeight="1">
      <c r="A34" s="436"/>
      <c r="B34" s="436"/>
      <c r="C34" s="436"/>
      <c r="D34" s="436"/>
      <c r="E34" s="436"/>
      <c r="F34" s="436"/>
      <c r="G34" s="436"/>
    </row>
    <row r="35" spans="1:7" ht="15.75" customHeight="1">
      <c r="A35" s="436"/>
      <c r="B35" s="436"/>
      <c r="C35" s="436"/>
      <c r="D35" s="436"/>
      <c r="E35" s="436"/>
      <c r="F35" s="436"/>
      <c r="G35" s="436"/>
    </row>
    <row r="36" spans="1:7" ht="15.75" customHeight="1">
      <c r="A36" s="436"/>
      <c r="B36" s="436"/>
      <c r="C36" s="436"/>
      <c r="D36" s="436"/>
      <c r="E36" s="436"/>
      <c r="F36" s="436"/>
      <c r="G36" s="436"/>
    </row>
    <row r="37" spans="1:7" ht="15.75" customHeight="1">
      <c r="A37" s="436"/>
      <c r="B37" s="436"/>
      <c r="C37" s="436"/>
      <c r="D37" s="436"/>
      <c r="E37" s="436"/>
      <c r="F37" s="436"/>
      <c r="G37" s="436"/>
    </row>
    <row r="38" spans="1:7" ht="15.75" customHeight="1">
      <c r="A38" s="436"/>
      <c r="B38" s="436"/>
      <c r="C38" s="436"/>
      <c r="D38" s="436"/>
      <c r="E38" s="436"/>
      <c r="F38" s="436"/>
      <c r="G38" s="436"/>
    </row>
    <row r="39" spans="1:7" ht="15.75" customHeight="1">
      <c r="A39" s="436"/>
      <c r="B39" s="436"/>
      <c r="C39" s="436"/>
      <c r="D39" s="436"/>
      <c r="E39" s="436"/>
      <c r="F39" s="436"/>
      <c r="G39" s="436"/>
    </row>
    <row r="40" spans="1:7" ht="15.75" customHeight="1">
      <c r="A40" s="436"/>
      <c r="B40" s="436"/>
      <c r="C40" s="436"/>
      <c r="D40" s="436"/>
      <c r="E40" s="436"/>
      <c r="F40" s="436"/>
      <c r="G40" s="436"/>
    </row>
    <row r="41" spans="1:7" ht="15.75" customHeight="1">
      <c r="A41" s="436"/>
      <c r="B41" s="436"/>
      <c r="C41" s="436"/>
      <c r="D41" s="436"/>
      <c r="E41" s="436"/>
      <c r="F41" s="436"/>
      <c r="G41" s="436"/>
    </row>
    <row r="42" spans="1:7" ht="15.75" customHeight="1">
      <c r="A42" s="436"/>
      <c r="B42" s="436"/>
      <c r="C42" s="436"/>
      <c r="D42" s="436"/>
      <c r="E42" s="436"/>
      <c r="F42" s="436"/>
      <c r="G42" s="436"/>
    </row>
    <row r="43" spans="1:7" ht="15.75" customHeight="1">
      <c r="A43" s="436"/>
      <c r="B43" s="436"/>
      <c r="C43" s="436"/>
      <c r="D43" s="436"/>
      <c r="E43" s="436"/>
      <c r="F43" s="436"/>
      <c r="G43" s="436"/>
    </row>
    <row r="44" spans="1:7" ht="15.75" customHeight="1">
      <c r="A44" s="436"/>
      <c r="B44" s="436"/>
      <c r="C44" s="436"/>
      <c r="D44" s="436"/>
      <c r="E44" s="436"/>
      <c r="F44" s="436"/>
      <c r="G44" s="436"/>
    </row>
    <row r="45" spans="1:7" ht="15.75" customHeight="1">
      <c r="A45" s="436"/>
      <c r="B45" s="436"/>
      <c r="C45" s="436"/>
      <c r="D45" s="436"/>
      <c r="E45" s="436"/>
      <c r="F45" s="436"/>
      <c r="G45" s="436"/>
    </row>
    <row r="46" spans="1:7" ht="15.75" customHeight="1">
      <c r="F46" s="437"/>
    </row>
    <row r="47" spans="1:7" ht="15.75" customHeight="1">
      <c r="F47" s="437"/>
    </row>
    <row r="48" spans="1:7" ht="15.75" customHeight="1">
      <c r="F48" s="437"/>
    </row>
    <row r="49" spans="6:6" ht="15.75" customHeight="1">
      <c r="F49" s="437"/>
    </row>
    <row r="50" spans="6:6" ht="15.75" customHeight="1">
      <c r="F50" s="437"/>
    </row>
    <row r="51" spans="6:6" ht="15.75" customHeight="1">
      <c r="F51" s="437"/>
    </row>
    <row r="52" spans="6:6" ht="15.75" customHeight="1">
      <c r="F52" s="437"/>
    </row>
    <row r="53" spans="6:6" ht="15.75" customHeight="1">
      <c r="F53" s="437"/>
    </row>
    <row r="54" spans="6:6" ht="15.75" customHeight="1">
      <c r="F54" s="437"/>
    </row>
    <row r="55" spans="6:6" ht="15.75" customHeight="1">
      <c r="F55" s="437"/>
    </row>
    <row r="56" spans="6:6" ht="15.75" customHeight="1">
      <c r="F56" s="437"/>
    </row>
    <row r="57" spans="6:6" ht="15.75" customHeight="1">
      <c r="F57" s="437"/>
    </row>
    <row r="58" spans="6:6" ht="15.75" customHeight="1">
      <c r="F58" s="437"/>
    </row>
    <row r="59" spans="6:6" ht="15.75" customHeight="1">
      <c r="F59" s="437"/>
    </row>
    <row r="60" spans="6:6" ht="15.75" customHeight="1">
      <c r="F60" s="437"/>
    </row>
    <row r="61" spans="6:6" ht="15.75" customHeight="1">
      <c r="F61" s="437"/>
    </row>
    <row r="62" spans="6:6" ht="15.75" customHeight="1">
      <c r="F62" s="437"/>
    </row>
    <row r="63" spans="6:6" ht="15.75" customHeight="1">
      <c r="F63" s="437"/>
    </row>
    <row r="64" spans="6:6" ht="15.75" customHeight="1">
      <c r="F64" s="437"/>
    </row>
    <row r="65" spans="6:6" ht="15.75" customHeight="1">
      <c r="F65" s="437"/>
    </row>
    <row r="66" spans="6:6" ht="15.75" customHeight="1">
      <c r="F66" s="437"/>
    </row>
    <row r="67" spans="6:6" ht="15.75" customHeight="1">
      <c r="F67" s="437"/>
    </row>
    <row r="68" spans="6:6" ht="15.75" customHeight="1">
      <c r="F68" s="437"/>
    </row>
    <row r="69" spans="6:6" ht="15.75" customHeight="1">
      <c r="F69" s="437"/>
    </row>
    <row r="70" spans="6:6" ht="15.75" customHeight="1">
      <c r="F70" s="437"/>
    </row>
    <row r="71" spans="6:6" ht="15.75" customHeight="1">
      <c r="F71" s="437"/>
    </row>
    <row r="72" spans="6:6" ht="15.75" customHeight="1">
      <c r="F72" s="437"/>
    </row>
    <row r="73" spans="6:6" ht="15.75" customHeight="1">
      <c r="F73" s="437"/>
    </row>
    <row r="74" spans="6:6" ht="15.75" customHeight="1">
      <c r="F74" s="437"/>
    </row>
    <row r="75" spans="6:6" ht="15.75" customHeight="1">
      <c r="F75" s="437"/>
    </row>
    <row r="76" spans="6:6" ht="15.75" customHeight="1">
      <c r="F76" s="437"/>
    </row>
    <row r="77" spans="6:6" ht="15.75" customHeight="1">
      <c r="F77" s="437"/>
    </row>
    <row r="78" spans="6:6" ht="15.75" customHeight="1">
      <c r="F78" s="437"/>
    </row>
    <row r="79" spans="6:6" ht="15.75" customHeight="1">
      <c r="F79" s="437"/>
    </row>
    <row r="80" spans="6:6" ht="15.75" customHeight="1">
      <c r="F80" s="437"/>
    </row>
    <row r="81" spans="6:6" ht="15.75" customHeight="1">
      <c r="F81" s="437"/>
    </row>
    <row r="82" spans="6:6" ht="15.75" customHeight="1">
      <c r="F82" s="437"/>
    </row>
    <row r="83" spans="6:6" ht="15.75" customHeight="1">
      <c r="F83" s="437"/>
    </row>
    <row r="84" spans="6:6" ht="15.75" customHeight="1">
      <c r="F84" s="437"/>
    </row>
    <row r="85" spans="6:6" ht="15.75" customHeight="1">
      <c r="F85" s="437"/>
    </row>
    <row r="86" spans="6:6" ht="15.75" customHeight="1">
      <c r="F86" s="437"/>
    </row>
    <row r="87" spans="6:6" ht="15.75" customHeight="1">
      <c r="F87" s="437"/>
    </row>
    <row r="88" spans="6:6" ht="15.75" customHeight="1">
      <c r="F88" s="437"/>
    </row>
    <row r="89" spans="6:6" ht="15.75" customHeight="1">
      <c r="F89" s="437"/>
    </row>
    <row r="90" spans="6:6" ht="15.75" customHeight="1">
      <c r="F90" s="437"/>
    </row>
    <row r="91" spans="6:6" ht="15.75" customHeight="1">
      <c r="F91" s="437"/>
    </row>
    <row r="92" spans="6:6" ht="15.75" customHeight="1">
      <c r="F92" s="437"/>
    </row>
    <row r="93" spans="6:6" ht="15.75" customHeight="1">
      <c r="F93" s="437"/>
    </row>
    <row r="94" spans="6:6" ht="15.75" customHeight="1">
      <c r="F94" s="437"/>
    </row>
    <row r="95" spans="6:6" ht="15.75" customHeight="1">
      <c r="F95" s="437"/>
    </row>
    <row r="96" spans="6:6" ht="15.75" customHeight="1">
      <c r="F96" s="437"/>
    </row>
    <row r="97" spans="6:6" ht="15.75" customHeight="1">
      <c r="F97" s="437"/>
    </row>
    <row r="98" spans="6:6" ht="15.75" customHeight="1">
      <c r="F98" s="437"/>
    </row>
    <row r="99" spans="6:6" ht="15.75" customHeight="1">
      <c r="F99" s="437"/>
    </row>
    <row r="100" spans="6:6" ht="15.75" customHeight="1">
      <c r="F100" s="437"/>
    </row>
    <row r="101" spans="6:6" ht="15.75" customHeight="1">
      <c r="F101" s="437"/>
    </row>
    <row r="102" spans="6:6" ht="15.75" customHeight="1">
      <c r="F102" s="437"/>
    </row>
    <row r="103" spans="6:6" ht="15.75" customHeight="1">
      <c r="F103" s="437"/>
    </row>
    <row r="104" spans="6:6" ht="15.75" customHeight="1">
      <c r="F104" s="437"/>
    </row>
    <row r="105" spans="6:6" ht="15.75" customHeight="1">
      <c r="F105" s="437"/>
    </row>
    <row r="106" spans="6:6" ht="15.75" customHeight="1">
      <c r="F106" s="437"/>
    </row>
    <row r="107" spans="6:6" ht="15.75" customHeight="1">
      <c r="F107" s="437"/>
    </row>
    <row r="108" spans="6:6" ht="15.75" customHeight="1">
      <c r="F108" s="437"/>
    </row>
    <row r="109" spans="6:6" ht="15.75" customHeight="1">
      <c r="F109" s="437"/>
    </row>
    <row r="110" spans="6:6" ht="15.75" customHeight="1">
      <c r="F110" s="437"/>
    </row>
    <row r="111" spans="6:6" ht="15.75" customHeight="1">
      <c r="F111" s="437"/>
    </row>
    <row r="112" spans="6:6" ht="15.75" customHeight="1">
      <c r="F112" s="437"/>
    </row>
    <row r="113" spans="6:6" ht="15.75" customHeight="1">
      <c r="F113" s="437"/>
    </row>
    <row r="114" spans="6:6" ht="15.75" customHeight="1">
      <c r="F114" s="437"/>
    </row>
    <row r="115" spans="6:6" ht="15.75" customHeight="1">
      <c r="F115" s="437"/>
    </row>
    <row r="116" spans="6:6" ht="15.75" customHeight="1">
      <c r="F116" s="437"/>
    </row>
    <row r="117" spans="6:6" ht="15.75" customHeight="1">
      <c r="F117" s="437"/>
    </row>
    <row r="118" spans="6:6" ht="15.75" customHeight="1">
      <c r="F118" s="437"/>
    </row>
    <row r="119" spans="6:6" ht="15.75" customHeight="1">
      <c r="F119" s="437"/>
    </row>
    <row r="120" spans="6:6" ht="15.75" customHeight="1">
      <c r="F120" s="437"/>
    </row>
    <row r="121" spans="6:6" ht="15.75" customHeight="1">
      <c r="F121" s="437"/>
    </row>
    <row r="122" spans="6:6" ht="15.75" customHeight="1">
      <c r="F122" s="437"/>
    </row>
    <row r="123" spans="6:6" ht="15.75" customHeight="1">
      <c r="F123" s="437"/>
    </row>
    <row r="124" spans="6:6" ht="15.75" customHeight="1">
      <c r="F124" s="437"/>
    </row>
    <row r="125" spans="6:6" ht="15.75" customHeight="1">
      <c r="F125" s="437"/>
    </row>
    <row r="126" spans="6:6" ht="15.75" customHeight="1">
      <c r="F126" s="437"/>
    </row>
    <row r="127" spans="6:6" ht="15.75" customHeight="1">
      <c r="F127" s="437"/>
    </row>
    <row r="128" spans="6:6" ht="15.75" customHeight="1">
      <c r="F128" s="437"/>
    </row>
    <row r="129" spans="6:6" ht="15.75" customHeight="1">
      <c r="F129" s="437"/>
    </row>
    <row r="130" spans="6:6" ht="15.75" customHeight="1">
      <c r="F130" s="437"/>
    </row>
    <row r="131" spans="6:6" ht="15.75" customHeight="1">
      <c r="F131" s="437"/>
    </row>
    <row r="132" spans="6:6" ht="15.75" customHeight="1">
      <c r="F132" s="437"/>
    </row>
    <row r="133" spans="6:6" ht="15.75" customHeight="1">
      <c r="F133" s="437"/>
    </row>
    <row r="134" spans="6:6" ht="15.75" customHeight="1">
      <c r="F134" s="437"/>
    </row>
    <row r="135" spans="6:6" ht="15.75" customHeight="1">
      <c r="F135" s="437"/>
    </row>
    <row r="136" spans="6:6" ht="15.75" customHeight="1">
      <c r="F136" s="437"/>
    </row>
    <row r="137" spans="6:6" ht="15.75" customHeight="1">
      <c r="F137" s="437"/>
    </row>
    <row r="138" spans="6:6" ht="15.75" customHeight="1">
      <c r="F138" s="437"/>
    </row>
    <row r="139" spans="6:6" ht="15.75" customHeight="1">
      <c r="F139" s="437"/>
    </row>
    <row r="140" spans="6:6" ht="15.75" customHeight="1">
      <c r="F140" s="437"/>
    </row>
    <row r="141" spans="6:6" ht="15.75" customHeight="1">
      <c r="F141" s="437"/>
    </row>
    <row r="142" spans="6:6" ht="15.75" customHeight="1">
      <c r="F142" s="437"/>
    </row>
    <row r="143" spans="6:6" ht="15.75" customHeight="1">
      <c r="F143" s="437"/>
    </row>
    <row r="144" spans="6:6" ht="15.75" customHeight="1">
      <c r="F144" s="437"/>
    </row>
    <row r="145" spans="6:6" ht="15.75" customHeight="1">
      <c r="F145" s="437"/>
    </row>
    <row r="146" spans="6:6" ht="15.75" customHeight="1">
      <c r="F146" s="437"/>
    </row>
    <row r="147" spans="6:6" ht="15.75" customHeight="1">
      <c r="F147" s="437"/>
    </row>
    <row r="148" spans="6:6" ht="15.75" customHeight="1">
      <c r="F148" s="437"/>
    </row>
    <row r="149" spans="6:6" ht="15.75" customHeight="1">
      <c r="F149" s="437"/>
    </row>
    <row r="150" spans="6:6" ht="15.75" customHeight="1">
      <c r="F150" s="437"/>
    </row>
    <row r="151" spans="6:6" ht="15.75" customHeight="1">
      <c r="F151" s="437"/>
    </row>
    <row r="152" spans="6:6" ht="15.75" customHeight="1">
      <c r="F152" s="437"/>
    </row>
    <row r="153" spans="6:6" ht="15.75" customHeight="1">
      <c r="F153" s="437"/>
    </row>
    <row r="154" spans="6:6" ht="15.75" customHeight="1">
      <c r="F154" s="437"/>
    </row>
    <row r="155" spans="6:6" ht="15.75" customHeight="1">
      <c r="F155" s="437"/>
    </row>
    <row r="156" spans="6:6" ht="15.75" customHeight="1">
      <c r="F156" s="437"/>
    </row>
    <row r="157" spans="6:6" ht="15.75" customHeight="1">
      <c r="F157" s="437"/>
    </row>
    <row r="158" spans="6:6" ht="15.75" customHeight="1">
      <c r="F158" s="437"/>
    </row>
    <row r="159" spans="6:6" ht="15.75" customHeight="1">
      <c r="F159" s="437"/>
    </row>
    <row r="160" spans="6:6" ht="15.75" customHeight="1">
      <c r="F160" s="437"/>
    </row>
    <row r="161" spans="6:6" ht="15.75" customHeight="1">
      <c r="F161" s="437"/>
    </row>
    <row r="162" spans="6:6" ht="15.75" customHeight="1">
      <c r="F162" s="437"/>
    </row>
    <row r="163" spans="6:6" ht="15.75" customHeight="1">
      <c r="F163" s="437"/>
    </row>
    <row r="164" spans="6:6" ht="15.75" customHeight="1">
      <c r="F164" s="437"/>
    </row>
    <row r="165" spans="6:6" ht="15.75" customHeight="1">
      <c r="F165" s="437"/>
    </row>
    <row r="166" spans="6:6" ht="15.75" customHeight="1">
      <c r="F166" s="437"/>
    </row>
    <row r="167" spans="6:6" ht="15.75" customHeight="1">
      <c r="F167" s="437"/>
    </row>
    <row r="168" spans="6:6" ht="15.75" customHeight="1">
      <c r="F168" s="437"/>
    </row>
    <row r="169" spans="6:6" ht="15.75" customHeight="1">
      <c r="F169" s="437"/>
    </row>
    <row r="170" spans="6:6" ht="15.75" customHeight="1">
      <c r="F170" s="437"/>
    </row>
    <row r="171" spans="6:6" ht="15.75" customHeight="1">
      <c r="F171" s="437"/>
    </row>
    <row r="172" spans="6:6" ht="15.75" customHeight="1">
      <c r="F172" s="437"/>
    </row>
    <row r="173" spans="6:6" ht="15.75" customHeight="1">
      <c r="F173" s="437"/>
    </row>
    <row r="174" spans="6:6" ht="15.75" customHeight="1">
      <c r="F174" s="437"/>
    </row>
    <row r="175" spans="6:6" ht="15.75" customHeight="1">
      <c r="F175" s="437"/>
    </row>
    <row r="176" spans="6:6" ht="15.75" customHeight="1">
      <c r="F176" s="437"/>
    </row>
    <row r="177" spans="6:6" ht="15.75" customHeight="1">
      <c r="F177" s="437"/>
    </row>
    <row r="178" spans="6:6" ht="15.75" customHeight="1">
      <c r="F178" s="437"/>
    </row>
    <row r="179" spans="6:6" ht="15.75" customHeight="1">
      <c r="F179" s="437"/>
    </row>
    <row r="180" spans="6:6" ht="15.75" customHeight="1">
      <c r="F180" s="437"/>
    </row>
    <row r="181" spans="6:6" ht="15.75" customHeight="1">
      <c r="F181" s="437"/>
    </row>
    <row r="182" spans="6:6" ht="15.75" customHeight="1">
      <c r="F182" s="437"/>
    </row>
    <row r="183" spans="6:6" ht="15.75" customHeight="1">
      <c r="F183" s="437"/>
    </row>
    <row r="184" spans="6:6" ht="15.75" customHeight="1">
      <c r="F184" s="437"/>
    </row>
    <row r="185" spans="6:6" ht="15.75" customHeight="1">
      <c r="F185" s="437"/>
    </row>
    <row r="186" spans="6:6" ht="15.75" customHeight="1">
      <c r="F186" s="437"/>
    </row>
    <row r="187" spans="6:6" ht="15.75" customHeight="1">
      <c r="F187" s="437"/>
    </row>
    <row r="188" spans="6:6" ht="15.75" customHeight="1">
      <c r="F188" s="437"/>
    </row>
    <row r="189" spans="6:6" ht="15.75" customHeight="1">
      <c r="F189" s="437"/>
    </row>
    <row r="190" spans="6:6" ht="15.75" customHeight="1">
      <c r="F190" s="437"/>
    </row>
    <row r="191" spans="6:6" ht="15.75" customHeight="1">
      <c r="F191" s="437"/>
    </row>
    <row r="192" spans="6:6" ht="15.75" customHeight="1">
      <c r="F192" s="437"/>
    </row>
    <row r="193" spans="6:6" ht="15.75" customHeight="1">
      <c r="F193" s="437"/>
    </row>
    <row r="194" spans="6:6" ht="15.75" customHeight="1">
      <c r="F194" s="437"/>
    </row>
    <row r="195" spans="6:6" ht="15.75" customHeight="1">
      <c r="F195" s="437"/>
    </row>
    <row r="196" spans="6:6" ht="15.75" customHeight="1">
      <c r="F196" s="437"/>
    </row>
    <row r="197" spans="6:6" ht="15.75" customHeight="1">
      <c r="F197" s="437"/>
    </row>
    <row r="198" spans="6:6" ht="15.75" customHeight="1">
      <c r="F198" s="437"/>
    </row>
    <row r="199" spans="6:6" ht="15.75" customHeight="1">
      <c r="F199" s="437"/>
    </row>
    <row r="200" spans="6:6" ht="15.75" customHeight="1">
      <c r="F200" s="437"/>
    </row>
    <row r="201" spans="6:6" ht="15.75" customHeight="1">
      <c r="F201" s="437"/>
    </row>
    <row r="202" spans="6:6" ht="15.75" customHeight="1">
      <c r="F202" s="437"/>
    </row>
    <row r="203" spans="6:6" ht="15.75" customHeight="1">
      <c r="F203" s="437"/>
    </row>
    <row r="204" spans="6:6" ht="15.75" customHeight="1">
      <c r="F204" s="437"/>
    </row>
    <row r="205" spans="6:6" ht="15.75" customHeight="1">
      <c r="F205" s="437"/>
    </row>
    <row r="206" spans="6:6" ht="15.75" customHeight="1">
      <c r="F206" s="437"/>
    </row>
    <row r="207" spans="6:6" ht="15.75" customHeight="1">
      <c r="F207" s="437"/>
    </row>
    <row r="208" spans="6:6" ht="15.75" customHeight="1">
      <c r="F208" s="437"/>
    </row>
    <row r="209" spans="6:6" ht="15.75" customHeight="1">
      <c r="F209" s="437"/>
    </row>
    <row r="210" spans="6:6" ht="15.75" customHeight="1">
      <c r="F210" s="437"/>
    </row>
    <row r="211" spans="6:6" ht="15.75" customHeight="1">
      <c r="F211" s="437"/>
    </row>
    <row r="212" spans="6:6" ht="15.75" customHeight="1">
      <c r="F212" s="437"/>
    </row>
    <row r="213" spans="6:6" ht="15.75" customHeight="1">
      <c r="F213" s="437"/>
    </row>
    <row r="214" spans="6:6" ht="15.75" customHeight="1">
      <c r="F214" s="437"/>
    </row>
    <row r="215" spans="6:6" ht="15.75" customHeight="1">
      <c r="F215" s="437"/>
    </row>
    <row r="216" spans="6:6" ht="15.75" customHeight="1">
      <c r="F216" s="437"/>
    </row>
    <row r="217" spans="6:6" ht="15.75" customHeight="1">
      <c r="F217" s="437"/>
    </row>
    <row r="218" spans="6:6" ht="15.75" customHeight="1">
      <c r="F218" s="437"/>
    </row>
    <row r="219" spans="6:6" ht="15.75" customHeight="1">
      <c r="F219" s="437"/>
    </row>
    <row r="220" spans="6:6" ht="15.75" customHeight="1">
      <c r="F220" s="437"/>
    </row>
    <row r="221" spans="6:6" ht="15.75" customHeight="1">
      <c r="F221" s="437"/>
    </row>
    <row r="222" spans="6:6" ht="15.75" customHeight="1">
      <c r="F222" s="437"/>
    </row>
    <row r="223" spans="6:6" ht="15.75" customHeight="1">
      <c r="F223" s="437"/>
    </row>
    <row r="224" spans="6:6" ht="15.75" customHeight="1">
      <c r="F224" s="437"/>
    </row>
    <row r="225" spans="6:6" ht="15.75" customHeight="1">
      <c r="F225" s="437"/>
    </row>
    <row r="226" spans="6:6" ht="15.75" customHeight="1">
      <c r="F226" s="437"/>
    </row>
    <row r="227" spans="6:6" ht="15.75" customHeight="1">
      <c r="F227" s="437"/>
    </row>
    <row r="228" spans="6:6" ht="15.75" customHeight="1">
      <c r="F228" s="437"/>
    </row>
    <row r="229" spans="6:6" ht="15.75" customHeight="1">
      <c r="F229" s="437"/>
    </row>
    <row r="230" spans="6:6" ht="15.75" customHeight="1">
      <c r="F230" s="437"/>
    </row>
    <row r="231" spans="6:6" ht="15.75" customHeight="1">
      <c r="F231" s="437"/>
    </row>
    <row r="232" spans="6:6" ht="15.75" customHeight="1">
      <c r="F232" s="437"/>
    </row>
    <row r="233" spans="6:6" ht="15.75" customHeight="1">
      <c r="F233" s="437"/>
    </row>
    <row r="234" spans="6:6" ht="15.75" customHeight="1">
      <c r="F234" s="437"/>
    </row>
    <row r="235" spans="6:6" ht="15.75" customHeight="1">
      <c r="F235" s="437"/>
    </row>
    <row r="236" spans="6:6" ht="15.75" customHeight="1">
      <c r="F236" s="437"/>
    </row>
    <row r="237" spans="6:6" ht="15.75" customHeight="1">
      <c r="F237" s="437"/>
    </row>
    <row r="238" spans="6:6" ht="15.75" customHeight="1">
      <c r="F238" s="437"/>
    </row>
    <row r="239" spans="6:6" ht="15.75" customHeight="1">
      <c r="F239" s="437"/>
    </row>
    <row r="240" spans="6:6" ht="15.75" customHeight="1">
      <c r="F240" s="437"/>
    </row>
    <row r="241" spans="6:6" ht="15.75" customHeight="1">
      <c r="F241" s="437"/>
    </row>
    <row r="242" spans="6:6" ht="15.75" customHeight="1">
      <c r="F242" s="437"/>
    </row>
    <row r="243" spans="6:6" ht="15.75" customHeight="1">
      <c r="F243" s="437"/>
    </row>
    <row r="244" spans="6:6" ht="15.75" customHeight="1">
      <c r="F244" s="437"/>
    </row>
    <row r="245" spans="6:6" ht="15.75" customHeight="1">
      <c r="F245" s="437"/>
    </row>
    <row r="246" spans="6:6" ht="15.75" customHeight="1">
      <c r="F246" s="437"/>
    </row>
    <row r="247" spans="6:6" ht="15.75" customHeight="1">
      <c r="F247" s="437"/>
    </row>
    <row r="248" spans="6:6" ht="15.75" customHeight="1">
      <c r="F248" s="437"/>
    </row>
    <row r="249" spans="6:6" ht="15.75" customHeight="1">
      <c r="F249" s="437"/>
    </row>
    <row r="250" spans="6:6" ht="15.75" customHeight="1">
      <c r="F250" s="437"/>
    </row>
    <row r="251" spans="6:6" ht="15.75" customHeight="1">
      <c r="F251" s="437"/>
    </row>
    <row r="252" spans="6:6" ht="15.75" customHeight="1">
      <c r="F252" s="437"/>
    </row>
    <row r="253" spans="6:6" ht="15.75" customHeight="1">
      <c r="F253" s="437"/>
    </row>
    <row r="254" spans="6:6" ht="15.75" customHeight="1">
      <c r="F254" s="437"/>
    </row>
    <row r="255" spans="6:6" ht="15.75" customHeight="1">
      <c r="F255" s="437"/>
    </row>
    <row r="256" spans="6:6" ht="15.75" customHeight="1">
      <c r="F256" s="437"/>
    </row>
    <row r="257" spans="6:6" ht="15.75" customHeight="1">
      <c r="F257" s="437"/>
    </row>
    <row r="258" spans="6:6" ht="15.75" customHeight="1">
      <c r="F258" s="437"/>
    </row>
    <row r="259" spans="6:6" ht="15.75" customHeight="1">
      <c r="F259" s="437"/>
    </row>
    <row r="260" spans="6:6" ht="15.75" customHeight="1">
      <c r="F260" s="437"/>
    </row>
    <row r="261" spans="6:6" ht="15.75" customHeight="1">
      <c r="F261" s="437"/>
    </row>
    <row r="262" spans="6:6" ht="15.75" customHeight="1">
      <c r="F262" s="437"/>
    </row>
    <row r="263" spans="6:6" ht="15.75" customHeight="1">
      <c r="F263" s="437"/>
    </row>
    <row r="264" spans="6:6" ht="15.75" customHeight="1">
      <c r="F264" s="437"/>
    </row>
    <row r="265" spans="6:6" ht="15.75" customHeight="1">
      <c r="F265" s="437"/>
    </row>
    <row r="266" spans="6:6" ht="15.75" customHeight="1">
      <c r="F266" s="437"/>
    </row>
    <row r="267" spans="6:6" ht="15.75" customHeight="1">
      <c r="F267" s="437"/>
    </row>
    <row r="268" spans="6:6" ht="15.75" customHeight="1">
      <c r="F268" s="437"/>
    </row>
    <row r="269" spans="6:6" ht="15.75" customHeight="1">
      <c r="F269" s="437"/>
    </row>
    <row r="270" spans="6:6" ht="15.75" customHeight="1">
      <c r="F270" s="437"/>
    </row>
    <row r="271" spans="6:6" ht="15.75" customHeight="1">
      <c r="F271" s="437"/>
    </row>
    <row r="272" spans="6:6" ht="15.75" customHeight="1">
      <c r="F272" s="437"/>
    </row>
    <row r="273" spans="6:6" ht="15.75" customHeight="1">
      <c r="F273" s="437"/>
    </row>
    <row r="274" spans="6:6" ht="15.75" customHeight="1">
      <c r="F274" s="437"/>
    </row>
    <row r="275" spans="6:6" ht="15.75" customHeight="1">
      <c r="F275" s="437"/>
    </row>
    <row r="276" spans="6:6" ht="15.75" customHeight="1">
      <c r="F276" s="437"/>
    </row>
    <row r="277" spans="6:6" ht="15.75" customHeight="1">
      <c r="F277" s="437"/>
    </row>
    <row r="278" spans="6:6" ht="15.75" customHeight="1">
      <c r="F278" s="437"/>
    </row>
    <row r="279" spans="6:6" ht="15.75" customHeight="1">
      <c r="F279" s="437"/>
    </row>
    <row r="280" spans="6:6" ht="15.75" customHeight="1">
      <c r="F280" s="437"/>
    </row>
    <row r="281" spans="6:6" ht="15.75" customHeight="1">
      <c r="F281" s="437"/>
    </row>
    <row r="282" spans="6:6" ht="15.75" customHeight="1">
      <c r="F282" s="437"/>
    </row>
    <row r="283" spans="6:6" ht="15.75" customHeight="1">
      <c r="F283" s="437"/>
    </row>
    <row r="284" spans="6:6" ht="15.75" customHeight="1">
      <c r="F284" s="437"/>
    </row>
    <row r="285" spans="6:6" ht="15.75" customHeight="1">
      <c r="F285" s="437"/>
    </row>
    <row r="286" spans="6:6" ht="15.75" customHeight="1">
      <c r="F286" s="437"/>
    </row>
    <row r="287" spans="6:6" ht="15.75" customHeight="1">
      <c r="F287" s="437"/>
    </row>
    <row r="288" spans="6:6" ht="15.75" customHeight="1">
      <c r="F288" s="437"/>
    </row>
    <row r="289" spans="6:6" ht="15.75" customHeight="1">
      <c r="F289" s="437"/>
    </row>
    <row r="290" spans="6:6" ht="15.75" customHeight="1">
      <c r="F290" s="437"/>
    </row>
    <row r="291" spans="6:6" ht="15.75" customHeight="1">
      <c r="F291" s="437"/>
    </row>
    <row r="292" spans="6:6" ht="15.75" customHeight="1">
      <c r="F292" s="437"/>
    </row>
    <row r="293" spans="6:6" ht="15.75" customHeight="1">
      <c r="F293" s="437"/>
    </row>
    <row r="294" spans="6:6" ht="15.75" customHeight="1">
      <c r="F294" s="437"/>
    </row>
    <row r="295" spans="6:6" ht="15.75" customHeight="1">
      <c r="F295" s="437"/>
    </row>
    <row r="296" spans="6:6" ht="15.75" customHeight="1">
      <c r="F296" s="437"/>
    </row>
    <row r="297" spans="6:6" ht="15.75" customHeight="1">
      <c r="F297" s="437"/>
    </row>
    <row r="298" spans="6:6" ht="15.75" customHeight="1">
      <c r="F298" s="437"/>
    </row>
    <row r="299" spans="6:6" ht="15.75" customHeight="1">
      <c r="F299" s="437"/>
    </row>
    <row r="300" spans="6:6" ht="15.75" customHeight="1">
      <c r="F300" s="437"/>
    </row>
    <row r="301" spans="6:6" ht="15.75" customHeight="1">
      <c r="F301" s="437"/>
    </row>
    <row r="302" spans="6:6" ht="15.75" customHeight="1">
      <c r="F302" s="437"/>
    </row>
    <row r="303" spans="6:6" ht="15.75" customHeight="1">
      <c r="F303" s="437"/>
    </row>
    <row r="304" spans="6:6" ht="15.75" customHeight="1">
      <c r="F304" s="437"/>
    </row>
    <row r="305" spans="6:6" ht="15.75" customHeight="1">
      <c r="F305" s="437"/>
    </row>
    <row r="306" spans="6:6" ht="15.75" customHeight="1">
      <c r="F306" s="437"/>
    </row>
    <row r="307" spans="6:6" ht="15.75" customHeight="1">
      <c r="F307" s="437"/>
    </row>
    <row r="308" spans="6:6" ht="15.75" customHeight="1">
      <c r="F308" s="437"/>
    </row>
    <row r="309" spans="6:6" ht="15.75" customHeight="1">
      <c r="F309" s="437"/>
    </row>
    <row r="310" spans="6:6" ht="15.75" customHeight="1">
      <c r="F310" s="437"/>
    </row>
    <row r="311" spans="6:6" ht="15.75" customHeight="1">
      <c r="F311" s="437"/>
    </row>
    <row r="312" spans="6:6" ht="15.75" customHeight="1">
      <c r="F312" s="437"/>
    </row>
    <row r="313" spans="6:6" ht="15.75" customHeight="1">
      <c r="F313" s="437"/>
    </row>
    <row r="314" spans="6:6" ht="15.75" customHeight="1">
      <c r="F314" s="437"/>
    </row>
    <row r="315" spans="6:6" ht="15.75" customHeight="1">
      <c r="F315" s="437"/>
    </row>
    <row r="316" spans="6:6" ht="15.75" customHeight="1">
      <c r="F316" s="437"/>
    </row>
    <row r="317" spans="6:6" ht="15.75" customHeight="1">
      <c r="F317" s="437"/>
    </row>
    <row r="318" spans="6:6" ht="15.75" customHeight="1">
      <c r="F318" s="437"/>
    </row>
    <row r="319" spans="6:6" ht="15.75" customHeight="1">
      <c r="F319" s="437"/>
    </row>
    <row r="320" spans="6:6" ht="15.75" customHeight="1">
      <c r="F320" s="437"/>
    </row>
    <row r="321" spans="6:6" ht="15.75" customHeight="1">
      <c r="F321" s="437"/>
    </row>
    <row r="322" spans="6:6" ht="15.75" customHeight="1">
      <c r="F322" s="437"/>
    </row>
    <row r="323" spans="6:6" ht="15.75" customHeight="1">
      <c r="F323" s="437"/>
    </row>
    <row r="324" spans="6:6" ht="15.75" customHeight="1">
      <c r="F324" s="437"/>
    </row>
    <row r="325" spans="6:6" ht="15.75" customHeight="1">
      <c r="F325" s="437"/>
    </row>
    <row r="326" spans="6:6" ht="15.75" customHeight="1">
      <c r="F326" s="437"/>
    </row>
    <row r="327" spans="6:6" ht="15.75" customHeight="1">
      <c r="F327" s="437"/>
    </row>
    <row r="328" spans="6:6" ht="15.75" customHeight="1">
      <c r="F328" s="437"/>
    </row>
    <row r="329" spans="6:6" ht="15.75" customHeight="1">
      <c r="F329" s="437"/>
    </row>
    <row r="330" spans="6:6" ht="15.75" customHeight="1">
      <c r="F330" s="437"/>
    </row>
    <row r="331" spans="6:6" ht="15.75" customHeight="1">
      <c r="F331" s="437"/>
    </row>
    <row r="332" spans="6:6" ht="15.75" customHeight="1">
      <c r="F332" s="437"/>
    </row>
    <row r="333" spans="6:6" ht="15.75" customHeight="1">
      <c r="F333" s="437"/>
    </row>
    <row r="334" spans="6:6" ht="15.75" customHeight="1">
      <c r="F334" s="437"/>
    </row>
    <row r="335" spans="6:6" ht="15.75" customHeight="1">
      <c r="F335" s="437"/>
    </row>
    <row r="336" spans="6:6" ht="15.75" customHeight="1">
      <c r="F336" s="437"/>
    </row>
    <row r="337" spans="6:6" ht="15.75" customHeight="1">
      <c r="F337" s="437"/>
    </row>
    <row r="338" spans="6:6" ht="15.75" customHeight="1">
      <c r="F338" s="437"/>
    </row>
    <row r="339" spans="6:6" ht="15.75" customHeight="1">
      <c r="F339" s="437"/>
    </row>
    <row r="340" spans="6:6" ht="15.75" customHeight="1">
      <c r="F340" s="437"/>
    </row>
    <row r="341" spans="6:6" ht="15.75" customHeight="1">
      <c r="F341" s="437"/>
    </row>
    <row r="342" spans="6:6" ht="15.75" customHeight="1">
      <c r="F342" s="437"/>
    </row>
    <row r="343" spans="6:6" ht="15.75" customHeight="1">
      <c r="F343" s="437"/>
    </row>
    <row r="344" spans="6:6" ht="15.75" customHeight="1">
      <c r="F344" s="437"/>
    </row>
    <row r="345" spans="6:6" ht="15.75" customHeight="1">
      <c r="F345" s="437"/>
    </row>
    <row r="346" spans="6:6" ht="15.75" customHeight="1">
      <c r="F346" s="437"/>
    </row>
    <row r="347" spans="6:6" ht="15.75" customHeight="1">
      <c r="F347" s="437"/>
    </row>
    <row r="348" spans="6:6" ht="15.75" customHeight="1">
      <c r="F348" s="437"/>
    </row>
    <row r="349" spans="6:6" ht="15.75" customHeight="1">
      <c r="F349" s="437"/>
    </row>
    <row r="350" spans="6:6" ht="15.75" customHeight="1">
      <c r="F350" s="437"/>
    </row>
    <row r="351" spans="6:6" ht="15.75" customHeight="1">
      <c r="F351" s="437"/>
    </row>
    <row r="352" spans="6:6" ht="15.75" customHeight="1">
      <c r="F352" s="437"/>
    </row>
    <row r="353" spans="6:6" ht="15.75" customHeight="1">
      <c r="F353" s="437"/>
    </row>
    <row r="354" spans="6:6" ht="15.75" customHeight="1">
      <c r="F354" s="437"/>
    </row>
    <row r="355" spans="6:6" ht="15.75" customHeight="1">
      <c r="F355" s="437"/>
    </row>
    <row r="356" spans="6:6" ht="15.75" customHeight="1">
      <c r="F356" s="437"/>
    </row>
    <row r="357" spans="6:6" ht="15.75" customHeight="1">
      <c r="F357" s="437"/>
    </row>
    <row r="358" spans="6:6" ht="15.75" customHeight="1">
      <c r="F358" s="437"/>
    </row>
    <row r="359" spans="6:6" ht="15.75" customHeight="1">
      <c r="F359" s="437"/>
    </row>
    <row r="360" spans="6:6" ht="15.75" customHeight="1">
      <c r="F360" s="437"/>
    </row>
    <row r="361" spans="6:6" ht="15.75" customHeight="1">
      <c r="F361" s="437"/>
    </row>
    <row r="362" spans="6:6" ht="15.75" customHeight="1">
      <c r="F362" s="437"/>
    </row>
    <row r="363" spans="6:6" ht="15.75" customHeight="1">
      <c r="F363" s="437"/>
    </row>
    <row r="364" spans="6:6" ht="15.75" customHeight="1">
      <c r="F364" s="437"/>
    </row>
    <row r="365" spans="6:6" ht="15.75" customHeight="1">
      <c r="F365" s="437"/>
    </row>
    <row r="366" spans="6:6" ht="15.75" customHeight="1">
      <c r="F366" s="437"/>
    </row>
    <row r="367" spans="6:6" ht="15.75" customHeight="1">
      <c r="F367" s="437"/>
    </row>
    <row r="368" spans="6:6" ht="15.75" customHeight="1">
      <c r="F368" s="437"/>
    </row>
    <row r="369" spans="6:6" ht="15.75" customHeight="1">
      <c r="F369" s="437"/>
    </row>
    <row r="370" spans="6:6" ht="15.75" customHeight="1">
      <c r="F370" s="437"/>
    </row>
    <row r="371" spans="6:6" ht="15.75" customHeight="1">
      <c r="F371" s="437"/>
    </row>
    <row r="372" spans="6:6" ht="15.75" customHeight="1">
      <c r="F372" s="437"/>
    </row>
    <row r="373" spans="6:6" ht="15.75" customHeight="1">
      <c r="F373" s="437"/>
    </row>
    <row r="374" spans="6:6" ht="15.75" customHeight="1">
      <c r="F374" s="437"/>
    </row>
    <row r="375" spans="6:6" ht="15.75" customHeight="1">
      <c r="F375" s="437"/>
    </row>
    <row r="376" spans="6:6" ht="15.75" customHeight="1">
      <c r="F376" s="437"/>
    </row>
    <row r="377" spans="6:6" ht="15.75" customHeight="1">
      <c r="F377" s="437"/>
    </row>
    <row r="378" spans="6:6" ht="15.75" customHeight="1">
      <c r="F378" s="437"/>
    </row>
    <row r="379" spans="6:6" ht="15.75" customHeight="1">
      <c r="F379" s="437"/>
    </row>
    <row r="380" spans="6:6" ht="15.75" customHeight="1">
      <c r="F380" s="437"/>
    </row>
    <row r="381" spans="6:6" ht="15.75" customHeight="1">
      <c r="F381" s="437"/>
    </row>
    <row r="382" spans="6:6" ht="15.75" customHeight="1">
      <c r="F382" s="437"/>
    </row>
    <row r="383" spans="6:6" ht="15.75" customHeight="1">
      <c r="F383" s="437"/>
    </row>
    <row r="384" spans="6:6" ht="15.75" customHeight="1">
      <c r="F384" s="437"/>
    </row>
    <row r="385" spans="6:6" ht="15.75" customHeight="1">
      <c r="F385" s="437"/>
    </row>
    <row r="386" spans="6:6" ht="15.75" customHeight="1">
      <c r="F386" s="437"/>
    </row>
    <row r="387" spans="6:6" ht="15.75" customHeight="1">
      <c r="F387" s="437"/>
    </row>
    <row r="388" spans="6:6" ht="15.75" customHeight="1">
      <c r="F388" s="437"/>
    </row>
    <row r="389" spans="6:6" ht="15.75" customHeight="1">
      <c r="F389" s="437"/>
    </row>
    <row r="390" spans="6:6" ht="15.75" customHeight="1">
      <c r="F390" s="437"/>
    </row>
    <row r="391" spans="6:6" ht="15.75" customHeight="1">
      <c r="F391" s="437"/>
    </row>
    <row r="392" spans="6:6" ht="15.75" customHeight="1">
      <c r="F392" s="437"/>
    </row>
    <row r="393" spans="6:6" ht="15.75" customHeight="1">
      <c r="F393" s="437"/>
    </row>
    <row r="394" spans="6:6" ht="15.75" customHeight="1">
      <c r="F394" s="437"/>
    </row>
    <row r="395" spans="6:6" ht="15.75" customHeight="1">
      <c r="F395" s="437"/>
    </row>
    <row r="396" spans="6:6" ht="15.75" customHeight="1">
      <c r="F396" s="437"/>
    </row>
    <row r="397" spans="6:6" ht="15.75" customHeight="1">
      <c r="F397" s="437"/>
    </row>
    <row r="398" spans="6:6" ht="15.75" customHeight="1">
      <c r="F398" s="437"/>
    </row>
    <row r="399" spans="6:6" ht="15.75" customHeight="1">
      <c r="F399" s="437"/>
    </row>
    <row r="400" spans="6:6" ht="15.75" customHeight="1">
      <c r="F400" s="437"/>
    </row>
    <row r="401" spans="6:6" ht="15.75" customHeight="1">
      <c r="F401" s="437"/>
    </row>
    <row r="402" spans="6:6" ht="15.75" customHeight="1">
      <c r="F402" s="437"/>
    </row>
    <row r="403" spans="6:6" ht="15.75" customHeight="1">
      <c r="F403" s="437"/>
    </row>
    <row r="404" spans="6:6" ht="15.75" customHeight="1">
      <c r="F404" s="437"/>
    </row>
    <row r="405" spans="6:6" ht="15.75" customHeight="1">
      <c r="F405" s="437"/>
    </row>
    <row r="406" spans="6:6" ht="15.75" customHeight="1">
      <c r="F406" s="437"/>
    </row>
    <row r="407" spans="6:6" ht="15.75" customHeight="1">
      <c r="F407" s="437"/>
    </row>
    <row r="408" spans="6:6" ht="15.75" customHeight="1">
      <c r="F408" s="437"/>
    </row>
    <row r="409" spans="6:6" ht="15.75" customHeight="1">
      <c r="F409" s="437"/>
    </row>
    <row r="410" spans="6:6" ht="15.75" customHeight="1">
      <c r="F410" s="437"/>
    </row>
    <row r="411" spans="6:6" ht="15.75" customHeight="1">
      <c r="F411" s="437"/>
    </row>
    <row r="412" spans="6:6" ht="15.75" customHeight="1">
      <c r="F412" s="437"/>
    </row>
    <row r="413" spans="6:6" ht="15.75" customHeight="1">
      <c r="F413" s="437"/>
    </row>
    <row r="414" spans="6:6" ht="15.75" customHeight="1">
      <c r="F414" s="437"/>
    </row>
    <row r="415" spans="6:6" ht="15.75" customHeight="1">
      <c r="F415" s="437"/>
    </row>
    <row r="416" spans="6:6" ht="15.75" customHeight="1">
      <c r="F416" s="437"/>
    </row>
    <row r="417" spans="6:6" ht="15.75" customHeight="1">
      <c r="F417" s="437"/>
    </row>
    <row r="418" spans="6:6" ht="15.75" customHeight="1">
      <c r="F418" s="437"/>
    </row>
    <row r="419" spans="6:6" ht="15.75" customHeight="1">
      <c r="F419" s="437"/>
    </row>
    <row r="420" spans="6:6" ht="15.75" customHeight="1">
      <c r="F420" s="437"/>
    </row>
    <row r="421" spans="6:6" ht="15.75" customHeight="1">
      <c r="F421" s="437"/>
    </row>
    <row r="422" spans="6:6" ht="15.75" customHeight="1">
      <c r="F422" s="437"/>
    </row>
    <row r="423" spans="6:6" ht="15.75" customHeight="1">
      <c r="F423" s="437"/>
    </row>
    <row r="424" spans="6:6" ht="15.75" customHeight="1">
      <c r="F424" s="437"/>
    </row>
    <row r="425" spans="6:6" ht="15.75" customHeight="1">
      <c r="F425" s="437"/>
    </row>
    <row r="426" spans="6:6" ht="15.75" customHeight="1">
      <c r="F426" s="437"/>
    </row>
    <row r="427" spans="6:6" ht="15.75" customHeight="1">
      <c r="F427" s="437"/>
    </row>
    <row r="428" spans="6:6" ht="15.75" customHeight="1">
      <c r="F428" s="437"/>
    </row>
    <row r="429" spans="6:6" ht="15.75" customHeight="1">
      <c r="F429" s="437"/>
    </row>
    <row r="430" spans="6:6" ht="15.75" customHeight="1">
      <c r="F430" s="437"/>
    </row>
    <row r="431" spans="6:6" ht="15.75" customHeight="1">
      <c r="F431" s="437"/>
    </row>
    <row r="432" spans="6:6" ht="15.75" customHeight="1">
      <c r="F432" s="437"/>
    </row>
    <row r="433" spans="6:6" ht="15.75" customHeight="1">
      <c r="F433" s="437"/>
    </row>
    <row r="434" spans="6:6" ht="15.75" customHeight="1">
      <c r="F434" s="437"/>
    </row>
    <row r="435" spans="6:6" ht="15.75" customHeight="1">
      <c r="F435" s="437"/>
    </row>
    <row r="436" spans="6:6" ht="15.75" customHeight="1">
      <c r="F436" s="437"/>
    </row>
    <row r="437" spans="6:6" ht="15.75" customHeight="1">
      <c r="F437" s="437"/>
    </row>
    <row r="438" spans="6:6" ht="15.75" customHeight="1">
      <c r="F438" s="437"/>
    </row>
    <row r="439" spans="6:6" ht="15.75" customHeight="1">
      <c r="F439" s="437"/>
    </row>
    <row r="440" spans="6:6" ht="15.75" customHeight="1">
      <c r="F440" s="437"/>
    </row>
    <row r="441" spans="6:6" ht="15.75" customHeight="1">
      <c r="F441" s="437"/>
    </row>
    <row r="442" spans="6:6" ht="15.75" customHeight="1">
      <c r="F442" s="437"/>
    </row>
    <row r="443" spans="6:6" ht="15.75" customHeight="1">
      <c r="F443" s="437"/>
    </row>
    <row r="444" spans="6:6" ht="15.75" customHeight="1">
      <c r="F444" s="437"/>
    </row>
    <row r="445" spans="6:6" ht="15.75" customHeight="1">
      <c r="F445" s="437"/>
    </row>
    <row r="446" spans="6:6" ht="15.75" customHeight="1">
      <c r="F446" s="437"/>
    </row>
    <row r="447" spans="6:6" ht="15.75" customHeight="1">
      <c r="F447" s="437"/>
    </row>
    <row r="448" spans="6:6" ht="15.75" customHeight="1">
      <c r="F448" s="437"/>
    </row>
    <row r="449" spans="6:6" ht="15.75" customHeight="1">
      <c r="F449" s="437"/>
    </row>
    <row r="450" spans="6:6" ht="15.75" customHeight="1">
      <c r="F450" s="437"/>
    </row>
    <row r="451" spans="6:6" ht="15.75" customHeight="1">
      <c r="F451" s="437"/>
    </row>
    <row r="452" spans="6:6" ht="15.75" customHeight="1">
      <c r="F452" s="437"/>
    </row>
    <row r="453" spans="6:6" ht="15.75" customHeight="1">
      <c r="F453" s="437"/>
    </row>
    <row r="454" spans="6:6" ht="15.75" customHeight="1">
      <c r="F454" s="437"/>
    </row>
    <row r="455" spans="6:6" ht="15.75" customHeight="1">
      <c r="F455" s="437"/>
    </row>
    <row r="456" spans="6:6" ht="15.75" customHeight="1">
      <c r="F456" s="437"/>
    </row>
    <row r="457" spans="6:6" ht="15.75" customHeight="1">
      <c r="F457" s="437"/>
    </row>
    <row r="458" spans="6:6" ht="15.75" customHeight="1">
      <c r="F458" s="437"/>
    </row>
    <row r="459" spans="6:6" ht="15.75" customHeight="1">
      <c r="F459" s="437"/>
    </row>
    <row r="460" spans="6:6" ht="15.75" customHeight="1">
      <c r="F460" s="437"/>
    </row>
    <row r="461" spans="6:6" ht="15.75" customHeight="1">
      <c r="F461" s="437"/>
    </row>
    <row r="462" spans="6:6" ht="15.75" customHeight="1">
      <c r="F462" s="437"/>
    </row>
    <row r="463" spans="6:6" ht="15.75" customHeight="1">
      <c r="F463" s="437"/>
    </row>
    <row r="464" spans="6:6" ht="15.75" customHeight="1">
      <c r="F464" s="437"/>
    </row>
    <row r="465" spans="6:6" ht="15.75" customHeight="1">
      <c r="F465" s="437"/>
    </row>
    <row r="466" spans="6:6" ht="15.75" customHeight="1">
      <c r="F466" s="437"/>
    </row>
    <row r="467" spans="6:6" ht="15.75" customHeight="1">
      <c r="F467" s="437"/>
    </row>
    <row r="468" spans="6:6" ht="15.75" customHeight="1">
      <c r="F468" s="437"/>
    </row>
    <row r="469" spans="6:6" ht="15.75" customHeight="1">
      <c r="F469" s="437"/>
    </row>
    <row r="470" spans="6:6" ht="15.75" customHeight="1">
      <c r="F470" s="437"/>
    </row>
    <row r="471" spans="6:6" ht="15.75" customHeight="1">
      <c r="F471" s="437"/>
    </row>
    <row r="472" spans="6:6" ht="15.75" customHeight="1">
      <c r="F472" s="437"/>
    </row>
    <row r="473" spans="6:6" ht="15.75" customHeight="1">
      <c r="F473" s="437"/>
    </row>
    <row r="474" spans="6:6" ht="15.75" customHeight="1">
      <c r="F474" s="437"/>
    </row>
    <row r="475" spans="6:6" ht="15.75" customHeight="1">
      <c r="F475" s="437"/>
    </row>
    <row r="476" spans="6:6" ht="15.75" customHeight="1">
      <c r="F476" s="437"/>
    </row>
    <row r="477" spans="6:6" ht="15.75" customHeight="1">
      <c r="F477" s="437"/>
    </row>
    <row r="478" spans="6:6" ht="15.75" customHeight="1">
      <c r="F478" s="437"/>
    </row>
    <row r="479" spans="6:6" ht="15.75" customHeight="1">
      <c r="F479" s="437"/>
    </row>
    <row r="480" spans="6:6" ht="15.75" customHeight="1">
      <c r="F480" s="437"/>
    </row>
    <row r="481" spans="6:6" ht="15.75" customHeight="1">
      <c r="F481" s="437"/>
    </row>
    <row r="482" spans="6:6" ht="15.75" customHeight="1">
      <c r="F482" s="437"/>
    </row>
    <row r="483" spans="6:6" ht="15.75" customHeight="1">
      <c r="F483" s="437"/>
    </row>
    <row r="484" spans="6:6" ht="15.75" customHeight="1">
      <c r="F484" s="437"/>
    </row>
    <row r="485" spans="6:6" ht="15.75" customHeight="1">
      <c r="F485" s="437"/>
    </row>
    <row r="486" spans="6:6" ht="15.75" customHeight="1">
      <c r="F486" s="437"/>
    </row>
    <row r="487" spans="6:6" ht="15.75" customHeight="1">
      <c r="F487" s="437"/>
    </row>
    <row r="488" spans="6:6" ht="15.75" customHeight="1">
      <c r="F488" s="437"/>
    </row>
    <row r="489" spans="6:6" ht="15.75" customHeight="1">
      <c r="F489" s="437"/>
    </row>
    <row r="490" spans="6:6" ht="15.75" customHeight="1">
      <c r="F490" s="437"/>
    </row>
    <row r="491" spans="6:6" ht="15.75" customHeight="1">
      <c r="F491" s="437"/>
    </row>
    <row r="492" spans="6:6" ht="15.75" customHeight="1">
      <c r="F492" s="437"/>
    </row>
    <row r="493" spans="6:6" ht="15.75" customHeight="1">
      <c r="F493" s="437"/>
    </row>
    <row r="494" spans="6:6" ht="15.75" customHeight="1">
      <c r="F494" s="437"/>
    </row>
    <row r="495" spans="6:6" ht="15.75" customHeight="1">
      <c r="F495" s="437"/>
    </row>
    <row r="496" spans="6:6" ht="15.75" customHeight="1">
      <c r="F496" s="437"/>
    </row>
    <row r="497" spans="6:6" ht="15.75" customHeight="1">
      <c r="F497" s="437"/>
    </row>
    <row r="498" spans="6:6" ht="15.75" customHeight="1">
      <c r="F498" s="437"/>
    </row>
    <row r="499" spans="6:6" ht="15.75" customHeight="1">
      <c r="F499" s="437"/>
    </row>
    <row r="500" spans="6:6" ht="15.75" customHeight="1">
      <c r="F500" s="437"/>
    </row>
    <row r="501" spans="6:6" ht="15.75" customHeight="1">
      <c r="F501" s="437"/>
    </row>
    <row r="502" spans="6:6" ht="15.75" customHeight="1">
      <c r="F502" s="437"/>
    </row>
    <row r="503" spans="6:6" ht="15.75" customHeight="1">
      <c r="F503" s="437"/>
    </row>
    <row r="504" spans="6:6" ht="15.75" customHeight="1">
      <c r="F504" s="437"/>
    </row>
    <row r="505" spans="6:6" ht="15.75" customHeight="1">
      <c r="F505" s="437"/>
    </row>
    <row r="506" spans="6:6" ht="15.75" customHeight="1">
      <c r="F506" s="437"/>
    </row>
    <row r="507" spans="6:6" ht="15.75" customHeight="1">
      <c r="F507" s="437"/>
    </row>
    <row r="508" spans="6:6" ht="15.75" customHeight="1">
      <c r="F508" s="437"/>
    </row>
    <row r="509" spans="6:6" ht="15.75" customHeight="1">
      <c r="F509" s="437"/>
    </row>
    <row r="510" spans="6:6" ht="15.75" customHeight="1">
      <c r="F510" s="437"/>
    </row>
    <row r="511" spans="6:6" ht="15.75" customHeight="1">
      <c r="F511" s="437"/>
    </row>
    <row r="512" spans="6:6" ht="15.75" customHeight="1">
      <c r="F512" s="437"/>
    </row>
    <row r="513" spans="6:6" ht="15.75" customHeight="1">
      <c r="F513" s="437"/>
    </row>
    <row r="514" spans="6:6" ht="15.75" customHeight="1">
      <c r="F514" s="437"/>
    </row>
    <row r="515" spans="6:6" ht="15.75" customHeight="1">
      <c r="F515" s="437"/>
    </row>
    <row r="516" spans="6:6" ht="15.75" customHeight="1">
      <c r="F516" s="437"/>
    </row>
    <row r="517" spans="6:6" ht="15.75" customHeight="1">
      <c r="F517" s="437"/>
    </row>
    <row r="518" spans="6:6" ht="15.75" customHeight="1">
      <c r="F518" s="437"/>
    </row>
    <row r="519" spans="6:6" ht="15.75" customHeight="1">
      <c r="F519" s="437"/>
    </row>
    <row r="520" spans="6:6" ht="15.75" customHeight="1">
      <c r="F520" s="437"/>
    </row>
    <row r="521" spans="6:6" ht="15.75" customHeight="1">
      <c r="F521" s="437"/>
    </row>
    <row r="522" spans="6:6" ht="15.75" customHeight="1">
      <c r="F522" s="437"/>
    </row>
    <row r="523" spans="6:6" ht="15.75" customHeight="1">
      <c r="F523" s="437"/>
    </row>
    <row r="524" spans="6:6" ht="15.75" customHeight="1">
      <c r="F524" s="437"/>
    </row>
    <row r="525" spans="6:6" ht="15.75" customHeight="1">
      <c r="F525" s="437"/>
    </row>
    <row r="526" spans="6:6" ht="15.75" customHeight="1">
      <c r="F526" s="437"/>
    </row>
    <row r="527" spans="6:6" ht="15.75" customHeight="1">
      <c r="F527" s="437"/>
    </row>
    <row r="528" spans="6:6" ht="15.75" customHeight="1">
      <c r="F528" s="437"/>
    </row>
    <row r="529" spans="6:6" ht="15.75" customHeight="1">
      <c r="F529" s="437"/>
    </row>
    <row r="530" spans="6:6" ht="15.75" customHeight="1">
      <c r="F530" s="437"/>
    </row>
    <row r="531" spans="6:6" ht="15.75" customHeight="1">
      <c r="F531" s="437"/>
    </row>
    <row r="532" spans="6:6" ht="15.75" customHeight="1">
      <c r="F532" s="437"/>
    </row>
    <row r="533" spans="6:6" ht="15.75" customHeight="1">
      <c r="F533" s="437"/>
    </row>
    <row r="534" spans="6:6" ht="15.75" customHeight="1">
      <c r="F534" s="437"/>
    </row>
    <row r="535" spans="6:6" ht="15.75" customHeight="1">
      <c r="F535" s="437"/>
    </row>
    <row r="536" spans="6:6" ht="15.75" customHeight="1">
      <c r="F536" s="437"/>
    </row>
    <row r="537" spans="6:6" ht="15.75" customHeight="1">
      <c r="F537" s="437"/>
    </row>
    <row r="538" spans="6:6" ht="15.75" customHeight="1">
      <c r="F538" s="437"/>
    </row>
    <row r="539" spans="6:6" ht="15.75" customHeight="1">
      <c r="F539" s="437"/>
    </row>
    <row r="540" spans="6:6" ht="15.75" customHeight="1">
      <c r="F540" s="437"/>
    </row>
    <row r="541" spans="6:6" ht="15.75" customHeight="1">
      <c r="F541" s="437"/>
    </row>
    <row r="542" spans="6:6" ht="15.75" customHeight="1">
      <c r="F542" s="437"/>
    </row>
    <row r="543" spans="6:6" ht="15.75" customHeight="1">
      <c r="F543" s="437"/>
    </row>
    <row r="544" spans="6:6" ht="15.75" customHeight="1">
      <c r="F544" s="437"/>
    </row>
    <row r="545" spans="6:6" ht="15.75" customHeight="1">
      <c r="F545" s="437"/>
    </row>
    <row r="546" spans="6:6" ht="15.75" customHeight="1">
      <c r="F546" s="437"/>
    </row>
    <row r="547" spans="6:6" ht="15.75" customHeight="1">
      <c r="F547" s="437"/>
    </row>
    <row r="548" spans="6:6" ht="15.75" customHeight="1">
      <c r="F548" s="437"/>
    </row>
    <row r="549" spans="6:6" ht="15.75" customHeight="1">
      <c r="F549" s="437"/>
    </row>
    <row r="550" spans="6:6" ht="15.75" customHeight="1">
      <c r="F550" s="437"/>
    </row>
    <row r="551" spans="6:6" ht="15.75" customHeight="1">
      <c r="F551" s="437"/>
    </row>
    <row r="552" spans="6:6" ht="15.75" customHeight="1">
      <c r="F552" s="437"/>
    </row>
    <row r="553" spans="6:6" ht="15.75" customHeight="1">
      <c r="F553" s="437"/>
    </row>
    <row r="554" spans="6:6" ht="15.75" customHeight="1">
      <c r="F554" s="437"/>
    </row>
    <row r="555" spans="6:6" ht="15.75" customHeight="1">
      <c r="F555" s="437"/>
    </row>
    <row r="556" spans="6:6" ht="15.75" customHeight="1">
      <c r="F556" s="437"/>
    </row>
    <row r="557" spans="6:6" ht="15.75" customHeight="1">
      <c r="F557" s="437"/>
    </row>
    <row r="558" spans="6:6" ht="15.75" customHeight="1">
      <c r="F558" s="437"/>
    </row>
    <row r="559" spans="6:6" ht="15.75" customHeight="1">
      <c r="F559" s="437"/>
    </row>
    <row r="560" spans="6:6" ht="15.75" customHeight="1">
      <c r="F560" s="437"/>
    </row>
    <row r="561" spans="6:6" ht="15.75" customHeight="1">
      <c r="F561" s="437"/>
    </row>
    <row r="562" spans="6:6" ht="15.75" customHeight="1">
      <c r="F562" s="437"/>
    </row>
    <row r="563" spans="6:6" ht="15.75" customHeight="1">
      <c r="F563" s="437"/>
    </row>
    <row r="564" spans="6:6" ht="15.75" customHeight="1">
      <c r="F564" s="437"/>
    </row>
    <row r="565" spans="6:6" ht="15.75" customHeight="1">
      <c r="F565" s="437"/>
    </row>
    <row r="566" spans="6:6" ht="15.75" customHeight="1">
      <c r="F566" s="437"/>
    </row>
    <row r="567" spans="6:6" ht="15.75" customHeight="1">
      <c r="F567" s="437"/>
    </row>
    <row r="568" spans="6:6" ht="15.75" customHeight="1">
      <c r="F568" s="437"/>
    </row>
    <row r="569" spans="6:6" ht="15.75" customHeight="1">
      <c r="F569" s="437"/>
    </row>
    <row r="570" spans="6:6" ht="15.75" customHeight="1">
      <c r="F570" s="437"/>
    </row>
    <row r="571" spans="6:6" ht="15.75" customHeight="1">
      <c r="F571" s="437"/>
    </row>
    <row r="572" spans="6:6" ht="15.75" customHeight="1">
      <c r="F572" s="437"/>
    </row>
    <row r="573" spans="6:6" ht="15.75" customHeight="1">
      <c r="F573" s="437"/>
    </row>
    <row r="574" spans="6:6" ht="15.75" customHeight="1">
      <c r="F574" s="437"/>
    </row>
    <row r="575" spans="6:6" ht="15.75" customHeight="1">
      <c r="F575" s="437"/>
    </row>
    <row r="576" spans="6:6" ht="15.75" customHeight="1">
      <c r="F576" s="437"/>
    </row>
    <row r="577" spans="6:6" ht="15.75" customHeight="1">
      <c r="F577" s="437"/>
    </row>
    <row r="578" spans="6:6" ht="15.75" customHeight="1">
      <c r="F578" s="437"/>
    </row>
    <row r="579" spans="6:6" ht="15.75" customHeight="1">
      <c r="F579" s="437"/>
    </row>
    <row r="580" spans="6:6" ht="15.75" customHeight="1">
      <c r="F580" s="437"/>
    </row>
    <row r="581" spans="6:6" ht="15.75" customHeight="1">
      <c r="F581" s="437"/>
    </row>
    <row r="582" spans="6:6" ht="15.75" customHeight="1">
      <c r="F582" s="437"/>
    </row>
    <row r="583" spans="6:6" ht="15.75" customHeight="1">
      <c r="F583" s="437"/>
    </row>
    <row r="584" spans="6:6" ht="15.75" customHeight="1">
      <c r="F584" s="437"/>
    </row>
    <row r="585" spans="6:6" ht="15.75" customHeight="1">
      <c r="F585" s="437"/>
    </row>
    <row r="586" spans="6:6" ht="15.75" customHeight="1">
      <c r="F586" s="437"/>
    </row>
    <row r="587" spans="6:6" ht="15.75" customHeight="1">
      <c r="F587" s="437"/>
    </row>
    <row r="588" spans="6:6" ht="15.75" customHeight="1">
      <c r="F588" s="437"/>
    </row>
    <row r="589" spans="6:6" ht="15.75" customHeight="1">
      <c r="F589" s="437"/>
    </row>
    <row r="590" spans="6:6" ht="15.75" customHeight="1">
      <c r="F590" s="437"/>
    </row>
    <row r="591" spans="6:6" ht="15.75" customHeight="1">
      <c r="F591" s="437"/>
    </row>
    <row r="592" spans="6:6" ht="15.75" customHeight="1">
      <c r="F592" s="437"/>
    </row>
    <row r="593" spans="6:6" ht="15.75" customHeight="1">
      <c r="F593" s="437"/>
    </row>
    <row r="594" spans="6:6" ht="15.75" customHeight="1">
      <c r="F594" s="437"/>
    </row>
    <row r="595" spans="6:6" ht="15.75" customHeight="1">
      <c r="F595" s="437"/>
    </row>
    <row r="596" spans="6:6" ht="15.75" customHeight="1">
      <c r="F596" s="437"/>
    </row>
    <row r="597" spans="6:6" ht="15.75" customHeight="1">
      <c r="F597" s="437"/>
    </row>
    <row r="598" spans="6:6" ht="15.75" customHeight="1">
      <c r="F598" s="437"/>
    </row>
    <row r="599" spans="6:6" ht="15.75" customHeight="1">
      <c r="F599" s="437"/>
    </row>
    <row r="600" spans="6:6" ht="15.75" customHeight="1">
      <c r="F600" s="437"/>
    </row>
    <row r="601" spans="6:6" ht="15.75" customHeight="1">
      <c r="F601" s="437"/>
    </row>
    <row r="602" spans="6:6" ht="15.75" customHeight="1">
      <c r="F602" s="437"/>
    </row>
    <row r="603" spans="6:6" ht="15.75" customHeight="1">
      <c r="F603" s="437"/>
    </row>
    <row r="604" spans="6:6" ht="15.75" customHeight="1">
      <c r="F604" s="437"/>
    </row>
    <row r="605" spans="6:6" ht="15.75" customHeight="1">
      <c r="F605" s="437"/>
    </row>
    <row r="606" spans="6:6" ht="15.75" customHeight="1">
      <c r="F606" s="437"/>
    </row>
    <row r="607" spans="6:6" ht="15.75" customHeight="1">
      <c r="F607" s="437"/>
    </row>
    <row r="608" spans="6:6" ht="15.75" customHeight="1">
      <c r="F608" s="437"/>
    </row>
    <row r="609" spans="6:6" ht="15.75" customHeight="1">
      <c r="F609" s="437"/>
    </row>
    <row r="610" spans="6:6" ht="15.75" customHeight="1">
      <c r="F610" s="437"/>
    </row>
    <row r="611" spans="6:6" ht="15.75" customHeight="1">
      <c r="F611" s="437"/>
    </row>
    <row r="612" spans="6:6" ht="15.75" customHeight="1">
      <c r="F612" s="437"/>
    </row>
    <row r="613" spans="6:6" ht="15.75" customHeight="1">
      <c r="F613" s="437"/>
    </row>
    <row r="614" spans="6:6" ht="15.75" customHeight="1">
      <c r="F614" s="437"/>
    </row>
    <row r="615" spans="6:6" ht="15.75" customHeight="1">
      <c r="F615" s="437"/>
    </row>
    <row r="616" spans="6:6" ht="15.75" customHeight="1">
      <c r="F616" s="437"/>
    </row>
    <row r="617" spans="6:6" ht="15.75" customHeight="1">
      <c r="F617" s="437"/>
    </row>
    <row r="618" spans="6:6" ht="15.75" customHeight="1">
      <c r="F618" s="437"/>
    </row>
    <row r="619" spans="6:6" ht="15.75" customHeight="1">
      <c r="F619" s="437"/>
    </row>
    <row r="620" spans="6:6" ht="15.75" customHeight="1">
      <c r="F620" s="437"/>
    </row>
    <row r="621" spans="6:6" ht="15.75" customHeight="1">
      <c r="F621" s="437"/>
    </row>
    <row r="622" spans="6:6" ht="15.75" customHeight="1">
      <c r="F622" s="437"/>
    </row>
    <row r="623" spans="6:6" ht="15.75" customHeight="1">
      <c r="F623" s="437"/>
    </row>
    <row r="624" spans="6:6" ht="15.75" customHeight="1">
      <c r="F624" s="437"/>
    </row>
    <row r="625" spans="6:6" ht="15.75" customHeight="1">
      <c r="F625" s="437"/>
    </row>
    <row r="626" spans="6:6" ht="15.75" customHeight="1">
      <c r="F626" s="437"/>
    </row>
    <row r="627" spans="6:6" ht="15.75" customHeight="1">
      <c r="F627" s="437"/>
    </row>
    <row r="628" spans="6:6" ht="15.75" customHeight="1">
      <c r="F628" s="437"/>
    </row>
    <row r="629" spans="6:6" ht="15.75" customHeight="1">
      <c r="F629" s="437"/>
    </row>
    <row r="630" spans="6:6" ht="15.75" customHeight="1">
      <c r="F630" s="437"/>
    </row>
    <row r="631" spans="6:6" ht="15.75" customHeight="1">
      <c r="F631" s="437"/>
    </row>
    <row r="632" spans="6:6" ht="15.75" customHeight="1">
      <c r="F632" s="437"/>
    </row>
    <row r="633" spans="6:6" ht="15.75" customHeight="1">
      <c r="F633" s="437"/>
    </row>
    <row r="634" spans="6:6" ht="15.75" customHeight="1">
      <c r="F634" s="437"/>
    </row>
    <row r="635" spans="6:6" ht="15.75" customHeight="1">
      <c r="F635" s="437"/>
    </row>
    <row r="636" spans="6:6" ht="15.75" customHeight="1">
      <c r="F636" s="437"/>
    </row>
    <row r="637" spans="6:6" ht="15.75" customHeight="1">
      <c r="F637" s="437"/>
    </row>
    <row r="638" spans="6:6" ht="15.75" customHeight="1">
      <c r="F638" s="437"/>
    </row>
    <row r="639" spans="6:6" ht="15.75" customHeight="1">
      <c r="F639" s="437"/>
    </row>
    <row r="640" spans="6:6" ht="15.75" customHeight="1">
      <c r="F640" s="437"/>
    </row>
    <row r="641" spans="6:6" ht="15.75" customHeight="1">
      <c r="F641" s="437"/>
    </row>
    <row r="642" spans="6:6" ht="15.75" customHeight="1">
      <c r="F642" s="437"/>
    </row>
    <row r="643" spans="6:6" ht="15.75" customHeight="1">
      <c r="F643" s="437"/>
    </row>
    <row r="644" spans="6:6" ht="15.75" customHeight="1">
      <c r="F644" s="437"/>
    </row>
    <row r="645" spans="6:6" ht="15.75" customHeight="1">
      <c r="F645" s="437"/>
    </row>
    <row r="646" spans="6:6" ht="15.75" customHeight="1">
      <c r="F646" s="437"/>
    </row>
    <row r="647" spans="6:6" ht="15.75" customHeight="1">
      <c r="F647" s="437"/>
    </row>
    <row r="648" spans="6:6" ht="15.75" customHeight="1">
      <c r="F648" s="437"/>
    </row>
    <row r="649" spans="6:6" ht="15.75" customHeight="1">
      <c r="F649" s="437"/>
    </row>
    <row r="650" spans="6:6" ht="15.75" customHeight="1">
      <c r="F650" s="437"/>
    </row>
    <row r="651" spans="6:6" ht="15.75" customHeight="1">
      <c r="F651" s="437"/>
    </row>
    <row r="652" spans="6:6" ht="15.75" customHeight="1">
      <c r="F652" s="437"/>
    </row>
    <row r="653" spans="6:6" ht="15.75" customHeight="1">
      <c r="F653" s="437"/>
    </row>
    <row r="654" spans="6:6" ht="15.75" customHeight="1">
      <c r="F654" s="437"/>
    </row>
    <row r="655" spans="6:6" ht="15.75" customHeight="1">
      <c r="F655" s="437"/>
    </row>
    <row r="656" spans="6:6" ht="15.75" customHeight="1">
      <c r="F656" s="437"/>
    </row>
    <row r="657" spans="6:6" ht="15.75" customHeight="1">
      <c r="F657" s="437"/>
    </row>
    <row r="658" spans="6:6" ht="15.75" customHeight="1">
      <c r="F658" s="437"/>
    </row>
    <row r="659" spans="6:6" ht="15.75" customHeight="1">
      <c r="F659" s="437"/>
    </row>
    <row r="660" spans="6:6" ht="15.75" customHeight="1">
      <c r="F660" s="437"/>
    </row>
    <row r="661" spans="6:6" ht="15.75" customHeight="1">
      <c r="F661" s="437"/>
    </row>
    <row r="662" spans="6:6" ht="15.75" customHeight="1">
      <c r="F662" s="437"/>
    </row>
    <row r="663" spans="6:6" ht="15.75" customHeight="1">
      <c r="F663" s="437"/>
    </row>
    <row r="664" spans="6:6" ht="15.75" customHeight="1">
      <c r="F664" s="437"/>
    </row>
    <row r="665" spans="6:6" ht="15.75" customHeight="1">
      <c r="F665" s="437"/>
    </row>
    <row r="666" spans="6:6" ht="15.75" customHeight="1">
      <c r="F666" s="437"/>
    </row>
    <row r="667" spans="6:6" ht="15.75" customHeight="1">
      <c r="F667" s="437"/>
    </row>
    <row r="668" spans="6:6" ht="15.75" customHeight="1">
      <c r="F668" s="437"/>
    </row>
    <row r="669" spans="6:6" ht="15.75" customHeight="1">
      <c r="F669" s="437"/>
    </row>
    <row r="670" spans="6:6" ht="15.75" customHeight="1">
      <c r="F670" s="437"/>
    </row>
    <row r="671" spans="6:6" ht="15.75" customHeight="1">
      <c r="F671" s="437"/>
    </row>
    <row r="672" spans="6:6" ht="15.75" customHeight="1">
      <c r="F672" s="437"/>
    </row>
    <row r="673" spans="6:6" ht="15.75" customHeight="1">
      <c r="F673" s="437"/>
    </row>
    <row r="674" spans="6:6" ht="15.75" customHeight="1">
      <c r="F674" s="437"/>
    </row>
    <row r="675" spans="6:6" ht="15.75" customHeight="1">
      <c r="F675" s="437"/>
    </row>
    <row r="676" spans="6:6" ht="15.75" customHeight="1">
      <c r="F676" s="437"/>
    </row>
    <row r="677" spans="6:6" ht="15.75" customHeight="1">
      <c r="F677" s="437"/>
    </row>
    <row r="678" spans="6:6" ht="15.75" customHeight="1">
      <c r="F678" s="437"/>
    </row>
    <row r="679" spans="6:6" ht="15.75" customHeight="1">
      <c r="F679" s="437"/>
    </row>
    <row r="680" spans="6:6" ht="15.75" customHeight="1">
      <c r="F680" s="437"/>
    </row>
    <row r="681" spans="6:6" ht="15.75" customHeight="1">
      <c r="F681" s="437"/>
    </row>
    <row r="682" spans="6:6" ht="15.75" customHeight="1">
      <c r="F682" s="437"/>
    </row>
    <row r="683" spans="6:6" ht="15.75" customHeight="1">
      <c r="F683" s="437"/>
    </row>
    <row r="684" spans="6:6" ht="15.75" customHeight="1">
      <c r="F684" s="437"/>
    </row>
    <row r="685" spans="6:6" ht="15.75" customHeight="1">
      <c r="F685" s="437"/>
    </row>
    <row r="686" spans="6:6" ht="15.75" customHeight="1">
      <c r="F686" s="437"/>
    </row>
    <row r="687" spans="6:6" ht="15.75" customHeight="1">
      <c r="F687" s="437"/>
    </row>
    <row r="688" spans="6:6" ht="15.75" customHeight="1">
      <c r="F688" s="437"/>
    </row>
    <row r="689" spans="6:6" ht="15.75" customHeight="1">
      <c r="F689" s="437"/>
    </row>
    <row r="690" spans="6:6" ht="15.75" customHeight="1">
      <c r="F690" s="437"/>
    </row>
    <row r="691" spans="6:6" ht="15.75" customHeight="1">
      <c r="F691" s="437"/>
    </row>
    <row r="692" spans="6:6" ht="15.75" customHeight="1">
      <c r="F692" s="437"/>
    </row>
    <row r="693" spans="6:6" ht="15.75" customHeight="1">
      <c r="F693" s="437"/>
    </row>
    <row r="694" spans="6:6" ht="15.75" customHeight="1">
      <c r="F694" s="437"/>
    </row>
    <row r="695" spans="6:6" ht="15.75" customHeight="1">
      <c r="F695" s="437"/>
    </row>
    <row r="696" spans="6:6" ht="15.75" customHeight="1">
      <c r="F696" s="437"/>
    </row>
    <row r="697" spans="6:6" ht="15.75" customHeight="1">
      <c r="F697" s="437"/>
    </row>
    <row r="698" spans="6:6" ht="15.75" customHeight="1">
      <c r="F698" s="437"/>
    </row>
    <row r="699" spans="6:6" ht="15.75" customHeight="1">
      <c r="F699" s="437"/>
    </row>
    <row r="700" spans="6:6" ht="15.75" customHeight="1">
      <c r="F700" s="437"/>
    </row>
    <row r="701" spans="6:6" ht="15.75" customHeight="1">
      <c r="F701" s="437"/>
    </row>
    <row r="702" spans="6:6" ht="15.75" customHeight="1">
      <c r="F702" s="437"/>
    </row>
    <row r="703" spans="6:6" ht="15.75" customHeight="1">
      <c r="F703" s="437"/>
    </row>
    <row r="704" spans="6:6" ht="15.75" customHeight="1">
      <c r="F704" s="437"/>
    </row>
    <row r="705" spans="6:6" ht="15.75" customHeight="1">
      <c r="F705" s="437"/>
    </row>
    <row r="706" spans="6:6" ht="15.75" customHeight="1">
      <c r="F706" s="437"/>
    </row>
    <row r="707" spans="6:6" ht="15.75" customHeight="1">
      <c r="F707" s="437"/>
    </row>
    <row r="708" spans="6:6" ht="15.75" customHeight="1">
      <c r="F708" s="437"/>
    </row>
    <row r="709" spans="6:6" ht="15.75" customHeight="1">
      <c r="F709" s="437"/>
    </row>
    <row r="710" spans="6:6" ht="15.75" customHeight="1">
      <c r="F710" s="437"/>
    </row>
    <row r="711" spans="6:6" ht="15.75" customHeight="1">
      <c r="F711" s="437"/>
    </row>
    <row r="712" spans="6:6" ht="15.75" customHeight="1">
      <c r="F712" s="437"/>
    </row>
    <row r="713" spans="6:6" ht="15.75" customHeight="1">
      <c r="F713" s="437"/>
    </row>
    <row r="714" spans="6:6" ht="15.75" customHeight="1">
      <c r="F714" s="437"/>
    </row>
    <row r="715" spans="6:6" ht="15.75" customHeight="1">
      <c r="F715" s="437"/>
    </row>
    <row r="716" spans="6:6" ht="15.75" customHeight="1">
      <c r="F716" s="437"/>
    </row>
    <row r="717" spans="6:6" ht="15.75" customHeight="1">
      <c r="F717" s="437"/>
    </row>
    <row r="718" spans="6:6" ht="15.75" customHeight="1">
      <c r="F718" s="437"/>
    </row>
    <row r="719" spans="6:6" ht="15.75" customHeight="1">
      <c r="F719" s="437"/>
    </row>
    <row r="720" spans="6:6" ht="15.75" customHeight="1">
      <c r="F720" s="437"/>
    </row>
    <row r="721" spans="6:6" ht="15.75" customHeight="1">
      <c r="F721" s="437"/>
    </row>
    <row r="722" spans="6:6" ht="15.75" customHeight="1">
      <c r="F722" s="437"/>
    </row>
    <row r="723" spans="6:6" ht="15.75" customHeight="1">
      <c r="F723" s="437"/>
    </row>
    <row r="724" spans="6:6" ht="15.75" customHeight="1">
      <c r="F724" s="437"/>
    </row>
    <row r="725" spans="6:6" ht="15.75" customHeight="1">
      <c r="F725" s="437"/>
    </row>
    <row r="726" spans="6:6" ht="15.75" customHeight="1">
      <c r="F726" s="437"/>
    </row>
    <row r="727" spans="6:6" ht="15.75" customHeight="1">
      <c r="F727" s="437"/>
    </row>
    <row r="728" spans="6:6" ht="15.75" customHeight="1">
      <c r="F728" s="437"/>
    </row>
    <row r="729" spans="6:6" ht="15.75" customHeight="1">
      <c r="F729" s="437"/>
    </row>
    <row r="730" spans="6:6" ht="15.75" customHeight="1">
      <c r="F730" s="437"/>
    </row>
    <row r="731" spans="6:6" ht="15.75" customHeight="1">
      <c r="F731" s="437"/>
    </row>
    <row r="732" spans="6:6" ht="15.75" customHeight="1">
      <c r="F732" s="437"/>
    </row>
    <row r="733" spans="6:6" ht="15.75" customHeight="1">
      <c r="F733" s="437"/>
    </row>
    <row r="734" spans="6:6" ht="15.75" customHeight="1">
      <c r="F734" s="437"/>
    </row>
    <row r="735" spans="6:6" ht="15.75" customHeight="1">
      <c r="F735" s="437"/>
    </row>
    <row r="736" spans="6:6" ht="15.75" customHeight="1">
      <c r="F736" s="437"/>
    </row>
    <row r="737" spans="6:6" ht="15.75" customHeight="1">
      <c r="F737" s="437"/>
    </row>
    <row r="738" spans="6:6" ht="15.75" customHeight="1">
      <c r="F738" s="437"/>
    </row>
    <row r="739" spans="6:6" ht="15.75" customHeight="1">
      <c r="F739" s="437"/>
    </row>
    <row r="740" spans="6:6" ht="15.75" customHeight="1">
      <c r="F740" s="437"/>
    </row>
    <row r="741" spans="6:6" ht="15.75" customHeight="1">
      <c r="F741" s="437"/>
    </row>
    <row r="742" spans="6:6" ht="15.75" customHeight="1">
      <c r="F742" s="437"/>
    </row>
    <row r="743" spans="6:6" ht="15.75" customHeight="1">
      <c r="F743" s="437"/>
    </row>
    <row r="744" spans="6:6" ht="15.75" customHeight="1">
      <c r="F744" s="437"/>
    </row>
    <row r="745" spans="6:6" ht="15.75" customHeight="1">
      <c r="F745" s="437"/>
    </row>
    <row r="746" spans="6:6" ht="15.75" customHeight="1">
      <c r="F746" s="437"/>
    </row>
    <row r="747" spans="6:6" ht="15.75" customHeight="1">
      <c r="F747" s="437"/>
    </row>
    <row r="748" spans="6:6" ht="15.75" customHeight="1">
      <c r="F748" s="437"/>
    </row>
    <row r="749" spans="6:6" ht="15.75" customHeight="1">
      <c r="F749" s="437"/>
    </row>
    <row r="750" spans="6:6" ht="15.75" customHeight="1">
      <c r="F750" s="437"/>
    </row>
    <row r="751" spans="6:6" ht="15.75" customHeight="1">
      <c r="F751" s="437"/>
    </row>
    <row r="752" spans="6:6" ht="15.75" customHeight="1">
      <c r="F752" s="437"/>
    </row>
    <row r="753" spans="6:6" ht="15.75" customHeight="1">
      <c r="F753" s="437"/>
    </row>
    <row r="754" spans="6:6" ht="15.75" customHeight="1">
      <c r="F754" s="437"/>
    </row>
    <row r="755" spans="6:6" ht="15.75" customHeight="1">
      <c r="F755" s="437"/>
    </row>
    <row r="756" spans="6:6" ht="15.75" customHeight="1">
      <c r="F756" s="437"/>
    </row>
    <row r="757" spans="6:6" ht="15.75" customHeight="1">
      <c r="F757" s="437"/>
    </row>
    <row r="758" spans="6:6" ht="15.75" customHeight="1">
      <c r="F758" s="437"/>
    </row>
    <row r="759" spans="6:6" ht="15.75" customHeight="1">
      <c r="F759" s="437"/>
    </row>
    <row r="760" spans="6:6" ht="15.75" customHeight="1">
      <c r="F760" s="437"/>
    </row>
    <row r="761" spans="6:6" ht="15.75" customHeight="1">
      <c r="F761" s="437"/>
    </row>
    <row r="762" spans="6:6" ht="15.75" customHeight="1">
      <c r="F762" s="437"/>
    </row>
    <row r="763" spans="6:6" ht="15.75" customHeight="1">
      <c r="F763" s="437"/>
    </row>
    <row r="764" spans="6:6" ht="15.75" customHeight="1">
      <c r="F764" s="437"/>
    </row>
    <row r="765" spans="6:6" ht="15.75" customHeight="1">
      <c r="F765" s="437"/>
    </row>
    <row r="766" spans="6:6" ht="15.75" customHeight="1">
      <c r="F766" s="437"/>
    </row>
    <row r="767" spans="6:6" ht="15.75" customHeight="1">
      <c r="F767" s="437"/>
    </row>
    <row r="768" spans="6:6" ht="15.75" customHeight="1">
      <c r="F768" s="437"/>
    </row>
    <row r="769" spans="6:6" ht="15.75" customHeight="1">
      <c r="F769" s="437"/>
    </row>
    <row r="770" spans="6:6" ht="15.75" customHeight="1">
      <c r="F770" s="437"/>
    </row>
    <row r="771" spans="6:6" ht="15.75" customHeight="1">
      <c r="F771" s="437"/>
    </row>
    <row r="772" spans="6:6" ht="15.75" customHeight="1">
      <c r="F772" s="437"/>
    </row>
    <row r="773" spans="6:6" ht="15.75" customHeight="1">
      <c r="F773" s="437"/>
    </row>
    <row r="774" spans="6:6" ht="15.75" customHeight="1">
      <c r="F774" s="437"/>
    </row>
    <row r="775" spans="6:6" ht="15.75" customHeight="1">
      <c r="F775" s="437"/>
    </row>
    <row r="776" spans="6:6" ht="15.75" customHeight="1">
      <c r="F776" s="437"/>
    </row>
    <row r="777" spans="6:6" ht="15.75" customHeight="1">
      <c r="F777" s="437"/>
    </row>
    <row r="778" spans="6:6" ht="15.75" customHeight="1">
      <c r="F778" s="437"/>
    </row>
    <row r="779" spans="6:6" ht="15.75" customHeight="1">
      <c r="F779" s="437"/>
    </row>
    <row r="780" spans="6:6" ht="15.75" customHeight="1">
      <c r="F780" s="437"/>
    </row>
    <row r="781" spans="6:6" ht="15.75" customHeight="1">
      <c r="F781" s="437"/>
    </row>
    <row r="782" spans="6:6" ht="15.75" customHeight="1">
      <c r="F782" s="437"/>
    </row>
    <row r="783" spans="6:6" ht="15.75" customHeight="1">
      <c r="F783" s="437"/>
    </row>
    <row r="784" spans="6:6" ht="15.75" customHeight="1">
      <c r="F784" s="437"/>
    </row>
    <row r="785" spans="6:6" ht="15.75" customHeight="1">
      <c r="F785" s="437"/>
    </row>
    <row r="786" spans="6:6" ht="15.75" customHeight="1">
      <c r="F786" s="437"/>
    </row>
    <row r="787" spans="6:6" ht="15.75" customHeight="1">
      <c r="F787" s="437"/>
    </row>
    <row r="788" spans="6:6" ht="15.75" customHeight="1">
      <c r="F788" s="437"/>
    </row>
    <row r="789" spans="6:6" ht="15.75" customHeight="1">
      <c r="F789" s="437"/>
    </row>
    <row r="790" spans="6:6" ht="15.75" customHeight="1">
      <c r="F790" s="437"/>
    </row>
    <row r="791" spans="6:6" ht="15.75" customHeight="1">
      <c r="F791" s="437"/>
    </row>
    <row r="792" spans="6:6" ht="15.75" customHeight="1">
      <c r="F792" s="437"/>
    </row>
    <row r="793" spans="6:6" ht="15.75" customHeight="1">
      <c r="F793" s="437"/>
    </row>
    <row r="794" spans="6:6" ht="15.75" customHeight="1">
      <c r="F794" s="437"/>
    </row>
    <row r="795" spans="6:6" ht="15.75" customHeight="1">
      <c r="F795" s="437"/>
    </row>
    <row r="796" spans="6:6" ht="15.75" customHeight="1">
      <c r="F796" s="437"/>
    </row>
    <row r="797" spans="6:6" ht="15.75" customHeight="1">
      <c r="F797" s="437"/>
    </row>
    <row r="798" spans="6:6" ht="15.75" customHeight="1">
      <c r="F798" s="437"/>
    </row>
    <row r="799" spans="6:6" ht="15.75" customHeight="1">
      <c r="F799" s="437"/>
    </row>
    <row r="800" spans="6:6" ht="15.75" customHeight="1">
      <c r="F800" s="437"/>
    </row>
    <row r="801" spans="6:6" ht="15.75" customHeight="1">
      <c r="F801" s="437"/>
    </row>
    <row r="802" spans="6:6" ht="15.75" customHeight="1">
      <c r="F802" s="437"/>
    </row>
    <row r="803" spans="6:6" ht="15.75" customHeight="1">
      <c r="F803" s="437"/>
    </row>
    <row r="804" spans="6:6" ht="15.75" customHeight="1">
      <c r="F804" s="437"/>
    </row>
    <row r="805" spans="6:6" ht="15.75" customHeight="1">
      <c r="F805" s="437"/>
    </row>
    <row r="806" spans="6:6" ht="15.75" customHeight="1">
      <c r="F806" s="437"/>
    </row>
    <row r="807" spans="6:6" ht="15.75" customHeight="1">
      <c r="F807" s="437"/>
    </row>
    <row r="808" spans="6:6" ht="15.75" customHeight="1">
      <c r="F808" s="437"/>
    </row>
    <row r="809" spans="6:6" ht="15.75" customHeight="1">
      <c r="F809" s="437"/>
    </row>
    <row r="810" spans="6:6" ht="15.75" customHeight="1">
      <c r="F810" s="437"/>
    </row>
    <row r="811" spans="6:6" ht="15.75" customHeight="1">
      <c r="F811" s="437"/>
    </row>
    <row r="812" spans="6:6" ht="15.75" customHeight="1">
      <c r="F812" s="437"/>
    </row>
    <row r="813" spans="6:6" ht="15.75" customHeight="1">
      <c r="F813" s="437"/>
    </row>
    <row r="814" spans="6:6" ht="15.75" customHeight="1">
      <c r="F814" s="437"/>
    </row>
    <row r="815" spans="6:6" ht="15.75" customHeight="1">
      <c r="F815" s="437"/>
    </row>
    <row r="816" spans="6:6" ht="15.75" customHeight="1">
      <c r="F816" s="437"/>
    </row>
    <row r="817" spans="6:6" ht="15.75" customHeight="1">
      <c r="F817" s="437"/>
    </row>
    <row r="818" spans="6:6" ht="15.75" customHeight="1">
      <c r="F818" s="437"/>
    </row>
    <row r="819" spans="6:6" ht="15.75" customHeight="1">
      <c r="F819" s="437"/>
    </row>
    <row r="820" spans="6:6" ht="15.75" customHeight="1">
      <c r="F820" s="437"/>
    </row>
    <row r="821" spans="6:6" ht="15.75" customHeight="1">
      <c r="F821" s="437"/>
    </row>
    <row r="822" spans="6:6" ht="15.75" customHeight="1">
      <c r="F822" s="437"/>
    </row>
    <row r="823" spans="6:6" ht="15.75" customHeight="1">
      <c r="F823" s="437"/>
    </row>
    <row r="824" spans="6:6" ht="15.75" customHeight="1">
      <c r="F824" s="437"/>
    </row>
    <row r="825" spans="6:6" ht="15.75" customHeight="1">
      <c r="F825" s="437"/>
    </row>
    <row r="826" spans="6:6" ht="15.75" customHeight="1">
      <c r="F826" s="437"/>
    </row>
    <row r="827" spans="6:6" ht="15.75" customHeight="1">
      <c r="F827" s="437"/>
    </row>
    <row r="828" spans="6:6" ht="15.75" customHeight="1">
      <c r="F828" s="437"/>
    </row>
    <row r="829" spans="6:6" ht="15.75" customHeight="1">
      <c r="F829" s="437"/>
    </row>
    <row r="830" spans="6:6" ht="15.75" customHeight="1">
      <c r="F830" s="437"/>
    </row>
    <row r="831" spans="6:6" ht="15.75" customHeight="1">
      <c r="F831" s="437"/>
    </row>
    <row r="832" spans="6:6" ht="15.75" customHeight="1">
      <c r="F832" s="437"/>
    </row>
    <row r="833" spans="6:6" ht="15.75" customHeight="1">
      <c r="F833" s="437"/>
    </row>
    <row r="834" spans="6:6" ht="15.75" customHeight="1">
      <c r="F834" s="437"/>
    </row>
    <row r="835" spans="6:6" ht="15.75" customHeight="1">
      <c r="F835" s="437"/>
    </row>
    <row r="836" spans="6:6" ht="15.75" customHeight="1">
      <c r="F836" s="437"/>
    </row>
    <row r="837" spans="6:6" ht="15.75" customHeight="1">
      <c r="F837" s="437"/>
    </row>
    <row r="838" spans="6:6" ht="15.75" customHeight="1">
      <c r="F838" s="437"/>
    </row>
    <row r="839" spans="6:6" ht="15.75" customHeight="1">
      <c r="F839" s="437"/>
    </row>
    <row r="840" spans="6:6" ht="15.75" customHeight="1">
      <c r="F840" s="437"/>
    </row>
    <row r="841" spans="6:6" ht="15.75" customHeight="1">
      <c r="F841" s="437"/>
    </row>
    <row r="842" spans="6:6" ht="15.75" customHeight="1">
      <c r="F842" s="437"/>
    </row>
    <row r="843" spans="6:6" ht="15.75" customHeight="1">
      <c r="F843" s="437"/>
    </row>
    <row r="844" spans="6:6" ht="15.75" customHeight="1">
      <c r="F844" s="437"/>
    </row>
    <row r="845" spans="6:6" ht="15.75" customHeight="1">
      <c r="F845" s="437"/>
    </row>
    <row r="846" spans="6:6" ht="15.75" customHeight="1">
      <c r="F846" s="437"/>
    </row>
    <row r="847" spans="6:6" ht="15.75" customHeight="1">
      <c r="F847" s="437"/>
    </row>
    <row r="848" spans="6:6" ht="15.75" customHeight="1">
      <c r="F848" s="437"/>
    </row>
    <row r="849" spans="6:6" ht="15.75" customHeight="1">
      <c r="F849" s="437"/>
    </row>
    <row r="850" spans="6:6" ht="15.75" customHeight="1">
      <c r="F850" s="437"/>
    </row>
    <row r="851" spans="6:6" ht="15.75" customHeight="1">
      <c r="F851" s="437"/>
    </row>
    <row r="852" spans="6:6" ht="15.75" customHeight="1">
      <c r="F852" s="437"/>
    </row>
    <row r="853" spans="6:6" ht="15.75" customHeight="1">
      <c r="F853" s="437"/>
    </row>
    <row r="854" spans="6:6" ht="15.75" customHeight="1">
      <c r="F854" s="437"/>
    </row>
    <row r="855" spans="6:6" ht="15.75" customHeight="1">
      <c r="F855" s="437"/>
    </row>
    <row r="856" spans="6:6" ht="15.75" customHeight="1">
      <c r="F856" s="437"/>
    </row>
    <row r="857" spans="6:6" ht="15.75" customHeight="1">
      <c r="F857" s="437"/>
    </row>
    <row r="858" spans="6:6" ht="15.75" customHeight="1">
      <c r="F858" s="437"/>
    </row>
    <row r="859" spans="6:6" ht="15.75" customHeight="1">
      <c r="F859" s="437"/>
    </row>
    <row r="860" spans="6:6" ht="15.75" customHeight="1">
      <c r="F860" s="437"/>
    </row>
    <row r="861" spans="6:6" ht="15.75" customHeight="1">
      <c r="F861" s="437"/>
    </row>
    <row r="862" spans="6:6" ht="15.75" customHeight="1">
      <c r="F862" s="437"/>
    </row>
    <row r="863" spans="6:6" ht="15.75" customHeight="1">
      <c r="F863" s="437"/>
    </row>
    <row r="864" spans="6:6" ht="15.75" customHeight="1">
      <c r="F864" s="437"/>
    </row>
    <row r="865" spans="6:6" ht="15.75" customHeight="1">
      <c r="F865" s="437"/>
    </row>
    <row r="866" spans="6:6" ht="15.75" customHeight="1">
      <c r="F866" s="437"/>
    </row>
    <row r="867" spans="6:6" ht="15.75" customHeight="1">
      <c r="F867" s="437"/>
    </row>
    <row r="868" spans="6:6" ht="15.75" customHeight="1">
      <c r="F868" s="437"/>
    </row>
    <row r="869" spans="6:6" ht="15.75" customHeight="1">
      <c r="F869" s="437"/>
    </row>
    <row r="870" spans="6:6" ht="15.75" customHeight="1">
      <c r="F870" s="437"/>
    </row>
    <row r="871" spans="6:6" ht="15.75" customHeight="1">
      <c r="F871" s="437"/>
    </row>
    <row r="872" spans="6:6" ht="15.75" customHeight="1">
      <c r="F872" s="437"/>
    </row>
    <row r="873" spans="6:6" ht="15.75" customHeight="1">
      <c r="F873" s="437"/>
    </row>
    <row r="874" spans="6:6" ht="15.75" customHeight="1">
      <c r="F874" s="437"/>
    </row>
    <row r="875" spans="6:6" ht="15.75" customHeight="1">
      <c r="F875" s="437"/>
    </row>
    <row r="876" spans="6:6" ht="15.75" customHeight="1">
      <c r="F876" s="437"/>
    </row>
    <row r="877" spans="6:6" ht="15.75" customHeight="1">
      <c r="F877" s="437"/>
    </row>
    <row r="878" spans="6:6" ht="15.75" customHeight="1">
      <c r="F878" s="437"/>
    </row>
    <row r="879" spans="6:6" ht="15.75" customHeight="1">
      <c r="F879" s="437"/>
    </row>
    <row r="880" spans="6:6" ht="15.75" customHeight="1">
      <c r="F880" s="437"/>
    </row>
    <row r="881" spans="6:6" ht="15.75" customHeight="1">
      <c r="F881" s="437"/>
    </row>
    <row r="882" spans="6:6" ht="15.75" customHeight="1">
      <c r="F882" s="437"/>
    </row>
    <row r="883" spans="6:6" ht="15.75" customHeight="1">
      <c r="F883" s="437"/>
    </row>
    <row r="884" spans="6:6" ht="15.75" customHeight="1">
      <c r="F884" s="437"/>
    </row>
    <row r="885" spans="6:6" ht="15.75" customHeight="1">
      <c r="F885" s="437"/>
    </row>
    <row r="886" spans="6:6" ht="15.75" customHeight="1">
      <c r="F886" s="437"/>
    </row>
    <row r="887" spans="6:6" ht="15.75" customHeight="1">
      <c r="F887" s="437"/>
    </row>
    <row r="888" spans="6:6" ht="15.75" customHeight="1">
      <c r="F888" s="437"/>
    </row>
    <row r="889" spans="6:6" ht="15.75" customHeight="1">
      <c r="F889" s="437"/>
    </row>
  </sheetData>
  <pageMargins left="0.7" right="0.7" top="0.78740157499999996" bottom="0.78740157499999996" header="0" footer="0"/>
  <pageSetup orientation="landscape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outlinePr summaryBelow="0" summaryRight="0"/>
  </sheetPr>
  <dimension ref="A1:AC516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2.6640625" defaultRowHeight="15" customHeight="1"/>
  <cols>
    <col min="1" max="1" width="11.109375" customWidth="1"/>
    <col min="2" max="2" width="23.44140625" customWidth="1"/>
    <col min="3" max="3" width="27.109375" customWidth="1"/>
    <col min="4" max="5" width="11.21875" customWidth="1"/>
    <col min="6" max="8" width="14.33203125" customWidth="1"/>
    <col min="9" max="12" width="11.109375" customWidth="1"/>
    <col min="13" max="13" width="13.109375" customWidth="1"/>
    <col min="14" max="17" width="11.109375" customWidth="1"/>
    <col min="18" max="18" width="13.33203125" customWidth="1"/>
    <col min="19" max="24" width="11.109375" customWidth="1"/>
    <col min="25" max="25" width="11.21875" customWidth="1"/>
    <col min="26" max="29" width="11.109375" customWidth="1"/>
  </cols>
  <sheetData>
    <row r="1" spans="1:29" ht="64.5" customHeight="1">
      <c r="A1" s="133"/>
      <c r="B1" s="22" t="s">
        <v>640</v>
      </c>
      <c r="C1" s="22" t="s">
        <v>2</v>
      </c>
      <c r="D1" s="171" t="str">
        <f>'Einnahmen Ausgaben'!D2</f>
        <v>Income 
(UK)</v>
      </c>
      <c r="E1" s="171" t="str">
        <f>'Einnahmen Ausgaben'!E2</f>
        <v>Income (Germany)</v>
      </c>
      <c r="F1" s="172" t="str">
        <f>'Einnahmen Ausgaben'!F2</f>
        <v>Steuer
DE
Finanzamt 2150
Gemeinde 7610</v>
      </c>
      <c r="G1" s="173" t="str">
        <f>'Einnahmen Ausgaben'!G2</f>
        <v>Steuer
(UK)</v>
      </c>
      <c r="H1" s="173" t="str">
        <f>'Einnahmen Ausgaben'!H2</f>
        <v>Krankenkasse ens.</v>
      </c>
      <c r="I1" s="174" t="str">
        <f>'Einnahmen Ausgaben'!I2</f>
        <v>Medical</v>
      </c>
      <c r="J1" s="173" t="str">
        <f>'Einnahmen Ausgaben'!J2</f>
        <v>Telephone</v>
      </c>
      <c r="K1" s="173" t="str">
        <f>'Einnahmen Ausgaben'!K2</f>
        <v>Data SIM Cards, Internet</v>
      </c>
      <c r="L1" s="173" t="str">
        <f>'Einnahmen Ausgaben'!L2</f>
        <v>Airline tickets &amp; Covid Tests</v>
      </c>
      <c r="M1" s="22" t="str">
        <f>'Einnahmen Ausgaben'!M2</f>
        <v>Taxi, Train, Toll, Parking</v>
      </c>
      <c r="N1" s="22" t="str">
        <f>'Einnahmen Ausgaben'!N2</f>
        <v>Hotel, Apartment</v>
      </c>
      <c r="O1" s="22" t="str">
        <f>'Einnahmen Ausgaben'!O2</f>
        <v>Auto</v>
      </c>
      <c r="P1" s="22" t="str">
        <f>'Einnahmen Ausgaben'!P2</f>
        <v>Office equipment, hardware, Insurance</v>
      </c>
      <c r="Q1" s="22" t="str">
        <f>'Einnahmen Ausgaben'!Q2</f>
        <v>Software Cloud Services</v>
      </c>
      <c r="R1" s="22" t="str">
        <f>'Einnahmen Ausgaben'!R2</f>
        <v>Professional fees</v>
      </c>
      <c r="S1" s="22" t="str">
        <f>'Einnahmen Ausgaben'!S2</f>
        <v>Bank charges</v>
      </c>
      <c r="T1" s="175" t="str">
        <f>'Einnahmen Ausgaben'!T2</f>
        <v>Wohnung</v>
      </c>
      <c r="U1" s="176" t="str">
        <f>'Einnahmen Ausgaben'!U2</f>
        <v>Mortgage / Hypothek</v>
      </c>
      <c r="V1" s="176" t="str">
        <f>'Einnahmen Ausgaben'!V2</f>
        <v>South Africa Pension Medical</v>
      </c>
      <c r="W1" s="176" t="str">
        <f>'Einnahmen Ausgaben'!W2</f>
        <v>Unassigned</v>
      </c>
    </row>
    <row r="2" spans="1:29" ht="39.75" hidden="1" customHeight="1">
      <c r="A2" s="227"/>
      <c r="B2" s="228" t="s">
        <v>1</v>
      </c>
      <c r="C2" s="181" t="s">
        <v>643</v>
      </c>
      <c r="D2" s="229" t="s">
        <v>156</v>
      </c>
      <c r="E2" s="22" t="s">
        <v>52</v>
      </c>
      <c r="F2" s="182" t="s">
        <v>157</v>
      </c>
      <c r="G2" s="183"/>
      <c r="H2" s="184" t="s">
        <v>157</v>
      </c>
      <c r="I2" s="185" t="s">
        <v>157</v>
      </c>
      <c r="J2" s="186">
        <v>13</v>
      </c>
      <c r="K2" s="186">
        <v>100</v>
      </c>
      <c r="L2" s="186">
        <v>146</v>
      </c>
      <c r="M2" s="186">
        <v>146</v>
      </c>
      <c r="N2" s="186">
        <v>146</v>
      </c>
      <c r="O2" s="186"/>
      <c r="P2" s="186"/>
      <c r="Q2" s="186">
        <v>183</v>
      </c>
      <c r="R2" s="186">
        <v>221</v>
      </c>
      <c r="S2" s="187" t="s">
        <v>158</v>
      </c>
      <c r="T2" s="188" t="s">
        <v>159</v>
      </c>
      <c r="U2" s="188" t="s">
        <v>160</v>
      </c>
      <c r="V2" s="189" t="s">
        <v>60</v>
      </c>
      <c r="W2" s="189" t="s">
        <v>60</v>
      </c>
      <c r="X2" s="230">
        <f>X3-X4</f>
        <v>487971.64211500273</v>
      </c>
      <c r="Y2" s="31"/>
    </row>
    <row r="3" spans="1:29" ht="30.75" hidden="1" customHeight="1">
      <c r="A3" s="76"/>
      <c r="B3" s="231">
        <v>1.1747999999999996</v>
      </c>
      <c r="C3" s="44" t="s">
        <v>761</v>
      </c>
      <c r="D3" s="86">
        <f t="shared" ref="D3:W3" si="0">SUM(D8:D15)</f>
        <v>232012.7</v>
      </c>
      <c r="E3" s="130">
        <f t="shared" si="0"/>
        <v>15776.4</v>
      </c>
      <c r="F3" s="130">
        <f t="shared" si="0"/>
        <v>13752.400000000001</v>
      </c>
      <c r="G3" s="130">
        <f t="shared" si="0"/>
        <v>250</v>
      </c>
      <c r="H3" s="130">
        <f t="shared" si="0"/>
        <v>23828.7</v>
      </c>
      <c r="I3" s="130">
        <f t="shared" si="0"/>
        <v>277.38</v>
      </c>
      <c r="J3" s="130">
        <f t="shared" si="0"/>
        <v>617.57999999999993</v>
      </c>
      <c r="K3" s="130">
        <f t="shared" si="0"/>
        <v>5863.6600000000008</v>
      </c>
      <c r="L3" s="130">
        <f t="shared" si="0"/>
        <v>6301.4400000000014</v>
      </c>
      <c r="M3" s="130">
        <f t="shared" si="0"/>
        <v>3374.1</v>
      </c>
      <c r="N3" s="130">
        <f t="shared" si="0"/>
        <v>20720</v>
      </c>
      <c r="O3" s="130">
        <f t="shared" si="0"/>
        <v>4184.8599999999997</v>
      </c>
      <c r="P3" s="130">
        <f t="shared" si="0"/>
        <v>437.2</v>
      </c>
      <c r="Q3" s="130">
        <f t="shared" si="0"/>
        <v>3158.4</v>
      </c>
      <c r="R3" s="130">
        <f t="shared" si="0"/>
        <v>5971.8799999999992</v>
      </c>
      <c r="S3" s="130">
        <f t="shared" si="0"/>
        <v>758.87999999999977</v>
      </c>
      <c r="T3" s="130">
        <f t="shared" si="0"/>
        <v>35725.420000000006</v>
      </c>
      <c r="U3" s="130">
        <f t="shared" si="0"/>
        <v>0</v>
      </c>
      <c r="V3" s="130">
        <f t="shared" si="0"/>
        <v>12438.599999999999</v>
      </c>
      <c r="W3" s="130">
        <f t="shared" si="0"/>
        <v>1500</v>
      </c>
      <c r="X3" s="232">
        <f>(D6*B3)+E6</f>
        <v>625220.52480927622</v>
      </c>
      <c r="Y3" s="18"/>
    </row>
    <row r="4" spans="1:29" ht="27.75" hidden="1" customHeight="1">
      <c r="A4" s="233"/>
      <c r="B4" s="234"/>
      <c r="C4" s="235" t="s">
        <v>762</v>
      </c>
      <c r="D4" s="236" t="e">
        <f t="shared" ref="D4:W4" si="1">SUM(#REF!)</f>
        <v>#REF!</v>
      </c>
      <c r="E4" s="130" t="e">
        <f t="shared" si="1"/>
        <v>#REF!</v>
      </c>
      <c r="F4" s="130" t="e">
        <f t="shared" si="1"/>
        <v>#REF!</v>
      </c>
      <c r="G4" s="130" t="e">
        <f t="shared" si="1"/>
        <v>#REF!</v>
      </c>
      <c r="H4" s="130" t="e">
        <f t="shared" si="1"/>
        <v>#REF!</v>
      </c>
      <c r="I4" s="130" t="e">
        <f t="shared" si="1"/>
        <v>#REF!</v>
      </c>
      <c r="J4" s="130" t="e">
        <f t="shared" si="1"/>
        <v>#REF!</v>
      </c>
      <c r="K4" s="130" t="e">
        <f t="shared" si="1"/>
        <v>#REF!</v>
      </c>
      <c r="L4" s="130" t="e">
        <f t="shared" si="1"/>
        <v>#REF!</v>
      </c>
      <c r="M4" s="130" t="e">
        <f t="shared" si="1"/>
        <v>#REF!</v>
      </c>
      <c r="N4" s="130" t="e">
        <f t="shared" si="1"/>
        <v>#REF!</v>
      </c>
      <c r="O4" s="130" t="e">
        <f t="shared" si="1"/>
        <v>#REF!</v>
      </c>
      <c r="P4" s="130" t="e">
        <f t="shared" si="1"/>
        <v>#REF!</v>
      </c>
      <c r="Q4" s="130" t="e">
        <f t="shared" si="1"/>
        <v>#REF!</v>
      </c>
      <c r="R4" s="130" t="e">
        <f t="shared" si="1"/>
        <v>#REF!</v>
      </c>
      <c r="S4" s="130" t="e">
        <f t="shared" si="1"/>
        <v>#REF!</v>
      </c>
      <c r="T4" s="130" t="e">
        <f t="shared" si="1"/>
        <v>#REF!</v>
      </c>
      <c r="U4" s="130" t="e">
        <f t="shared" si="1"/>
        <v>#REF!</v>
      </c>
      <c r="V4" s="130" t="e">
        <f t="shared" si="1"/>
        <v>#REF!</v>
      </c>
      <c r="W4" s="130" t="e">
        <f t="shared" si="1"/>
        <v>#REF!</v>
      </c>
      <c r="X4" s="232">
        <f>SUM(J6:S6)+H6</f>
        <v>137248.88269427346</v>
      </c>
      <c r="Y4" s="237"/>
    </row>
    <row r="5" spans="1:29" ht="15.75" hidden="1" customHeight="1">
      <c r="A5" s="238"/>
      <c r="B5" s="239"/>
      <c r="C5" s="239"/>
      <c r="D5" s="238"/>
      <c r="E5" s="239"/>
      <c r="F5" s="238"/>
      <c r="G5" s="238"/>
      <c r="H5" s="238">
        <v>6400</v>
      </c>
      <c r="I5" s="238"/>
      <c r="J5" s="238">
        <v>6805</v>
      </c>
      <c r="K5" s="238">
        <v>6810</v>
      </c>
      <c r="L5" s="238">
        <v>6673</v>
      </c>
      <c r="M5" s="238">
        <v>6595</v>
      </c>
      <c r="N5" s="238">
        <v>6680</v>
      </c>
      <c r="O5" s="238">
        <v>6590</v>
      </c>
      <c r="P5" s="238">
        <v>6815</v>
      </c>
      <c r="Q5" s="238">
        <v>6495</v>
      </c>
      <c r="R5" s="238">
        <v>6825</v>
      </c>
      <c r="S5" s="238">
        <v>6855</v>
      </c>
      <c r="T5" s="238"/>
      <c r="U5" s="238"/>
      <c r="V5" s="238"/>
      <c r="W5" s="238"/>
      <c r="Y5" s="240"/>
      <c r="Z5" s="241"/>
      <c r="AA5" s="241"/>
      <c r="AB5" s="241"/>
      <c r="AC5" s="241"/>
    </row>
    <row r="6" spans="1:29" ht="27.75" hidden="1" customHeight="1">
      <c r="A6" s="242" t="s">
        <v>0</v>
      </c>
      <c r="B6" s="37"/>
      <c r="C6" s="243" t="s">
        <v>763</v>
      </c>
      <c r="D6" s="244">
        <f>SUM(D8:D29)</f>
        <v>517240.89616043272</v>
      </c>
      <c r="E6" s="245">
        <f t="shared" ref="E6:F6" si="2">SUM(E8:E27)</f>
        <v>17565.919999999998</v>
      </c>
      <c r="F6" s="246">
        <f t="shared" si="2"/>
        <v>15579.400000000001</v>
      </c>
      <c r="G6" s="244">
        <f>SUM(G8:G15)</f>
        <v>250</v>
      </c>
      <c r="H6" s="246">
        <f t="shared" ref="H6:W6" si="3">SUM(H8:H27)</f>
        <v>40685.730000000003</v>
      </c>
      <c r="I6" s="246">
        <f t="shared" si="3"/>
        <v>880.21</v>
      </c>
      <c r="J6" s="246">
        <f t="shared" si="3"/>
        <v>1167.8249374</v>
      </c>
      <c r="K6" s="246">
        <f t="shared" si="3"/>
        <v>10855.538445</v>
      </c>
      <c r="L6" s="246">
        <f t="shared" si="3"/>
        <v>12712.253249200003</v>
      </c>
      <c r="M6" s="246">
        <f t="shared" si="3"/>
        <v>5933.51</v>
      </c>
      <c r="N6" s="246">
        <f t="shared" si="3"/>
        <v>38323.299200000001</v>
      </c>
      <c r="O6" s="246">
        <f t="shared" si="3"/>
        <v>8656.5282444734567</v>
      </c>
      <c r="P6" s="246">
        <f t="shared" si="3"/>
        <v>655.8</v>
      </c>
      <c r="Q6" s="246">
        <f t="shared" si="3"/>
        <v>6883.2226402000006</v>
      </c>
      <c r="R6" s="246">
        <f t="shared" si="3"/>
        <v>9869.5384149999991</v>
      </c>
      <c r="S6" s="246">
        <f t="shared" si="3"/>
        <v>1505.6375629999995</v>
      </c>
      <c r="T6" s="246">
        <f t="shared" si="3"/>
        <v>45430.830000000009</v>
      </c>
      <c r="U6" s="246">
        <f t="shared" si="3"/>
        <v>0</v>
      </c>
      <c r="V6" s="246">
        <f t="shared" si="3"/>
        <v>16584.8</v>
      </c>
      <c r="W6" s="246">
        <f t="shared" si="3"/>
        <v>1500</v>
      </c>
      <c r="Y6" s="5"/>
    </row>
    <row r="7" spans="1:29" ht="17.25" customHeight="1">
      <c r="A7" s="93"/>
      <c r="B7" s="247" t="s">
        <v>644</v>
      </c>
      <c r="C7" s="94">
        <v>0.83650000000000002</v>
      </c>
      <c r="D7" s="82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248"/>
    </row>
    <row r="8" spans="1:29" ht="17.25" customHeight="1">
      <c r="A8" s="95">
        <f>SUM(Flights!H2:H6)</f>
        <v>66</v>
      </c>
      <c r="B8" s="96" t="s">
        <v>645</v>
      </c>
      <c r="C8" s="97" t="s">
        <v>646</v>
      </c>
      <c r="D8" s="86">
        <f>SUM('Einnahmen Ausgaben'!D13:D130)+SUM('Einnahmen Ausgaben'!D140:D148)</f>
        <v>19576</v>
      </c>
      <c r="E8" s="46">
        <f>SUM('Einnahmen Ausgaben'!E13:E130)+SUM('Einnahmen Ausgaben'!E140:E148)</f>
        <v>8709.76</v>
      </c>
      <c r="F8" s="46">
        <f>SUM('Einnahmen Ausgaben'!F13:F130)+SUM('Einnahmen Ausgaben'!F140:F148)</f>
        <v>-6562.52</v>
      </c>
      <c r="G8" s="46">
        <f>SUM('Einnahmen Ausgaben'!G13:G130)+SUM('Einnahmen Ausgaben'!G140:G148)</f>
        <v>0</v>
      </c>
      <c r="H8" s="46">
        <f>SUM('Einnahmen Ausgaben'!H13:H130)+SUM('Einnahmen Ausgaben'!H140:H148)</f>
        <v>1992.16</v>
      </c>
      <c r="I8" s="46">
        <f>SUM('Einnahmen Ausgaben'!I13:I130)+SUM('Einnahmen Ausgaben'!I140:I148)</f>
        <v>0</v>
      </c>
      <c r="J8" s="46">
        <f>SUM('Einnahmen Ausgaben'!J13:J130)+SUM('Einnahmen Ausgaben'!J140:J148)</f>
        <v>68.25</v>
      </c>
      <c r="K8" s="46">
        <f>SUM('Einnahmen Ausgaben'!K13:K130)+SUM('Einnahmen Ausgaben'!K140:K148)</f>
        <v>701.12000000000023</v>
      </c>
      <c r="L8" s="46">
        <f>SUM('Einnahmen Ausgaben'!L13:L130)+SUM('Einnahmen Ausgaben'!L140:L148)</f>
        <v>2197.1700000000005</v>
      </c>
      <c r="M8" s="46">
        <f>SUM('Einnahmen Ausgaben'!M13:M130)+SUM('Einnahmen Ausgaben'!M140:M148)</f>
        <v>214.16000000000003</v>
      </c>
      <c r="N8" s="46">
        <f>SUM('Einnahmen Ausgaben'!N13:N130)+SUM('Einnahmen Ausgaben'!N140:N148)</f>
        <v>1925</v>
      </c>
      <c r="O8" s="46">
        <f>SUM('Einnahmen Ausgaben'!O13:O130)+SUM('Einnahmen Ausgaben'!O140:O148)</f>
        <v>976.84999999999991</v>
      </c>
      <c r="P8" s="46">
        <f>SUM('Einnahmen Ausgaben'!P13:P130)+SUM('Einnahmen Ausgaben'!P140:P148)</f>
        <v>206.84</v>
      </c>
      <c r="Q8" s="46">
        <f>SUM('Einnahmen Ausgaben'!Q13:Q130)+SUM('Einnahmen Ausgaben'!Q140:Q148)</f>
        <v>991.32999999999993</v>
      </c>
      <c r="R8" s="46">
        <f>SUM('Einnahmen Ausgaben'!R13:R130)+SUM('Einnahmen Ausgaben'!R140:R148)</f>
        <v>726.38</v>
      </c>
      <c r="S8" s="46">
        <f>SUM('Einnahmen Ausgaben'!S13:S130)+SUM('Einnahmen Ausgaben'!S140:S148)</f>
        <v>138.49999999999997</v>
      </c>
      <c r="T8" s="46">
        <f>SUM('Einnahmen Ausgaben'!T13:T130)+SUM('Einnahmen Ausgaben'!T140:T148)</f>
        <v>10083.44</v>
      </c>
      <c r="U8" s="46">
        <f>SUM('Einnahmen Ausgaben'!U13:U130)+SUM('Einnahmen Ausgaben'!U140:U148)</f>
        <v>0</v>
      </c>
      <c r="V8" s="46">
        <f>SUM('Einnahmen Ausgaben'!V13:V130)+SUM('Einnahmen Ausgaben'!V140:V148)</f>
        <v>4146.2</v>
      </c>
      <c r="W8" s="46">
        <f>SUM('Einnahmen Ausgaben'!W13:W130)+SUM('Einnahmen Ausgaben'!W140:W148)</f>
        <v>1000</v>
      </c>
      <c r="X8" s="46"/>
      <c r="Y8" s="249"/>
    </row>
    <row r="9" spans="1:29" ht="17.25" customHeight="1">
      <c r="A9" s="95">
        <f>Flights!Q4-A8</f>
        <v>29</v>
      </c>
      <c r="B9" s="96" t="s">
        <v>647</v>
      </c>
      <c r="C9" s="97" t="s">
        <v>648</v>
      </c>
      <c r="D9" s="86">
        <f>ROUND(D8*$A$10,2)</f>
        <v>13507.44</v>
      </c>
      <c r="E9" s="46"/>
      <c r="F9" s="46"/>
      <c r="G9" s="46"/>
      <c r="H9" s="46">
        <v>0</v>
      </c>
      <c r="I9" s="46">
        <v>0</v>
      </c>
      <c r="J9" s="46">
        <f t="shared" ref="J9:L9" si="4">ROUND(J8*$A$10,2)</f>
        <v>47.09</v>
      </c>
      <c r="K9" s="46">
        <f t="shared" si="4"/>
        <v>483.77</v>
      </c>
      <c r="L9" s="46">
        <f t="shared" si="4"/>
        <v>1516.05</v>
      </c>
      <c r="M9" s="46">
        <v>0</v>
      </c>
      <c r="N9" s="46">
        <v>0</v>
      </c>
      <c r="O9" s="46">
        <f>O8</f>
        <v>976.84999999999991</v>
      </c>
      <c r="P9" s="46">
        <v>0</v>
      </c>
      <c r="Q9" s="46">
        <f t="shared" ref="Q9:S9" si="5">ROUND(Q8*$A$10,2)</f>
        <v>684.02</v>
      </c>
      <c r="R9" s="46">
        <f t="shared" si="5"/>
        <v>501.2</v>
      </c>
      <c r="S9" s="46">
        <f t="shared" si="5"/>
        <v>95.57</v>
      </c>
      <c r="T9" s="46"/>
      <c r="U9" s="46"/>
      <c r="V9" s="46"/>
      <c r="W9" s="46"/>
      <c r="X9" s="46"/>
      <c r="Y9" s="249"/>
    </row>
    <row r="10" spans="1:29" ht="17.25" customHeight="1">
      <c r="A10" s="98">
        <f>ROUND(A8/Flights!Q4,2)</f>
        <v>0.69</v>
      </c>
      <c r="B10" s="96" t="s">
        <v>649</v>
      </c>
      <c r="C10" s="97" t="s">
        <v>650</v>
      </c>
      <c r="D10" s="86">
        <f>D8-D9</f>
        <v>6068.5599999999995</v>
      </c>
      <c r="E10" s="46"/>
      <c r="F10" s="46"/>
      <c r="G10" s="46"/>
      <c r="H10" s="46">
        <f t="shared" ref="H10:I10" si="6">H8</f>
        <v>1992.16</v>
      </c>
      <c r="I10" s="46">
        <f t="shared" si="6"/>
        <v>0</v>
      </c>
      <c r="J10" s="46">
        <f t="shared" ref="J10:L10" si="7">J8-J9</f>
        <v>21.159999999999997</v>
      </c>
      <c r="K10" s="46">
        <f t="shared" si="7"/>
        <v>217.35000000000025</v>
      </c>
      <c r="L10" s="46">
        <f t="shared" si="7"/>
        <v>681.12000000000057</v>
      </c>
      <c r="M10" s="46">
        <f t="shared" ref="M10:N10" si="8">M8</f>
        <v>214.16000000000003</v>
      </c>
      <c r="N10" s="46">
        <f t="shared" si="8"/>
        <v>1925</v>
      </c>
      <c r="O10" s="46">
        <v>0</v>
      </c>
      <c r="P10" s="46">
        <f>P8</f>
        <v>206.84</v>
      </c>
      <c r="Q10" s="46">
        <f t="shared" ref="Q10:S10" si="9">Q8-Q9</f>
        <v>307.30999999999995</v>
      </c>
      <c r="R10" s="46">
        <f t="shared" si="9"/>
        <v>225.18</v>
      </c>
      <c r="S10" s="46">
        <f t="shared" si="9"/>
        <v>42.929999999999978</v>
      </c>
      <c r="T10" s="46"/>
      <c r="U10" s="46"/>
      <c r="V10" s="46"/>
      <c r="W10" s="46"/>
      <c r="X10" s="46"/>
      <c r="Y10" s="249"/>
    </row>
    <row r="11" spans="1:29" ht="17.25" customHeight="1">
      <c r="A11" s="99"/>
      <c r="B11" s="100" t="s">
        <v>651</v>
      </c>
      <c r="C11" s="101">
        <v>0.85850000000000004</v>
      </c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89"/>
      <c r="Y11" s="250"/>
    </row>
    <row r="12" spans="1:29" ht="17.25" customHeight="1">
      <c r="A12" s="95">
        <f>SUM(Flights!H7:H18)</f>
        <v>127</v>
      </c>
      <c r="B12" s="96" t="s">
        <v>645</v>
      </c>
      <c r="C12" s="97" t="s">
        <v>646</v>
      </c>
      <c r="D12" s="86">
        <f>SUM('Einnahmen Ausgaben'!D131:D138)+SUM('Einnahmen Ausgaben'!D149:D497)</f>
        <v>96430.35</v>
      </c>
      <c r="E12" s="46">
        <f>SUM('Einnahmen Ausgaben'!E131:E138)+SUM('Einnahmen Ausgaben'!E149:E497)</f>
        <v>7066.6399999999994</v>
      </c>
      <c r="F12" s="46">
        <f>SUM('Einnahmen Ausgaben'!F131:F138)+SUM('Einnahmen Ausgaben'!F149:F497)</f>
        <v>20314.920000000002</v>
      </c>
      <c r="G12" s="46">
        <f>SUM('Einnahmen Ausgaben'!G131:G138)+SUM('Einnahmen Ausgaben'!G149:G497)</f>
        <v>250</v>
      </c>
      <c r="H12" s="46">
        <f>SUM('Einnahmen Ausgaben'!H131:H138)+SUM('Einnahmen Ausgaben'!H149:H497)</f>
        <v>9922.19</v>
      </c>
      <c r="I12" s="46">
        <f>SUM('Einnahmen Ausgaben'!I131:I138)+SUM('Einnahmen Ausgaben'!I149:I497)</f>
        <v>138.69</v>
      </c>
      <c r="J12" s="46">
        <f>SUM('Einnahmen Ausgaben'!J131:J138)+SUM('Einnahmen Ausgaben'!J149:J497)</f>
        <v>240.54</v>
      </c>
      <c r="K12" s="46">
        <f>SUM('Einnahmen Ausgaben'!K131:K138)+SUM('Einnahmen Ausgaben'!K149:K497)</f>
        <v>2230.71</v>
      </c>
      <c r="L12" s="46">
        <f>SUM('Einnahmen Ausgaben'!L131:L138)+SUM('Einnahmen Ausgaben'!L149:L497)</f>
        <v>953.54999999999984</v>
      </c>
      <c r="M12" s="46">
        <f>SUM('Einnahmen Ausgaben'!M131:M138)+SUM('Einnahmen Ausgaben'!M149:M497)</f>
        <v>1472.8899999999999</v>
      </c>
      <c r="N12" s="46">
        <f>SUM('Einnahmen Ausgaben'!N131:N138)+SUM('Einnahmen Ausgaben'!N149:N497)</f>
        <v>8435</v>
      </c>
      <c r="O12" s="46">
        <f>SUM('Einnahmen Ausgaben'!O131:O138)+SUM('Einnahmen Ausgaben'!O149:O497)</f>
        <v>1115.58</v>
      </c>
      <c r="P12" s="46">
        <f>SUM('Einnahmen Ausgaben'!P131:P138)+SUM('Einnahmen Ausgaben'!P149:P497)</f>
        <v>11.76</v>
      </c>
      <c r="Q12" s="46">
        <f>SUM('Einnahmen Ausgaben'!Q131:Q138)+SUM('Einnahmen Ausgaben'!Q149:Q497)</f>
        <v>587.87</v>
      </c>
      <c r="R12" s="46">
        <f>SUM('Einnahmen Ausgaben'!R131:R138)+SUM('Einnahmen Ausgaben'!R149:R497)</f>
        <v>2259.56</v>
      </c>
      <c r="S12" s="46">
        <f>SUM('Einnahmen Ausgaben'!S131:S138)+SUM('Einnahmen Ausgaben'!S149:S497)</f>
        <v>240.93999999999991</v>
      </c>
      <c r="T12" s="46">
        <f>SUM('Einnahmen Ausgaben'!T131:T138)+SUM('Einnahmen Ausgaben'!T149:T497)</f>
        <v>25641.980000000003</v>
      </c>
      <c r="U12" s="46">
        <f>SUM('Einnahmen Ausgaben'!U131:U138)+SUM('Einnahmen Ausgaben'!U149:U497)</f>
        <v>0</v>
      </c>
      <c r="V12" s="46">
        <f>SUM('Einnahmen Ausgaben'!V131:V138)+SUM('Einnahmen Ausgaben'!V149:V497)</f>
        <v>8292.4</v>
      </c>
      <c r="W12" s="46">
        <f>SUM('Einnahmen Ausgaben'!W131:W138)+SUM('Einnahmen Ausgaben'!W149:W497)</f>
        <v>500</v>
      </c>
      <c r="X12" s="46"/>
      <c r="Y12" s="249"/>
    </row>
    <row r="13" spans="1:29" ht="17.25" customHeight="1">
      <c r="A13" s="95">
        <f>Flights!Q6-A12</f>
        <v>143</v>
      </c>
      <c r="B13" s="96" t="s">
        <v>647</v>
      </c>
      <c r="C13" s="97" t="s">
        <v>648</v>
      </c>
      <c r="D13" s="86">
        <f>ROUND(D12*$A$14,2)</f>
        <v>45322.26</v>
      </c>
      <c r="E13" s="46"/>
      <c r="F13" s="46"/>
      <c r="G13" s="46"/>
      <c r="H13" s="46">
        <v>0</v>
      </c>
      <c r="I13" s="46">
        <v>0</v>
      </c>
      <c r="J13" s="46">
        <f t="shared" ref="J13:L13" si="10">ROUND(J12*$A$14,2)</f>
        <v>113.05</v>
      </c>
      <c r="K13" s="46">
        <f t="shared" si="10"/>
        <v>1048.43</v>
      </c>
      <c r="L13" s="46">
        <f t="shared" si="10"/>
        <v>448.17</v>
      </c>
      <c r="M13" s="46">
        <v>0</v>
      </c>
      <c r="N13" s="46">
        <v>0</v>
      </c>
      <c r="O13" s="46">
        <f>O12</f>
        <v>1115.58</v>
      </c>
      <c r="P13" s="46">
        <v>0</v>
      </c>
      <c r="Q13" s="46">
        <f t="shared" ref="Q13:S13" si="11">ROUND(Q12*$A$14,2)</f>
        <v>276.3</v>
      </c>
      <c r="R13" s="46">
        <f t="shared" si="11"/>
        <v>1061.99</v>
      </c>
      <c r="S13" s="46">
        <f t="shared" si="11"/>
        <v>113.24</v>
      </c>
      <c r="T13" s="46"/>
      <c r="U13" s="46"/>
      <c r="V13" s="46"/>
      <c r="W13" s="46"/>
      <c r="X13" s="46"/>
      <c r="Y13" s="249"/>
    </row>
    <row r="14" spans="1:29" ht="17.25" customHeight="1">
      <c r="A14" s="98">
        <f>ROUND(A12/Flights!Q6,2)</f>
        <v>0.47</v>
      </c>
      <c r="B14" s="96" t="s">
        <v>649</v>
      </c>
      <c r="C14" s="97" t="s">
        <v>650</v>
      </c>
      <c r="D14" s="86">
        <f>D12-D13</f>
        <v>51108.090000000004</v>
      </c>
      <c r="E14" s="46"/>
      <c r="F14" s="46"/>
      <c r="G14" s="46"/>
      <c r="H14" s="46">
        <f t="shared" ref="H14:I14" si="12">H12</f>
        <v>9922.19</v>
      </c>
      <c r="I14" s="46">
        <f t="shared" si="12"/>
        <v>138.69</v>
      </c>
      <c r="J14" s="46">
        <f t="shared" ref="J14:L14" si="13">J12-J13</f>
        <v>127.49</v>
      </c>
      <c r="K14" s="46">
        <f t="shared" si="13"/>
        <v>1182.28</v>
      </c>
      <c r="L14" s="46">
        <f t="shared" si="13"/>
        <v>505.37999999999982</v>
      </c>
      <c r="M14" s="46">
        <f t="shared" ref="M14:N14" si="14">M12</f>
        <v>1472.8899999999999</v>
      </c>
      <c r="N14" s="46">
        <f t="shared" si="14"/>
        <v>8435</v>
      </c>
      <c r="O14" s="46">
        <v>0</v>
      </c>
      <c r="P14" s="46">
        <f>P12</f>
        <v>11.76</v>
      </c>
      <c r="Q14" s="46">
        <f t="shared" ref="Q14:S14" si="15">Q12-Q13</f>
        <v>311.57</v>
      </c>
      <c r="R14" s="46">
        <f t="shared" si="15"/>
        <v>1197.57</v>
      </c>
      <c r="S14" s="46">
        <f t="shared" si="15"/>
        <v>127.69999999999992</v>
      </c>
      <c r="T14" s="46"/>
      <c r="U14" s="46"/>
      <c r="V14" s="46"/>
      <c r="W14" s="46"/>
      <c r="X14" s="46"/>
      <c r="Y14" s="249"/>
    </row>
    <row r="15" spans="1:29" ht="17.25" customHeight="1">
      <c r="A15" s="99"/>
      <c r="B15" s="100" t="s">
        <v>764</v>
      </c>
      <c r="C15" s="100">
        <v>0.88278000000000001</v>
      </c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89"/>
      <c r="Y15" s="250"/>
    </row>
    <row r="16" spans="1:29" ht="15.75" customHeight="1">
      <c r="A16" s="95">
        <f>SUM(Flights!H19:H23)</f>
        <v>40</v>
      </c>
      <c r="B16" s="96" t="s">
        <v>645</v>
      </c>
      <c r="C16" s="97" t="s">
        <v>646</v>
      </c>
      <c r="D16" s="86">
        <f>SUM('Einnahmen Ausgaben'!D499:D615)+SUM('Einnahmen Ausgaben'!D616)</f>
        <v>30015.16</v>
      </c>
      <c r="E16" s="46">
        <f>SUM('Einnahmen Ausgaben'!E499:E615)+SUM('Einnahmen Ausgaben'!E616)</f>
        <v>1789.5199999999998</v>
      </c>
      <c r="F16" s="46">
        <f>SUM('Einnahmen Ausgaben'!F499:F615)+SUM('Einnahmen Ausgaben'!F616)</f>
        <v>1827</v>
      </c>
      <c r="G16" s="46">
        <f>SUM('Einnahmen Ausgaben'!G499:G615)+SUM('Einnahmen Ausgaben'!G616)</f>
        <v>1</v>
      </c>
      <c r="H16" s="46">
        <f>SUM('Einnahmen Ausgaben'!H499:H615)+SUM('Einnahmen Ausgaben'!H616)</f>
        <v>2471.34</v>
      </c>
      <c r="I16" s="46">
        <f>SUM('Einnahmen Ausgaben'!I499:I615)+SUM('Einnahmen Ausgaben'!I616)</f>
        <v>232.07</v>
      </c>
      <c r="J16" s="46">
        <f>SUM('Einnahmen Ausgaben'!J499:J615)+SUM('Einnahmen Ausgaben'!J616)</f>
        <v>60.910000000000004</v>
      </c>
      <c r="K16" s="46">
        <f>SUM('Einnahmen Ausgaben'!K499:K615)+SUM('Einnahmen Ausgaben'!K616)</f>
        <v>489.28000000000014</v>
      </c>
      <c r="L16" s="46">
        <f>SUM('Einnahmen Ausgaben'!L499:L615)+SUM('Einnahmen Ausgaben'!L616)</f>
        <v>1212.83</v>
      </c>
      <c r="M16" s="46">
        <f>SUM('Einnahmen Ausgaben'!M499:M615)+SUM('Einnahmen Ausgaben'!M616)</f>
        <v>436.17999999999995</v>
      </c>
      <c r="N16" s="46">
        <f>SUM('Einnahmen Ausgaben'!N499:N615)+SUM('Einnahmen Ausgaben'!N616)</f>
        <v>3621.6495999999997</v>
      </c>
      <c r="O16" s="46">
        <f>SUM('Einnahmen Ausgaben'!O499:O615)+SUM('Einnahmen Ausgaben'!O616)</f>
        <v>493.10485519999997</v>
      </c>
      <c r="P16" s="46">
        <f>SUM('Einnahmen Ausgaben'!P499:P615)+SUM('Einnahmen Ausgaben'!P616)</f>
        <v>0</v>
      </c>
      <c r="Q16" s="46">
        <f>SUM('Einnahmen Ausgaben'!Q499:Q615)+SUM('Einnahmen Ausgaben'!Q616)</f>
        <v>804.98</v>
      </c>
      <c r="R16" s="46">
        <f>SUM('Einnahmen Ausgaben'!R499:R615)+SUM('Einnahmen Ausgaben'!R616)</f>
        <v>0</v>
      </c>
      <c r="S16" s="46">
        <f>SUM('Einnahmen Ausgaben'!S499:S615)+SUM('Einnahmen Ausgaben'!S616)</f>
        <v>113.93</v>
      </c>
      <c r="T16" s="46">
        <f>SUM('Einnahmen Ausgaben'!T499:T615)+SUM('Einnahmen Ausgaben'!T616)</f>
        <v>9705.4100000000017</v>
      </c>
      <c r="U16" s="46">
        <f>SUM('Einnahmen Ausgaben'!U499:U615)+SUM('Einnahmen Ausgaben'!U616)</f>
        <v>0</v>
      </c>
      <c r="V16" s="46">
        <f>SUM('Einnahmen Ausgaben'!V499:V615)+SUM('Einnahmen Ausgaben'!V616)</f>
        <v>4146.2</v>
      </c>
      <c r="W16" s="46">
        <f>SUM('Einnahmen Ausgaben'!W499:W615)+SUM('Einnahmen Ausgaben'!W616)</f>
        <v>0</v>
      </c>
      <c r="X16" s="46"/>
      <c r="Y16" s="249"/>
    </row>
    <row r="17" spans="1:29" ht="15.75" customHeight="1">
      <c r="A17" s="95">
        <f>Flights!Q8-A16</f>
        <v>55</v>
      </c>
      <c r="B17" s="96" t="s">
        <v>647</v>
      </c>
      <c r="C17" s="97" t="s">
        <v>648</v>
      </c>
      <c r="D17" s="86">
        <f>ROUND(D16*$A$14,2)</f>
        <v>14107.13</v>
      </c>
      <c r="E17" s="46"/>
      <c r="F17" s="46"/>
      <c r="G17" s="46"/>
      <c r="H17" s="46">
        <v>0</v>
      </c>
      <c r="I17" s="46">
        <v>0</v>
      </c>
      <c r="J17" s="46">
        <f t="shared" ref="J17:L17" si="16">ROUND(J16*$A$18,2)</f>
        <v>25.58</v>
      </c>
      <c r="K17" s="46">
        <f t="shared" si="16"/>
        <v>205.5</v>
      </c>
      <c r="L17" s="46">
        <f t="shared" si="16"/>
        <v>509.39</v>
      </c>
      <c r="M17" s="46">
        <v>0</v>
      </c>
      <c r="N17" s="46">
        <v>0</v>
      </c>
      <c r="O17" s="46">
        <f>O16</f>
        <v>493.10485519999997</v>
      </c>
      <c r="P17" s="46">
        <v>0</v>
      </c>
      <c r="Q17" s="46">
        <f t="shared" ref="Q17:S17" si="17">ROUND(Q16*$A$18,2)</f>
        <v>338.09</v>
      </c>
      <c r="R17" s="46">
        <f t="shared" si="17"/>
        <v>0</v>
      </c>
      <c r="S17" s="46">
        <f t="shared" si="17"/>
        <v>47.85</v>
      </c>
      <c r="T17" s="46"/>
      <c r="U17" s="46"/>
      <c r="V17" s="46"/>
      <c r="W17" s="46"/>
      <c r="X17" s="46"/>
      <c r="Y17" s="249"/>
    </row>
    <row r="18" spans="1:29" ht="15.75" customHeight="1">
      <c r="A18" s="98">
        <f>ROUND(A16/Flights!Q8,2)</f>
        <v>0.42</v>
      </c>
      <c r="B18" s="96"/>
      <c r="C18" s="97" t="s">
        <v>650</v>
      </c>
      <c r="D18" s="86">
        <f>D16-D17</f>
        <v>15908.03</v>
      </c>
      <c r="E18" s="46"/>
      <c r="F18" s="46"/>
      <c r="G18" s="46"/>
      <c r="H18" s="46">
        <f t="shared" ref="H18:I18" si="18">H16</f>
        <v>2471.34</v>
      </c>
      <c r="I18" s="46">
        <f t="shared" si="18"/>
        <v>232.07</v>
      </c>
      <c r="J18" s="46">
        <f t="shared" ref="J18:L18" si="19">J16-J17</f>
        <v>35.330000000000005</v>
      </c>
      <c r="K18" s="46">
        <f t="shared" si="19"/>
        <v>283.78000000000014</v>
      </c>
      <c r="L18" s="46">
        <f t="shared" si="19"/>
        <v>703.43999999999994</v>
      </c>
      <c r="M18" s="46">
        <f t="shared" ref="M18:N18" si="20">M16</f>
        <v>436.17999999999995</v>
      </c>
      <c r="N18" s="46">
        <f t="shared" si="20"/>
        <v>3621.6495999999997</v>
      </c>
      <c r="O18" s="46">
        <v>0</v>
      </c>
      <c r="P18" s="46">
        <f>P16</f>
        <v>0</v>
      </c>
      <c r="Q18" s="46">
        <f t="shared" ref="Q18:S18" si="21">Q16-Q17</f>
        <v>466.89000000000004</v>
      </c>
      <c r="R18" s="46">
        <f t="shared" si="21"/>
        <v>0</v>
      </c>
      <c r="S18" s="46">
        <f t="shared" si="21"/>
        <v>66.080000000000013</v>
      </c>
      <c r="T18" s="46"/>
      <c r="U18" s="46"/>
      <c r="V18" s="46"/>
      <c r="W18" s="46"/>
      <c r="X18" s="46"/>
      <c r="Y18" s="249"/>
    </row>
    <row r="19" spans="1:29" ht="15.75" customHeight="1">
      <c r="A19" s="76"/>
      <c r="B19" s="76"/>
      <c r="C19" s="7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46"/>
      <c r="Y19" s="18"/>
    </row>
    <row r="20" spans="1:29" ht="15.75" customHeight="1">
      <c r="A20" s="76"/>
      <c r="B20" s="88" t="s">
        <v>665</v>
      </c>
      <c r="C20" s="88" t="s">
        <v>766</v>
      </c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46"/>
      <c r="Y20" s="18"/>
    </row>
    <row r="21" spans="1:29" ht="15.75" customHeight="1">
      <c r="A21" s="76"/>
      <c r="B21" s="257" t="s">
        <v>767</v>
      </c>
      <c r="C21" s="76"/>
      <c r="D21" s="8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18"/>
    </row>
    <row r="22" spans="1:29" ht="15.75" customHeight="1">
      <c r="A22" s="76"/>
      <c r="B22" s="76"/>
      <c r="C22" s="76"/>
      <c r="D22" s="8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18"/>
    </row>
    <row r="23" spans="1:29" ht="15.75" customHeight="1">
      <c r="A23" s="76"/>
      <c r="B23" s="115" t="s">
        <v>666</v>
      </c>
      <c r="C23" s="116" t="s">
        <v>667</v>
      </c>
      <c r="D23" s="117">
        <f>D13+D17</f>
        <v>59429.39</v>
      </c>
      <c r="E23" s="118"/>
      <c r="F23" s="118"/>
      <c r="G23" s="118"/>
      <c r="H23" s="119">
        <f t="shared" ref="H23:S23" si="22">(H13*$C$11)+(H17*$C$15)</f>
        <v>0</v>
      </c>
      <c r="I23" s="119">
        <f t="shared" si="22"/>
        <v>0</v>
      </c>
      <c r="J23" s="119">
        <f t="shared" si="22"/>
        <v>119.6349374</v>
      </c>
      <c r="K23" s="119">
        <f t="shared" si="22"/>
        <v>1081.488445</v>
      </c>
      <c r="L23" s="119">
        <f t="shared" si="22"/>
        <v>834.43324920000009</v>
      </c>
      <c r="M23" s="119">
        <f t="shared" si="22"/>
        <v>0</v>
      </c>
      <c r="N23" s="119">
        <f t="shared" si="22"/>
        <v>0</v>
      </c>
      <c r="O23" s="119">
        <f t="shared" si="22"/>
        <v>1393.0285340734558</v>
      </c>
      <c r="P23" s="119">
        <f t="shared" si="22"/>
        <v>0</v>
      </c>
      <c r="Q23" s="119">
        <f t="shared" si="22"/>
        <v>535.66264019999994</v>
      </c>
      <c r="R23" s="119">
        <f t="shared" si="22"/>
        <v>911.71841500000005</v>
      </c>
      <c r="S23" s="120">
        <f t="shared" si="22"/>
        <v>139.45756299999999</v>
      </c>
      <c r="T23" s="46"/>
      <c r="U23" s="46"/>
      <c r="V23" s="46"/>
      <c r="W23" s="46"/>
      <c r="X23" s="110">
        <f>D23-SUM(E23:S23)</f>
        <v>54413.966216126544</v>
      </c>
      <c r="Y23" s="18"/>
    </row>
    <row r="24" spans="1:29" ht="15.75" customHeight="1">
      <c r="A24" s="76"/>
      <c r="B24" s="76"/>
      <c r="C24" s="76"/>
      <c r="D24" s="8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18"/>
    </row>
    <row r="25" spans="1:29" ht="15.75" customHeight="1">
      <c r="A25" s="76"/>
      <c r="B25" s="76"/>
      <c r="C25" s="76"/>
      <c r="D25" s="8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18"/>
    </row>
    <row r="26" spans="1:29" ht="33" customHeight="1">
      <c r="A26" s="76"/>
      <c r="B26" s="121" t="s">
        <v>668</v>
      </c>
      <c r="C26" s="122" t="s">
        <v>2150</v>
      </c>
      <c r="D26" s="123">
        <f>E8+E12+(D8/C7)+(D12/C11)</f>
        <v>151502.89967398203</v>
      </c>
      <c r="E26" s="123"/>
      <c r="F26" s="123"/>
      <c r="G26" s="123"/>
      <c r="H26" s="124">
        <f t="shared" ref="H26:S26" si="23">H8+H12</f>
        <v>11914.35</v>
      </c>
      <c r="I26" s="123">
        <f t="shared" si="23"/>
        <v>138.69</v>
      </c>
      <c r="J26" s="124">
        <f t="shared" si="23"/>
        <v>308.78999999999996</v>
      </c>
      <c r="K26" s="124">
        <f t="shared" si="23"/>
        <v>2931.8300000000004</v>
      </c>
      <c r="L26" s="124">
        <f t="shared" si="23"/>
        <v>3150.7200000000003</v>
      </c>
      <c r="M26" s="124">
        <f t="shared" si="23"/>
        <v>1687.05</v>
      </c>
      <c r="N26" s="124">
        <f t="shared" si="23"/>
        <v>10360</v>
      </c>
      <c r="O26" s="124">
        <f t="shared" si="23"/>
        <v>2092.4299999999998</v>
      </c>
      <c r="P26" s="124">
        <f t="shared" si="23"/>
        <v>218.6</v>
      </c>
      <c r="Q26" s="124">
        <f t="shared" si="23"/>
        <v>1579.1999999999998</v>
      </c>
      <c r="R26" s="124">
        <f t="shared" si="23"/>
        <v>2985.94</v>
      </c>
      <c r="S26" s="124">
        <f t="shared" si="23"/>
        <v>379.43999999999988</v>
      </c>
      <c r="T26" s="46"/>
      <c r="U26" s="46"/>
      <c r="V26" s="46"/>
      <c r="W26" s="46"/>
      <c r="X26" s="125">
        <f>D26-(SUM(E26:S26)-I26+600)</f>
        <v>113294.54967398202</v>
      </c>
      <c r="Y26" s="11"/>
      <c r="Z26" s="87"/>
      <c r="AA26" s="87"/>
      <c r="AB26" s="87"/>
      <c r="AC26" s="87"/>
    </row>
    <row r="27" spans="1:29" ht="15.75" customHeight="1">
      <c r="A27" s="76"/>
      <c r="B27" s="7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18"/>
    </row>
    <row r="28" spans="1:29" ht="15.75" customHeight="1">
      <c r="A28" s="76"/>
      <c r="B28" s="7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18"/>
    </row>
    <row r="29" spans="1:29" ht="15.75" customHeight="1">
      <c r="A29" s="76"/>
      <c r="B29" s="76"/>
      <c r="C29" s="88" t="s">
        <v>2151</v>
      </c>
      <c r="D29" s="86">
        <f>(0.2*37500)+(0.4*(X23-37500))</f>
        <v>14265.586486450618</v>
      </c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18"/>
    </row>
    <row r="30" spans="1:29" ht="15.75" customHeight="1">
      <c r="A30" s="76"/>
      <c r="B30" s="76"/>
      <c r="C30" s="88" t="s">
        <v>2152</v>
      </c>
      <c r="D30" s="46">
        <f>40600</f>
        <v>40600</v>
      </c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18"/>
    </row>
    <row r="31" spans="1:29" ht="15.75" customHeight="1">
      <c r="A31" s="76"/>
      <c r="B31" s="76"/>
      <c r="C31" s="76"/>
      <c r="D31" s="8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18"/>
    </row>
    <row r="32" spans="1:29" ht="15.75" customHeight="1">
      <c r="A32" s="76"/>
      <c r="C32" s="88" t="s">
        <v>776</v>
      </c>
      <c r="D32" s="8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18"/>
    </row>
    <row r="33" spans="1:25" ht="15.75" customHeight="1">
      <c r="A33" s="76"/>
      <c r="B33" s="76"/>
      <c r="C33" s="438" t="s">
        <v>2153</v>
      </c>
      <c r="D33" s="439" t="e">
        <f>D37+D35</f>
        <v>#REF!</v>
      </c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18"/>
    </row>
    <row r="34" spans="1:25" ht="15.75" customHeight="1">
      <c r="A34" s="76"/>
      <c r="B34" s="76"/>
      <c r="C34" s="88" t="s">
        <v>2154</v>
      </c>
      <c r="D34" s="86" t="e">
        <f>SUM('Einnahmen Ausgaben'!D131:D607)-#REF!</f>
        <v>#REF!</v>
      </c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18"/>
    </row>
    <row r="35" spans="1:25" ht="15.75" customHeight="1">
      <c r="A35" s="76"/>
      <c r="B35" s="76"/>
      <c r="C35" s="440">
        <f>(A12+A16)/365</f>
        <v>0.45753424657534247</v>
      </c>
      <c r="D35" s="86" t="e">
        <f>D34*C35</f>
        <v>#REF!</v>
      </c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18"/>
    </row>
    <row r="36" spans="1:25" ht="15.75" customHeight="1">
      <c r="A36" s="76"/>
      <c r="B36" s="76"/>
      <c r="C36" s="88" t="s">
        <v>547</v>
      </c>
      <c r="D36" s="86" t="e">
        <f>#REF!</f>
        <v>#REF!</v>
      </c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18"/>
    </row>
    <row r="37" spans="1:25" ht="15.75" customHeight="1">
      <c r="A37" s="76"/>
      <c r="B37" s="76"/>
      <c r="C37" s="440">
        <f>C35</f>
        <v>0.45753424657534247</v>
      </c>
      <c r="D37" s="86" t="e">
        <f>D36*C37</f>
        <v>#REF!</v>
      </c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18"/>
    </row>
    <row r="38" spans="1:25" ht="15.75" customHeight="1">
      <c r="A38" s="76"/>
      <c r="B38" s="76"/>
      <c r="C38" s="76"/>
      <c r="D38" s="8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18"/>
    </row>
    <row r="39" spans="1:25" ht="15.75" customHeight="1">
      <c r="A39" s="76"/>
      <c r="B39" s="76"/>
      <c r="C39" s="76"/>
      <c r="D39" s="8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18"/>
    </row>
    <row r="40" spans="1:25" ht="15.75" customHeight="1">
      <c r="A40" s="76"/>
      <c r="B40" s="76"/>
      <c r="C40" s="76"/>
      <c r="D40" s="8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18"/>
    </row>
    <row r="41" spans="1:25" ht="15.75" customHeight="1">
      <c r="A41" s="76"/>
      <c r="B41" s="76"/>
      <c r="C41" s="76"/>
      <c r="D41" s="8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18"/>
    </row>
    <row r="42" spans="1:25" ht="15.75" customHeight="1">
      <c r="A42" s="76"/>
      <c r="B42" s="76"/>
      <c r="C42" s="76"/>
    </row>
    <row r="43" spans="1:25" ht="15.75" customHeight="1">
      <c r="A43" s="76"/>
      <c r="B43" s="76"/>
      <c r="C43" s="76"/>
    </row>
    <row r="44" spans="1:25" ht="15.75" customHeight="1">
      <c r="A44" s="76"/>
      <c r="B44" s="76"/>
      <c r="C44" s="76"/>
    </row>
    <row r="45" spans="1:25" ht="15.75" customHeight="1">
      <c r="A45" s="76"/>
      <c r="B45" s="76"/>
      <c r="C45" s="76"/>
    </row>
    <row r="46" spans="1:25" ht="15.75" customHeight="1">
      <c r="A46" s="76"/>
      <c r="B46" s="76"/>
      <c r="C46" s="76"/>
    </row>
    <row r="47" spans="1:25" ht="15.75" customHeight="1">
      <c r="A47" s="76"/>
      <c r="B47" s="76"/>
      <c r="C47" s="76"/>
    </row>
    <row r="48" spans="1:25" ht="15.75" customHeight="1">
      <c r="A48" s="76"/>
      <c r="B48" s="76"/>
      <c r="C48" s="76"/>
    </row>
    <row r="49" spans="1:3" ht="15.75" customHeight="1">
      <c r="A49" s="76"/>
      <c r="B49" s="76"/>
      <c r="C49" s="76"/>
    </row>
    <row r="50" spans="1:3" ht="15.75" customHeight="1">
      <c r="A50" s="76"/>
      <c r="B50" s="76"/>
      <c r="C50" s="76"/>
    </row>
    <row r="51" spans="1:3" ht="15.75" customHeight="1">
      <c r="A51" s="76"/>
      <c r="B51" s="76"/>
      <c r="C51" s="76"/>
    </row>
    <row r="52" spans="1:3" ht="15.75" customHeight="1">
      <c r="A52" s="76"/>
      <c r="B52" s="76"/>
      <c r="C52" s="76"/>
    </row>
    <row r="53" spans="1:3" ht="15.75" customHeight="1">
      <c r="A53" s="76"/>
      <c r="B53" s="76"/>
      <c r="C53" s="76"/>
    </row>
    <row r="54" spans="1:3" ht="15.75" customHeight="1">
      <c r="A54" s="76"/>
      <c r="B54" s="76"/>
      <c r="C54" s="76"/>
    </row>
    <row r="55" spans="1:3" ht="15.75" customHeight="1">
      <c r="A55" s="76"/>
      <c r="B55" s="76"/>
      <c r="C55" s="76"/>
    </row>
    <row r="56" spans="1:3" ht="15.75" customHeight="1">
      <c r="A56" s="76"/>
      <c r="B56" s="76"/>
      <c r="C56" s="76"/>
    </row>
    <row r="57" spans="1:3" ht="15.75" customHeight="1">
      <c r="A57" s="76"/>
      <c r="B57" s="76"/>
      <c r="C57" s="76"/>
    </row>
    <row r="58" spans="1:3" ht="15.75" customHeight="1">
      <c r="A58" s="76"/>
      <c r="B58" s="76"/>
      <c r="C58" s="76"/>
    </row>
    <row r="59" spans="1:3" ht="15.75" customHeight="1">
      <c r="A59" s="76"/>
      <c r="B59" s="76"/>
      <c r="C59" s="76"/>
    </row>
    <row r="60" spans="1:3" ht="15.75" customHeight="1">
      <c r="A60" s="76"/>
      <c r="B60" s="76"/>
      <c r="C60" s="76"/>
    </row>
    <row r="61" spans="1:3" ht="15.75" customHeight="1">
      <c r="A61" s="76"/>
      <c r="B61" s="76"/>
      <c r="C61" s="76"/>
    </row>
    <row r="62" spans="1:3" ht="15.75" customHeight="1">
      <c r="A62" s="76"/>
      <c r="B62" s="76"/>
      <c r="C62" s="76"/>
    </row>
    <row r="63" spans="1:3" ht="15.75" customHeight="1">
      <c r="A63" s="131"/>
      <c r="C63" s="132"/>
    </row>
    <row r="64" spans="1:3" ht="15.75" customHeight="1">
      <c r="A64" s="131"/>
      <c r="C64" s="132"/>
    </row>
    <row r="65" spans="1:3" ht="15.75" customHeight="1">
      <c r="A65" s="131"/>
      <c r="C65" s="132"/>
    </row>
    <row r="66" spans="1:3" ht="15.75" customHeight="1">
      <c r="A66" s="131"/>
      <c r="C66" s="132"/>
    </row>
    <row r="67" spans="1:3" ht="15.75" customHeight="1">
      <c r="A67" s="131"/>
      <c r="C67" s="132"/>
    </row>
    <row r="68" spans="1:3" ht="15.75" customHeight="1">
      <c r="A68" s="131"/>
      <c r="C68" s="132"/>
    </row>
    <row r="69" spans="1:3" ht="15.75" customHeight="1">
      <c r="A69" s="131"/>
      <c r="C69" s="132"/>
    </row>
    <row r="70" spans="1:3" ht="15.75" customHeight="1">
      <c r="A70" s="131"/>
      <c r="C70" s="132"/>
    </row>
    <row r="71" spans="1:3" ht="15.75" customHeight="1">
      <c r="A71" s="131"/>
      <c r="C71" s="132"/>
    </row>
    <row r="72" spans="1:3" ht="15.75" customHeight="1">
      <c r="A72" s="131"/>
      <c r="C72" s="132"/>
    </row>
    <row r="73" spans="1:3" ht="15.75" customHeight="1">
      <c r="A73" s="131"/>
      <c r="C73" s="132"/>
    </row>
    <row r="74" spans="1:3" ht="15.75" customHeight="1">
      <c r="A74" s="131"/>
      <c r="C74" s="132"/>
    </row>
    <row r="75" spans="1:3" ht="15.75" customHeight="1">
      <c r="A75" s="131"/>
      <c r="C75" s="132"/>
    </row>
    <row r="76" spans="1:3" ht="15.75" customHeight="1">
      <c r="A76" s="131"/>
      <c r="C76" s="132"/>
    </row>
    <row r="77" spans="1:3" ht="15.75" customHeight="1">
      <c r="A77" s="131"/>
      <c r="C77" s="132"/>
    </row>
    <row r="78" spans="1:3" ht="15.75" customHeight="1">
      <c r="A78" s="131"/>
      <c r="C78" s="132"/>
    </row>
    <row r="79" spans="1:3" ht="15.75" customHeight="1">
      <c r="A79" s="131"/>
      <c r="C79" s="132"/>
    </row>
    <row r="80" spans="1:3" ht="15.75" customHeight="1">
      <c r="A80" s="131"/>
      <c r="C80" s="132"/>
    </row>
    <row r="81" spans="1:3" ht="15.75" customHeight="1">
      <c r="A81" s="131"/>
      <c r="C81" s="132"/>
    </row>
    <row r="82" spans="1:3" ht="15.75" customHeight="1">
      <c r="A82" s="131"/>
      <c r="C82" s="132"/>
    </row>
    <row r="83" spans="1:3" ht="15.75" customHeight="1">
      <c r="A83" s="131"/>
      <c r="C83" s="132"/>
    </row>
    <row r="84" spans="1:3" ht="15.75" customHeight="1">
      <c r="A84" s="131"/>
      <c r="C84" s="132"/>
    </row>
    <row r="85" spans="1:3" ht="15.75" customHeight="1">
      <c r="A85" s="131"/>
      <c r="C85" s="132"/>
    </row>
    <row r="86" spans="1:3" ht="15.75" customHeight="1">
      <c r="A86" s="131"/>
      <c r="C86" s="132"/>
    </row>
    <row r="87" spans="1:3" ht="15.75" customHeight="1">
      <c r="A87" s="131"/>
      <c r="C87" s="132"/>
    </row>
    <row r="88" spans="1:3" ht="15.75" customHeight="1">
      <c r="A88" s="131"/>
      <c r="C88" s="132"/>
    </row>
    <row r="89" spans="1:3" ht="15.75" customHeight="1">
      <c r="A89" s="131"/>
      <c r="C89" s="132"/>
    </row>
    <row r="90" spans="1:3" ht="15.75" customHeight="1">
      <c r="A90" s="131"/>
      <c r="C90" s="132"/>
    </row>
    <row r="91" spans="1:3" ht="15.75" customHeight="1">
      <c r="A91" s="131"/>
      <c r="C91" s="132"/>
    </row>
    <row r="92" spans="1:3" ht="15.75" customHeight="1">
      <c r="A92" s="131"/>
      <c r="C92" s="132"/>
    </row>
    <row r="93" spans="1:3" ht="15.75" customHeight="1">
      <c r="A93" s="131"/>
      <c r="C93" s="132"/>
    </row>
    <row r="94" spans="1:3" ht="15.75" customHeight="1">
      <c r="A94" s="131"/>
      <c r="C94" s="132"/>
    </row>
    <row r="95" spans="1:3" ht="15.75" customHeight="1">
      <c r="A95" s="131"/>
      <c r="C95" s="132"/>
    </row>
    <row r="96" spans="1:3" ht="15.75" customHeight="1">
      <c r="A96" s="131"/>
      <c r="C96" s="132"/>
    </row>
    <row r="97" spans="1:3" ht="15.75" customHeight="1">
      <c r="A97" s="131"/>
      <c r="C97" s="132"/>
    </row>
    <row r="98" spans="1:3" ht="15.75" customHeight="1">
      <c r="A98" s="131"/>
      <c r="C98" s="132"/>
    </row>
    <row r="99" spans="1:3" ht="15.75" customHeight="1">
      <c r="A99" s="131"/>
      <c r="C99" s="132"/>
    </row>
    <row r="100" spans="1:3" ht="15.75" customHeight="1">
      <c r="A100" s="131"/>
      <c r="C100" s="132"/>
    </row>
    <row r="101" spans="1:3" ht="15.75" customHeight="1">
      <c r="A101" s="131"/>
      <c r="C101" s="132"/>
    </row>
    <row r="102" spans="1:3" ht="15.75" customHeight="1">
      <c r="A102" s="131"/>
      <c r="C102" s="132"/>
    </row>
    <row r="103" spans="1:3" ht="15.75" customHeight="1">
      <c r="A103" s="131"/>
      <c r="C103" s="132"/>
    </row>
    <row r="104" spans="1:3" ht="15.75" customHeight="1">
      <c r="A104" s="131"/>
      <c r="C104" s="132"/>
    </row>
    <row r="105" spans="1:3" ht="15.75" customHeight="1">
      <c r="A105" s="131"/>
      <c r="C105" s="132"/>
    </row>
    <row r="106" spans="1:3" ht="15.75" customHeight="1">
      <c r="A106" s="131"/>
      <c r="C106" s="132"/>
    </row>
    <row r="107" spans="1:3" ht="15.75" customHeight="1">
      <c r="A107" s="131"/>
      <c r="C107" s="132"/>
    </row>
    <row r="108" spans="1:3" ht="15.75" customHeight="1">
      <c r="A108" s="131"/>
      <c r="C108" s="132"/>
    </row>
    <row r="109" spans="1:3" ht="15.75" customHeight="1">
      <c r="A109" s="131"/>
      <c r="C109" s="132"/>
    </row>
    <row r="110" spans="1:3" ht="15.75" customHeight="1">
      <c r="A110" s="131"/>
      <c r="C110" s="132"/>
    </row>
    <row r="111" spans="1:3" ht="15.75" customHeight="1">
      <c r="A111" s="131"/>
      <c r="C111" s="132"/>
    </row>
    <row r="112" spans="1:3" ht="15.75" customHeight="1">
      <c r="A112" s="131"/>
      <c r="C112" s="132"/>
    </row>
    <row r="113" spans="1:3" ht="15.75" customHeight="1">
      <c r="A113" s="131"/>
      <c r="C113" s="132"/>
    </row>
    <row r="114" spans="1:3" ht="15.75" customHeight="1">
      <c r="A114" s="131"/>
      <c r="C114" s="132"/>
    </row>
    <row r="115" spans="1:3" ht="15.75" customHeight="1">
      <c r="A115" s="131"/>
      <c r="C115" s="132"/>
    </row>
    <row r="116" spans="1:3" ht="15.75" customHeight="1">
      <c r="A116" s="131"/>
      <c r="C116" s="132"/>
    </row>
    <row r="117" spans="1:3" ht="15.75" customHeight="1">
      <c r="A117" s="131"/>
      <c r="C117" s="132"/>
    </row>
    <row r="118" spans="1:3" ht="15.75" customHeight="1">
      <c r="A118" s="131"/>
      <c r="C118" s="132"/>
    </row>
    <row r="119" spans="1:3" ht="15.75" customHeight="1">
      <c r="A119" s="131"/>
      <c r="C119" s="132"/>
    </row>
    <row r="120" spans="1:3" ht="15.75" customHeight="1">
      <c r="A120" s="131"/>
      <c r="C120" s="132"/>
    </row>
    <row r="121" spans="1:3" ht="15.75" customHeight="1">
      <c r="A121" s="131"/>
      <c r="C121" s="132"/>
    </row>
    <row r="122" spans="1:3" ht="15.75" customHeight="1">
      <c r="A122" s="131"/>
      <c r="C122" s="132"/>
    </row>
    <row r="123" spans="1:3" ht="15.75" customHeight="1">
      <c r="A123" s="131"/>
      <c r="C123" s="132"/>
    </row>
    <row r="124" spans="1:3" ht="15.75" customHeight="1">
      <c r="A124" s="131"/>
      <c r="C124" s="132"/>
    </row>
    <row r="125" spans="1:3" ht="15.75" customHeight="1">
      <c r="A125" s="131"/>
      <c r="C125" s="132"/>
    </row>
    <row r="126" spans="1:3" ht="15.75" customHeight="1">
      <c r="A126" s="131"/>
      <c r="C126" s="132"/>
    </row>
    <row r="127" spans="1:3" ht="15.75" customHeight="1">
      <c r="A127" s="131"/>
      <c r="C127" s="132"/>
    </row>
    <row r="128" spans="1:3" ht="15.75" customHeight="1">
      <c r="A128" s="131"/>
      <c r="C128" s="132"/>
    </row>
    <row r="129" spans="1:3" ht="15.75" customHeight="1">
      <c r="A129" s="131"/>
      <c r="C129" s="132"/>
    </row>
    <row r="130" spans="1:3" ht="15.75" customHeight="1">
      <c r="A130" s="131"/>
      <c r="C130" s="132"/>
    </row>
    <row r="131" spans="1:3" ht="15.75" customHeight="1">
      <c r="A131" s="131"/>
      <c r="C131" s="132"/>
    </row>
    <row r="132" spans="1:3" ht="15.75" customHeight="1">
      <c r="A132" s="131"/>
      <c r="C132" s="132"/>
    </row>
    <row r="133" spans="1:3" ht="15.75" customHeight="1">
      <c r="A133" s="131"/>
      <c r="C133" s="132"/>
    </row>
    <row r="134" spans="1:3" ht="15.75" customHeight="1">
      <c r="A134" s="131"/>
      <c r="C134" s="132"/>
    </row>
    <row r="135" spans="1:3" ht="15.75" customHeight="1">
      <c r="A135" s="131"/>
      <c r="C135" s="132"/>
    </row>
    <row r="136" spans="1:3" ht="15.75" customHeight="1">
      <c r="A136" s="131"/>
      <c r="C136" s="132"/>
    </row>
    <row r="137" spans="1:3" ht="15.75" customHeight="1">
      <c r="A137" s="131"/>
      <c r="C137" s="132"/>
    </row>
    <row r="138" spans="1:3" ht="15.75" customHeight="1">
      <c r="A138" s="131"/>
      <c r="C138" s="132"/>
    </row>
    <row r="139" spans="1:3" ht="15.75" customHeight="1">
      <c r="A139" s="131"/>
      <c r="C139" s="132"/>
    </row>
    <row r="140" spans="1:3" ht="15.75" customHeight="1">
      <c r="A140" s="131"/>
      <c r="C140" s="132"/>
    </row>
    <row r="141" spans="1:3" ht="15.75" customHeight="1">
      <c r="A141" s="131"/>
      <c r="C141" s="132"/>
    </row>
    <row r="142" spans="1:3" ht="15.75" customHeight="1">
      <c r="A142" s="131"/>
      <c r="C142" s="132"/>
    </row>
    <row r="143" spans="1:3" ht="15.75" customHeight="1">
      <c r="A143" s="131"/>
      <c r="C143" s="132"/>
    </row>
    <row r="144" spans="1:3" ht="15.75" customHeight="1">
      <c r="A144" s="131"/>
      <c r="C144" s="132"/>
    </row>
    <row r="145" spans="1:3" ht="15.75" customHeight="1">
      <c r="A145" s="131"/>
      <c r="C145" s="132"/>
    </row>
    <row r="146" spans="1:3" ht="15.75" customHeight="1">
      <c r="A146" s="131"/>
      <c r="C146" s="132"/>
    </row>
    <row r="147" spans="1:3" ht="15.75" customHeight="1">
      <c r="A147" s="131"/>
      <c r="C147" s="132"/>
    </row>
    <row r="148" spans="1:3" ht="15.75" customHeight="1">
      <c r="A148" s="131"/>
      <c r="C148" s="132"/>
    </row>
    <row r="149" spans="1:3" ht="15.75" customHeight="1">
      <c r="A149" s="131"/>
      <c r="C149" s="132"/>
    </row>
    <row r="150" spans="1:3" ht="15.75" customHeight="1">
      <c r="A150" s="131"/>
      <c r="C150" s="132"/>
    </row>
    <row r="151" spans="1:3" ht="15.75" customHeight="1">
      <c r="A151" s="131"/>
      <c r="C151" s="132"/>
    </row>
    <row r="152" spans="1:3" ht="15.75" customHeight="1">
      <c r="A152" s="131"/>
      <c r="C152" s="132"/>
    </row>
    <row r="153" spans="1:3" ht="15.75" customHeight="1">
      <c r="A153" s="131"/>
      <c r="C153" s="132"/>
    </row>
    <row r="154" spans="1:3" ht="15.75" customHeight="1">
      <c r="A154" s="131"/>
      <c r="C154" s="132"/>
    </row>
    <row r="155" spans="1:3" ht="15.75" customHeight="1">
      <c r="A155" s="131"/>
      <c r="C155" s="132"/>
    </row>
    <row r="156" spans="1:3" ht="15.75" customHeight="1">
      <c r="A156" s="131"/>
      <c r="C156" s="132"/>
    </row>
    <row r="157" spans="1:3" ht="15.75" customHeight="1">
      <c r="A157" s="131"/>
      <c r="C157" s="132"/>
    </row>
    <row r="158" spans="1:3" ht="15.75" customHeight="1">
      <c r="A158" s="131"/>
      <c r="C158" s="132"/>
    </row>
    <row r="159" spans="1:3" ht="15.75" customHeight="1">
      <c r="A159" s="131"/>
      <c r="C159" s="132"/>
    </row>
    <row r="160" spans="1:3" ht="15.75" customHeight="1">
      <c r="A160" s="131"/>
      <c r="C160" s="132"/>
    </row>
    <row r="161" spans="1:3" ht="15.75" customHeight="1">
      <c r="A161" s="131"/>
      <c r="C161" s="132"/>
    </row>
    <row r="162" spans="1:3" ht="15.75" customHeight="1">
      <c r="A162" s="131"/>
      <c r="C162" s="132"/>
    </row>
    <row r="163" spans="1:3" ht="15.75" customHeight="1">
      <c r="A163" s="131"/>
      <c r="C163" s="132"/>
    </row>
    <row r="164" spans="1:3" ht="15.75" customHeight="1">
      <c r="A164" s="131"/>
      <c r="C164" s="132"/>
    </row>
    <row r="165" spans="1:3" ht="15.75" customHeight="1">
      <c r="A165" s="131"/>
      <c r="C165" s="132"/>
    </row>
    <row r="166" spans="1:3" ht="15.75" customHeight="1">
      <c r="A166" s="131"/>
      <c r="C166" s="132"/>
    </row>
    <row r="167" spans="1:3" ht="15.75" customHeight="1">
      <c r="A167" s="131"/>
      <c r="C167" s="132"/>
    </row>
    <row r="168" spans="1:3" ht="15.75" customHeight="1">
      <c r="A168" s="131"/>
      <c r="C168" s="132"/>
    </row>
    <row r="169" spans="1:3" ht="15.75" customHeight="1">
      <c r="A169" s="131"/>
      <c r="C169" s="132"/>
    </row>
    <row r="170" spans="1:3" ht="15.75" customHeight="1">
      <c r="A170" s="131"/>
      <c r="C170" s="132"/>
    </row>
    <row r="171" spans="1:3" ht="15.75" customHeight="1">
      <c r="A171" s="131"/>
      <c r="C171" s="132"/>
    </row>
    <row r="172" spans="1:3" ht="15.75" customHeight="1">
      <c r="A172" s="131"/>
      <c r="C172" s="132"/>
    </row>
    <row r="173" spans="1:3" ht="15.75" customHeight="1">
      <c r="A173" s="131"/>
      <c r="C173" s="132"/>
    </row>
    <row r="174" spans="1:3" ht="15.75" customHeight="1">
      <c r="A174" s="131"/>
      <c r="C174" s="132"/>
    </row>
    <row r="175" spans="1:3" ht="15.75" customHeight="1">
      <c r="A175" s="131"/>
      <c r="C175" s="132"/>
    </row>
    <row r="176" spans="1:3" ht="15.75" customHeight="1">
      <c r="A176" s="131"/>
      <c r="C176" s="132"/>
    </row>
    <row r="177" spans="1:3" ht="15.75" customHeight="1">
      <c r="A177" s="131"/>
      <c r="C177" s="132"/>
    </row>
    <row r="178" spans="1:3" ht="15.75" customHeight="1">
      <c r="A178" s="131"/>
      <c r="C178" s="132"/>
    </row>
    <row r="179" spans="1:3" ht="15.75" customHeight="1">
      <c r="A179" s="131"/>
      <c r="C179" s="132"/>
    </row>
    <row r="180" spans="1:3" ht="15.75" customHeight="1">
      <c r="A180" s="131"/>
      <c r="C180" s="132"/>
    </row>
    <row r="181" spans="1:3" ht="15.75" customHeight="1">
      <c r="A181" s="131"/>
      <c r="C181" s="132"/>
    </row>
    <row r="182" spans="1:3" ht="15.75" customHeight="1">
      <c r="A182" s="131"/>
      <c r="C182" s="132"/>
    </row>
    <row r="183" spans="1:3" ht="15.75" customHeight="1">
      <c r="A183" s="131"/>
      <c r="C183" s="132"/>
    </row>
    <row r="184" spans="1:3" ht="15.75" customHeight="1">
      <c r="A184" s="131"/>
      <c r="C184" s="132"/>
    </row>
    <row r="185" spans="1:3" ht="15.75" customHeight="1">
      <c r="A185" s="131"/>
      <c r="C185" s="132"/>
    </row>
    <row r="186" spans="1:3" ht="15.75" customHeight="1">
      <c r="A186" s="131"/>
      <c r="C186" s="132"/>
    </row>
    <row r="187" spans="1:3" ht="15.75" customHeight="1">
      <c r="A187" s="131"/>
      <c r="C187" s="132"/>
    </row>
    <row r="188" spans="1:3" ht="15.75" customHeight="1">
      <c r="A188" s="131"/>
      <c r="C188" s="132"/>
    </row>
    <row r="189" spans="1:3" ht="15.75" customHeight="1">
      <c r="A189" s="131"/>
      <c r="C189" s="132"/>
    </row>
    <row r="190" spans="1:3" ht="15.75" customHeight="1">
      <c r="A190" s="131"/>
      <c r="C190" s="132"/>
    </row>
    <row r="191" spans="1:3" ht="15.75" customHeight="1">
      <c r="A191" s="131"/>
      <c r="C191" s="132"/>
    </row>
    <row r="192" spans="1:3" ht="15.75" customHeight="1">
      <c r="A192" s="131"/>
      <c r="C192" s="132"/>
    </row>
    <row r="193" spans="1:3" ht="15.75" customHeight="1">
      <c r="A193" s="131"/>
      <c r="C193" s="132"/>
    </row>
    <row r="194" spans="1:3" ht="15.75" customHeight="1">
      <c r="A194" s="131"/>
      <c r="C194" s="132"/>
    </row>
    <row r="195" spans="1:3" ht="15.75" customHeight="1">
      <c r="A195" s="131"/>
      <c r="C195" s="132"/>
    </row>
    <row r="196" spans="1:3" ht="15.75" customHeight="1">
      <c r="A196" s="131"/>
      <c r="C196" s="132"/>
    </row>
    <row r="197" spans="1:3" ht="15.75" customHeight="1">
      <c r="A197" s="131"/>
      <c r="C197" s="132"/>
    </row>
    <row r="198" spans="1:3" ht="15.75" customHeight="1">
      <c r="A198" s="131"/>
      <c r="C198" s="132"/>
    </row>
    <row r="199" spans="1:3" ht="15.75" customHeight="1">
      <c r="A199" s="131"/>
      <c r="C199" s="132"/>
    </row>
    <row r="200" spans="1:3" ht="15.75" customHeight="1">
      <c r="A200" s="131"/>
      <c r="C200" s="132"/>
    </row>
    <row r="201" spans="1:3" ht="15.75" customHeight="1">
      <c r="A201" s="131"/>
      <c r="C201" s="132"/>
    </row>
    <row r="202" spans="1:3" ht="15.75" customHeight="1">
      <c r="A202" s="131"/>
      <c r="C202" s="132"/>
    </row>
    <row r="203" spans="1:3" ht="15.75" customHeight="1">
      <c r="A203" s="131"/>
      <c r="C203" s="132"/>
    </row>
    <row r="204" spans="1:3" ht="15.75" customHeight="1">
      <c r="A204" s="131"/>
      <c r="C204" s="132"/>
    </row>
    <row r="205" spans="1:3" ht="15.75" customHeight="1">
      <c r="A205" s="131"/>
      <c r="C205" s="132"/>
    </row>
    <row r="206" spans="1:3" ht="15.75" customHeight="1">
      <c r="A206" s="131"/>
      <c r="C206" s="132"/>
    </row>
    <row r="207" spans="1:3" ht="15.75" customHeight="1">
      <c r="A207" s="131"/>
      <c r="C207" s="132"/>
    </row>
    <row r="208" spans="1:3" ht="15.75" customHeight="1">
      <c r="A208" s="131"/>
      <c r="C208" s="132"/>
    </row>
    <row r="209" spans="1:3" ht="15.75" customHeight="1">
      <c r="A209" s="131"/>
      <c r="C209" s="132"/>
    </row>
    <row r="210" spans="1:3" ht="15.75" customHeight="1">
      <c r="A210" s="131"/>
      <c r="C210" s="132"/>
    </row>
    <row r="211" spans="1:3" ht="15.75" customHeight="1">
      <c r="A211" s="131"/>
      <c r="C211" s="132"/>
    </row>
    <row r="212" spans="1:3" ht="15.75" customHeight="1">
      <c r="A212" s="131"/>
      <c r="C212" s="132"/>
    </row>
    <row r="213" spans="1:3" ht="15.75" customHeight="1">
      <c r="A213" s="131"/>
      <c r="C213" s="132"/>
    </row>
    <row r="214" spans="1:3" ht="15.75" customHeight="1">
      <c r="A214" s="131"/>
      <c r="C214" s="132"/>
    </row>
    <row r="215" spans="1:3" ht="15.75" customHeight="1">
      <c r="A215" s="131"/>
      <c r="C215" s="132"/>
    </row>
    <row r="216" spans="1:3" ht="15.75" customHeight="1">
      <c r="A216" s="131"/>
      <c r="C216" s="132"/>
    </row>
    <row r="217" spans="1:3" ht="15.75" customHeight="1">
      <c r="A217" s="131"/>
      <c r="C217" s="132"/>
    </row>
    <row r="218" spans="1:3" ht="15.75" customHeight="1">
      <c r="A218" s="131"/>
      <c r="C218" s="132"/>
    </row>
    <row r="219" spans="1:3" ht="15.75" customHeight="1">
      <c r="A219" s="131"/>
      <c r="C219" s="132"/>
    </row>
    <row r="220" spans="1:3" ht="15.75" customHeight="1">
      <c r="A220" s="131"/>
      <c r="C220" s="132"/>
    </row>
    <row r="221" spans="1:3" ht="15.75" customHeight="1">
      <c r="A221" s="131"/>
      <c r="C221" s="132"/>
    </row>
    <row r="222" spans="1:3" ht="15.75" customHeight="1">
      <c r="A222" s="131"/>
      <c r="C222" s="132"/>
    </row>
    <row r="223" spans="1:3" ht="15.75" customHeight="1">
      <c r="A223" s="131"/>
      <c r="C223" s="132"/>
    </row>
    <row r="224" spans="1:3" ht="15.75" customHeight="1">
      <c r="A224" s="131"/>
      <c r="C224" s="132"/>
    </row>
    <row r="225" spans="1:3" ht="15.75" customHeight="1">
      <c r="A225" s="131"/>
      <c r="C225" s="132"/>
    </row>
    <row r="226" spans="1:3" ht="15.75" customHeight="1">
      <c r="A226" s="131"/>
      <c r="C226" s="132"/>
    </row>
    <row r="227" spans="1:3" ht="15.75" customHeight="1">
      <c r="A227" s="131"/>
      <c r="C227" s="132"/>
    </row>
    <row r="228" spans="1:3" ht="15.75" customHeight="1">
      <c r="A228" s="131"/>
      <c r="C228" s="132"/>
    </row>
    <row r="229" spans="1:3" ht="15.75" customHeight="1">
      <c r="A229" s="131"/>
      <c r="C229" s="132"/>
    </row>
    <row r="230" spans="1:3" ht="15.75" customHeight="1">
      <c r="A230" s="131"/>
      <c r="C230" s="132"/>
    </row>
    <row r="231" spans="1:3" ht="15.75" customHeight="1">
      <c r="A231" s="131"/>
      <c r="C231" s="132"/>
    </row>
    <row r="232" spans="1:3" ht="15.75" customHeight="1">
      <c r="A232" s="131"/>
      <c r="C232" s="132"/>
    </row>
    <row r="233" spans="1:3" ht="15.75" customHeight="1">
      <c r="A233" s="131"/>
      <c r="C233" s="132"/>
    </row>
    <row r="234" spans="1:3" ht="15.75" customHeight="1">
      <c r="A234" s="131"/>
      <c r="C234" s="132"/>
    </row>
    <row r="235" spans="1:3" ht="15.75" customHeight="1">
      <c r="A235" s="131"/>
      <c r="C235" s="132"/>
    </row>
    <row r="236" spans="1:3" ht="15.75" customHeight="1">
      <c r="A236" s="131"/>
      <c r="C236" s="132"/>
    </row>
    <row r="237" spans="1:3" ht="15.75" customHeight="1">
      <c r="A237" s="131"/>
      <c r="C237" s="132"/>
    </row>
    <row r="238" spans="1:3" ht="15.75" customHeight="1">
      <c r="A238" s="131"/>
      <c r="C238" s="132"/>
    </row>
    <row r="239" spans="1:3" ht="15.75" customHeight="1">
      <c r="A239" s="131"/>
      <c r="C239" s="132"/>
    </row>
    <row r="240" spans="1:3" ht="15.75" customHeight="1">
      <c r="A240" s="131"/>
      <c r="C240" s="132"/>
    </row>
    <row r="241" spans="1:3" ht="15.75" customHeight="1">
      <c r="A241" s="131"/>
      <c r="C241" s="132"/>
    </row>
    <row r="242" spans="1:3" ht="15.75" customHeight="1">
      <c r="A242" s="131"/>
      <c r="C242" s="132"/>
    </row>
    <row r="243" spans="1:3" ht="15.75" customHeight="1">
      <c r="A243" s="131"/>
      <c r="C243" s="132"/>
    </row>
    <row r="244" spans="1:3" ht="15.75" customHeight="1">
      <c r="A244" s="131"/>
      <c r="C244" s="132"/>
    </row>
    <row r="245" spans="1:3" ht="15.75" customHeight="1">
      <c r="A245" s="131"/>
      <c r="C245" s="132"/>
    </row>
    <row r="246" spans="1:3" ht="15.75" customHeight="1">
      <c r="A246" s="131"/>
      <c r="C246" s="132"/>
    </row>
    <row r="247" spans="1:3" ht="15.75" customHeight="1">
      <c r="A247" s="131"/>
      <c r="C247" s="132"/>
    </row>
    <row r="248" spans="1:3" ht="15.75" customHeight="1">
      <c r="A248" s="131"/>
      <c r="C248" s="132"/>
    </row>
    <row r="249" spans="1:3" ht="15.75" customHeight="1">
      <c r="A249" s="131"/>
      <c r="C249" s="132"/>
    </row>
    <row r="250" spans="1:3" ht="15.75" customHeight="1">
      <c r="A250" s="131"/>
      <c r="C250" s="132"/>
    </row>
    <row r="251" spans="1:3" ht="15.75" customHeight="1">
      <c r="A251" s="131"/>
      <c r="C251" s="132"/>
    </row>
    <row r="252" spans="1:3" ht="15.75" customHeight="1">
      <c r="A252" s="131"/>
      <c r="C252" s="132"/>
    </row>
    <row r="253" spans="1:3" ht="15.75" customHeight="1">
      <c r="A253" s="131"/>
      <c r="C253" s="132"/>
    </row>
    <row r="254" spans="1:3" ht="15.75" customHeight="1">
      <c r="A254" s="131"/>
      <c r="C254" s="132"/>
    </row>
    <row r="255" spans="1:3" ht="15.75" customHeight="1">
      <c r="A255" s="131"/>
      <c r="C255" s="132"/>
    </row>
    <row r="256" spans="1:3" ht="15.75" customHeight="1">
      <c r="A256" s="131"/>
      <c r="C256" s="132"/>
    </row>
    <row r="257" spans="1:3" ht="15.75" customHeight="1">
      <c r="A257" s="131"/>
      <c r="C257" s="132"/>
    </row>
    <row r="258" spans="1:3" ht="15.75" customHeight="1">
      <c r="A258" s="131"/>
      <c r="C258" s="132"/>
    </row>
    <row r="259" spans="1:3" ht="15.75" customHeight="1">
      <c r="A259" s="131"/>
      <c r="C259" s="132"/>
    </row>
    <row r="260" spans="1:3" ht="15.75" customHeight="1">
      <c r="A260" s="131"/>
      <c r="C260" s="132"/>
    </row>
    <row r="261" spans="1:3" ht="15.75" customHeight="1">
      <c r="A261" s="131"/>
      <c r="C261" s="132"/>
    </row>
    <row r="262" spans="1:3" ht="15.75" customHeight="1">
      <c r="A262" s="131"/>
      <c r="C262" s="132"/>
    </row>
    <row r="263" spans="1:3" ht="15.75" customHeight="1">
      <c r="A263" s="131"/>
      <c r="C263" s="132"/>
    </row>
    <row r="264" spans="1:3" ht="15.75" customHeight="1">
      <c r="A264" s="131"/>
      <c r="C264" s="132"/>
    </row>
    <row r="265" spans="1:3" ht="15.75" customHeight="1">
      <c r="A265" s="131"/>
      <c r="C265" s="132"/>
    </row>
    <row r="266" spans="1:3" ht="15.75" customHeight="1">
      <c r="A266" s="131"/>
      <c r="C266" s="132"/>
    </row>
    <row r="267" spans="1:3" ht="15.75" customHeight="1">
      <c r="A267" s="131"/>
      <c r="C267" s="132"/>
    </row>
    <row r="268" spans="1:3" ht="15.75" customHeight="1">
      <c r="A268" s="131"/>
      <c r="C268" s="132"/>
    </row>
    <row r="269" spans="1:3" ht="15.75" customHeight="1">
      <c r="A269" s="131"/>
      <c r="C269" s="132"/>
    </row>
    <row r="270" spans="1:3" ht="15.75" customHeight="1">
      <c r="A270" s="131"/>
      <c r="C270" s="132"/>
    </row>
    <row r="271" spans="1:3" ht="15.75" customHeight="1">
      <c r="A271" s="131"/>
      <c r="C271" s="132"/>
    </row>
    <row r="272" spans="1:3" ht="15.75" customHeight="1">
      <c r="A272" s="131"/>
      <c r="C272" s="132"/>
    </row>
    <row r="273" spans="1:3" ht="15.75" customHeight="1">
      <c r="A273" s="131"/>
      <c r="C273" s="132"/>
    </row>
    <row r="274" spans="1:3" ht="15.75" customHeight="1">
      <c r="A274" s="131"/>
      <c r="C274" s="132"/>
    </row>
    <row r="275" spans="1:3" ht="15.75" customHeight="1">
      <c r="A275" s="131"/>
      <c r="C275" s="132"/>
    </row>
    <row r="276" spans="1:3" ht="15.75" customHeight="1">
      <c r="A276" s="131"/>
      <c r="C276" s="132"/>
    </row>
    <row r="277" spans="1:3" ht="15.75" customHeight="1">
      <c r="A277" s="131"/>
      <c r="C277" s="132"/>
    </row>
    <row r="278" spans="1:3" ht="15.75" customHeight="1">
      <c r="A278" s="131"/>
      <c r="C278" s="132"/>
    </row>
    <row r="279" spans="1:3" ht="15.75" customHeight="1">
      <c r="A279" s="131"/>
      <c r="C279" s="132"/>
    </row>
    <row r="280" spans="1:3" ht="15.75" customHeight="1">
      <c r="A280" s="131"/>
      <c r="C280" s="132"/>
    </row>
    <row r="281" spans="1:3" ht="15.75" customHeight="1">
      <c r="A281" s="131"/>
      <c r="C281" s="132"/>
    </row>
    <row r="282" spans="1:3" ht="15.75" customHeight="1">
      <c r="A282" s="131"/>
      <c r="C282" s="132"/>
    </row>
    <row r="283" spans="1:3" ht="15.75" customHeight="1">
      <c r="A283" s="131"/>
      <c r="C283" s="132"/>
    </row>
    <row r="284" spans="1:3" ht="15.75" customHeight="1">
      <c r="A284" s="131"/>
      <c r="C284" s="132"/>
    </row>
    <row r="285" spans="1:3" ht="15.75" customHeight="1">
      <c r="A285" s="131"/>
      <c r="C285" s="132"/>
    </row>
    <row r="286" spans="1:3" ht="15.75" customHeight="1">
      <c r="A286" s="131"/>
      <c r="C286" s="132"/>
    </row>
    <row r="287" spans="1:3" ht="15.75" customHeight="1">
      <c r="A287" s="131"/>
      <c r="C287" s="132"/>
    </row>
    <row r="288" spans="1:3" ht="15.75" customHeight="1">
      <c r="A288" s="131"/>
      <c r="C288" s="132"/>
    </row>
    <row r="289" spans="1:3" ht="15.75" customHeight="1">
      <c r="A289" s="131"/>
      <c r="C289" s="132"/>
    </row>
    <row r="290" spans="1:3" ht="15.75" customHeight="1">
      <c r="A290" s="131"/>
      <c r="C290" s="132"/>
    </row>
    <row r="291" spans="1:3" ht="15.75" customHeight="1">
      <c r="A291" s="131"/>
      <c r="C291" s="132"/>
    </row>
    <row r="292" spans="1:3" ht="15.75" customHeight="1">
      <c r="A292" s="131"/>
      <c r="C292" s="132"/>
    </row>
    <row r="293" spans="1:3" ht="15.75" customHeight="1">
      <c r="A293" s="131"/>
      <c r="C293" s="132"/>
    </row>
    <row r="294" spans="1:3" ht="15.75" customHeight="1">
      <c r="A294" s="131"/>
      <c r="C294" s="132"/>
    </row>
    <row r="295" spans="1:3" ht="15.75" customHeight="1">
      <c r="A295" s="131"/>
      <c r="C295" s="132"/>
    </row>
    <row r="296" spans="1:3" ht="15.75" customHeight="1">
      <c r="A296" s="131"/>
      <c r="C296" s="132"/>
    </row>
    <row r="297" spans="1:3" ht="15.75" customHeight="1">
      <c r="A297" s="131"/>
      <c r="C297" s="132"/>
    </row>
    <row r="298" spans="1:3" ht="15.75" customHeight="1">
      <c r="A298" s="131"/>
      <c r="C298" s="132"/>
    </row>
    <row r="299" spans="1:3" ht="15.75" customHeight="1">
      <c r="A299" s="131"/>
      <c r="C299" s="132"/>
    </row>
    <row r="300" spans="1:3" ht="15.75" customHeight="1">
      <c r="A300" s="131"/>
      <c r="C300" s="132"/>
    </row>
    <row r="301" spans="1:3" ht="15.75" customHeight="1">
      <c r="A301" s="131"/>
      <c r="C301" s="132"/>
    </row>
    <row r="302" spans="1:3" ht="15.75" customHeight="1">
      <c r="A302" s="131"/>
      <c r="C302" s="132"/>
    </row>
    <row r="303" spans="1:3" ht="15.75" customHeight="1">
      <c r="A303" s="131"/>
      <c r="C303" s="132"/>
    </row>
    <row r="304" spans="1:3" ht="15.75" customHeight="1">
      <c r="A304" s="131"/>
      <c r="C304" s="132"/>
    </row>
    <row r="305" spans="1:3" ht="15.75" customHeight="1">
      <c r="A305" s="131"/>
      <c r="C305" s="132"/>
    </row>
    <row r="306" spans="1:3" ht="15.75" customHeight="1">
      <c r="A306" s="131"/>
      <c r="C306" s="132"/>
    </row>
    <row r="307" spans="1:3" ht="15.75" customHeight="1">
      <c r="A307" s="131"/>
      <c r="C307" s="132"/>
    </row>
    <row r="308" spans="1:3" ht="15.75" customHeight="1">
      <c r="A308" s="131"/>
      <c r="C308" s="132"/>
    </row>
    <row r="309" spans="1:3" ht="15.75" customHeight="1">
      <c r="A309" s="131"/>
      <c r="C309" s="132"/>
    </row>
    <row r="310" spans="1:3" ht="15.75" customHeight="1">
      <c r="A310" s="131"/>
      <c r="C310" s="132"/>
    </row>
    <row r="311" spans="1:3" ht="15.75" customHeight="1">
      <c r="A311" s="131"/>
      <c r="C311" s="132"/>
    </row>
    <row r="312" spans="1:3" ht="15.75" customHeight="1">
      <c r="A312" s="131"/>
      <c r="C312" s="132"/>
    </row>
    <row r="313" spans="1:3" ht="15.75" customHeight="1">
      <c r="A313" s="131"/>
      <c r="C313" s="132"/>
    </row>
    <row r="314" spans="1:3" ht="15.75" customHeight="1">
      <c r="A314" s="131"/>
      <c r="C314" s="132"/>
    </row>
    <row r="315" spans="1:3" ht="15.75" customHeight="1">
      <c r="A315" s="131"/>
      <c r="C315" s="132"/>
    </row>
    <row r="316" spans="1:3" ht="15.75" customHeight="1">
      <c r="A316" s="131"/>
      <c r="C316" s="132"/>
    </row>
    <row r="317" spans="1:3" ht="15.75" customHeight="1">
      <c r="A317" s="131"/>
      <c r="C317" s="132"/>
    </row>
    <row r="318" spans="1:3" ht="15.75" customHeight="1">
      <c r="A318" s="131"/>
      <c r="C318" s="132"/>
    </row>
    <row r="319" spans="1:3" ht="15.75" customHeight="1">
      <c r="A319" s="131"/>
      <c r="C319" s="132"/>
    </row>
    <row r="320" spans="1:3" ht="15.75" customHeight="1">
      <c r="A320" s="131"/>
      <c r="C320" s="132"/>
    </row>
    <row r="321" spans="1:3" ht="15.75" customHeight="1">
      <c r="A321" s="131"/>
      <c r="C321" s="132"/>
    </row>
    <row r="322" spans="1:3" ht="15.75" customHeight="1">
      <c r="A322" s="131"/>
      <c r="C322" s="132"/>
    </row>
    <row r="323" spans="1:3" ht="15.75" customHeight="1">
      <c r="A323" s="131"/>
      <c r="C323" s="132"/>
    </row>
    <row r="324" spans="1:3" ht="15.75" customHeight="1">
      <c r="A324" s="131"/>
      <c r="C324" s="132"/>
    </row>
    <row r="325" spans="1:3" ht="15.75" customHeight="1">
      <c r="A325" s="131"/>
      <c r="C325" s="132"/>
    </row>
    <row r="326" spans="1:3" ht="15.75" customHeight="1">
      <c r="A326" s="131"/>
      <c r="C326" s="132"/>
    </row>
    <row r="327" spans="1:3" ht="15.75" customHeight="1">
      <c r="A327" s="131"/>
      <c r="C327" s="132"/>
    </row>
    <row r="328" spans="1:3" ht="15.75" customHeight="1">
      <c r="A328" s="131"/>
      <c r="C328" s="132"/>
    </row>
    <row r="329" spans="1:3" ht="15.75" customHeight="1">
      <c r="A329" s="131"/>
      <c r="C329" s="132"/>
    </row>
    <row r="330" spans="1:3" ht="15.75" customHeight="1">
      <c r="A330" s="131"/>
      <c r="C330" s="132"/>
    </row>
    <row r="331" spans="1:3" ht="15.75" customHeight="1">
      <c r="A331" s="131"/>
      <c r="C331" s="132"/>
    </row>
    <row r="332" spans="1:3" ht="15.75" customHeight="1">
      <c r="A332" s="131"/>
      <c r="C332" s="132"/>
    </row>
    <row r="333" spans="1:3" ht="15.75" customHeight="1">
      <c r="A333" s="131"/>
      <c r="C333" s="132"/>
    </row>
    <row r="334" spans="1:3" ht="15.75" customHeight="1">
      <c r="A334" s="131"/>
      <c r="C334" s="132"/>
    </row>
    <row r="335" spans="1:3" ht="15.75" customHeight="1">
      <c r="A335" s="131"/>
      <c r="C335" s="132"/>
    </row>
    <row r="336" spans="1:3" ht="15.75" customHeight="1">
      <c r="A336" s="131"/>
      <c r="C336" s="132"/>
    </row>
    <row r="337" spans="1:3" ht="15.75" customHeight="1">
      <c r="A337" s="131"/>
      <c r="C337" s="132"/>
    </row>
    <row r="338" spans="1:3" ht="15.75" customHeight="1">
      <c r="A338" s="131"/>
      <c r="C338" s="132"/>
    </row>
    <row r="339" spans="1:3" ht="15.75" customHeight="1">
      <c r="A339" s="131"/>
      <c r="C339" s="132"/>
    </row>
    <row r="340" spans="1:3" ht="15.75" customHeight="1">
      <c r="A340" s="131"/>
      <c r="C340" s="132"/>
    </row>
    <row r="341" spans="1:3" ht="15.75" customHeight="1">
      <c r="A341" s="131"/>
      <c r="C341" s="132"/>
    </row>
    <row r="342" spans="1:3" ht="15.75" customHeight="1">
      <c r="A342" s="131"/>
      <c r="C342" s="132"/>
    </row>
    <row r="343" spans="1:3" ht="15.75" customHeight="1">
      <c r="A343" s="131"/>
      <c r="C343" s="132"/>
    </row>
    <row r="344" spans="1:3" ht="15.75" customHeight="1">
      <c r="A344" s="131"/>
      <c r="C344" s="132"/>
    </row>
    <row r="345" spans="1:3" ht="15.75" customHeight="1">
      <c r="A345" s="131"/>
      <c r="C345" s="132"/>
    </row>
    <row r="346" spans="1:3" ht="15.75" customHeight="1">
      <c r="A346" s="131"/>
      <c r="C346" s="132"/>
    </row>
    <row r="347" spans="1:3" ht="15.75" customHeight="1">
      <c r="A347" s="131"/>
      <c r="C347" s="132"/>
    </row>
    <row r="348" spans="1:3" ht="15.75" customHeight="1">
      <c r="A348" s="131"/>
      <c r="C348" s="132"/>
    </row>
    <row r="349" spans="1:3" ht="15.75" customHeight="1">
      <c r="A349" s="131"/>
      <c r="C349" s="132"/>
    </row>
    <row r="350" spans="1:3" ht="15.75" customHeight="1">
      <c r="A350" s="131"/>
      <c r="C350" s="132"/>
    </row>
    <row r="351" spans="1:3" ht="15.75" customHeight="1">
      <c r="A351" s="131"/>
      <c r="C351" s="132"/>
    </row>
    <row r="352" spans="1:3" ht="15.75" customHeight="1">
      <c r="A352" s="131"/>
      <c r="C352" s="132"/>
    </row>
    <row r="353" spans="1:3" ht="15.75" customHeight="1">
      <c r="A353" s="131"/>
      <c r="C353" s="132"/>
    </row>
    <row r="354" spans="1:3" ht="15.75" customHeight="1">
      <c r="A354" s="131"/>
      <c r="C354" s="132"/>
    </row>
    <row r="355" spans="1:3" ht="15.75" customHeight="1">
      <c r="A355" s="131"/>
      <c r="C355" s="132"/>
    </row>
    <row r="356" spans="1:3" ht="15.75" customHeight="1">
      <c r="A356" s="131"/>
      <c r="C356" s="132"/>
    </row>
    <row r="357" spans="1:3" ht="15.75" customHeight="1">
      <c r="A357" s="131"/>
      <c r="C357" s="132"/>
    </row>
    <row r="358" spans="1:3" ht="15.75" customHeight="1">
      <c r="A358" s="131"/>
      <c r="C358" s="132"/>
    </row>
    <row r="359" spans="1:3" ht="15.75" customHeight="1">
      <c r="A359" s="131"/>
      <c r="C359" s="132"/>
    </row>
    <row r="360" spans="1:3" ht="15.75" customHeight="1">
      <c r="A360" s="131"/>
      <c r="C360" s="132"/>
    </row>
    <row r="361" spans="1:3" ht="15.75" customHeight="1">
      <c r="A361" s="131"/>
      <c r="C361" s="132"/>
    </row>
    <row r="362" spans="1:3" ht="15.75" customHeight="1">
      <c r="A362" s="131"/>
      <c r="C362" s="132"/>
    </row>
    <row r="363" spans="1:3" ht="15.75" customHeight="1">
      <c r="A363" s="131"/>
      <c r="C363" s="132"/>
    </row>
    <row r="364" spans="1:3" ht="15.75" customHeight="1">
      <c r="A364" s="131"/>
      <c r="C364" s="132"/>
    </row>
    <row r="365" spans="1:3" ht="15.75" customHeight="1">
      <c r="A365" s="131"/>
      <c r="C365" s="132"/>
    </row>
    <row r="366" spans="1:3" ht="15.75" customHeight="1">
      <c r="A366" s="131"/>
      <c r="C366" s="132"/>
    </row>
    <row r="367" spans="1:3" ht="15.75" customHeight="1">
      <c r="A367" s="131"/>
      <c r="C367" s="132"/>
    </row>
    <row r="368" spans="1:3" ht="15.75" customHeight="1">
      <c r="A368" s="131"/>
      <c r="C368" s="132"/>
    </row>
    <row r="369" spans="1:3" ht="15.75" customHeight="1">
      <c r="A369" s="131"/>
      <c r="C369" s="132"/>
    </row>
    <row r="370" spans="1:3" ht="15.75" customHeight="1">
      <c r="A370" s="131"/>
      <c r="C370" s="132"/>
    </row>
    <row r="371" spans="1:3" ht="15.75" customHeight="1">
      <c r="A371" s="131"/>
      <c r="C371" s="132"/>
    </row>
    <row r="372" spans="1:3" ht="15.75" customHeight="1">
      <c r="A372" s="131"/>
      <c r="C372" s="132"/>
    </row>
    <row r="373" spans="1:3" ht="15.75" customHeight="1">
      <c r="A373" s="131"/>
      <c r="C373" s="132"/>
    </row>
    <row r="374" spans="1:3" ht="15.75" customHeight="1">
      <c r="A374" s="131"/>
      <c r="C374" s="132"/>
    </row>
    <row r="375" spans="1:3" ht="15.75" customHeight="1">
      <c r="A375" s="131"/>
      <c r="C375" s="132"/>
    </row>
    <row r="376" spans="1:3" ht="15.75" customHeight="1">
      <c r="A376" s="131"/>
      <c r="C376" s="132"/>
    </row>
    <row r="377" spans="1:3" ht="15.75" customHeight="1">
      <c r="A377" s="131"/>
      <c r="C377" s="132"/>
    </row>
    <row r="378" spans="1:3" ht="15.75" customHeight="1">
      <c r="A378" s="131"/>
      <c r="C378" s="132"/>
    </row>
    <row r="379" spans="1:3" ht="15.75" customHeight="1">
      <c r="A379" s="131"/>
      <c r="C379" s="132"/>
    </row>
    <row r="380" spans="1:3" ht="15.75" customHeight="1">
      <c r="A380" s="131"/>
      <c r="C380" s="132"/>
    </row>
    <row r="381" spans="1:3" ht="15.75" customHeight="1">
      <c r="A381" s="131"/>
      <c r="C381" s="132"/>
    </row>
    <row r="382" spans="1:3" ht="15.75" customHeight="1">
      <c r="A382" s="131"/>
      <c r="C382" s="132"/>
    </row>
    <row r="383" spans="1:3" ht="15.75" customHeight="1">
      <c r="A383" s="131"/>
      <c r="C383" s="132"/>
    </row>
    <row r="384" spans="1:3" ht="15.75" customHeight="1">
      <c r="A384" s="131"/>
      <c r="C384" s="132"/>
    </row>
    <row r="385" spans="1:3" ht="15.75" customHeight="1">
      <c r="A385" s="131"/>
      <c r="C385" s="132"/>
    </row>
    <row r="386" spans="1:3" ht="15.75" customHeight="1">
      <c r="A386" s="131"/>
      <c r="C386" s="132"/>
    </row>
    <row r="387" spans="1:3" ht="15.75" customHeight="1">
      <c r="A387" s="131"/>
      <c r="C387" s="132"/>
    </row>
    <row r="388" spans="1:3" ht="15.75" customHeight="1">
      <c r="A388" s="131"/>
      <c r="C388" s="132"/>
    </row>
    <row r="389" spans="1:3" ht="15.75" customHeight="1">
      <c r="A389" s="131"/>
      <c r="C389" s="132"/>
    </row>
    <row r="390" spans="1:3" ht="15.75" customHeight="1">
      <c r="A390" s="131"/>
      <c r="C390" s="132"/>
    </row>
    <row r="391" spans="1:3" ht="15.75" customHeight="1">
      <c r="A391" s="131"/>
      <c r="C391" s="132"/>
    </row>
    <row r="392" spans="1:3" ht="15.75" customHeight="1">
      <c r="A392" s="131"/>
      <c r="C392" s="132"/>
    </row>
    <row r="393" spans="1:3" ht="15.75" customHeight="1">
      <c r="A393" s="131"/>
      <c r="C393" s="132"/>
    </row>
    <row r="394" spans="1:3" ht="15.75" customHeight="1">
      <c r="A394" s="131"/>
      <c r="C394" s="132"/>
    </row>
    <row r="395" spans="1:3" ht="15.75" customHeight="1">
      <c r="A395" s="131"/>
      <c r="C395" s="132"/>
    </row>
    <row r="396" spans="1:3" ht="15.75" customHeight="1">
      <c r="A396" s="131"/>
      <c r="C396" s="132"/>
    </row>
    <row r="397" spans="1:3" ht="15.75" customHeight="1">
      <c r="A397" s="131"/>
      <c r="C397" s="132"/>
    </row>
    <row r="398" spans="1:3" ht="15.75" customHeight="1">
      <c r="A398" s="131"/>
      <c r="C398" s="132"/>
    </row>
    <row r="399" spans="1:3" ht="15.75" customHeight="1">
      <c r="A399" s="131"/>
      <c r="C399" s="132"/>
    </row>
    <row r="400" spans="1:3" ht="15.75" customHeight="1">
      <c r="A400" s="131"/>
      <c r="C400" s="132"/>
    </row>
    <row r="401" spans="1:3" ht="15.75" customHeight="1">
      <c r="A401" s="131"/>
      <c r="C401" s="132"/>
    </row>
    <row r="402" spans="1:3" ht="15.75" customHeight="1">
      <c r="A402" s="131"/>
      <c r="C402" s="132"/>
    </row>
    <row r="403" spans="1:3" ht="15.75" customHeight="1">
      <c r="A403" s="131"/>
      <c r="C403" s="132"/>
    </row>
    <row r="404" spans="1:3" ht="15.75" customHeight="1">
      <c r="A404" s="131"/>
      <c r="C404" s="132"/>
    </row>
    <row r="405" spans="1:3" ht="15.75" customHeight="1">
      <c r="A405" s="131"/>
      <c r="C405" s="132"/>
    </row>
    <row r="406" spans="1:3" ht="15.75" customHeight="1">
      <c r="A406" s="131"/>
      <c r="C406" s="132"/>
    </row>
    <row r="407" spans="1:3" ht="15.75" customHeight="1">
      <c r="A407" s="131"/>
      <c r="C407" s="132"/>
    </row>
    <row r="408" spans="1:3" ht="15.75" customHeight="1">
      <c r="A408" s="131"/>
      <c r="C408" s="132"/>
    </row>
    <row r="409" spans="1:3" ht="15.75" customHeight="1">
      <c r="A409" s="131"/>
      <c r="C409" s="132"/>
    </row>
    <row r="410" spans="1:3" ht="15.75" customHeight="1">
      <c r="A410" s="131"/>
      <c r="C410" s="132"/>
    </row>
    <row r="411" spans="1:3" ht="15.75" customHeight="1">
      <c r="A411" s="131"/>
      <c r="C411" s="132"/>
    </row>
    <row r="412" spans="1:3" ht="15.75" customHeight="1">
      <c r="A412" s="131"/>
      <c r="C412" s="132"/>
    </row>
    <row r="413" spans="1:3" ht="15.75" customHeight="1">
      <c r="A413" s="131"/>
      <c r="C413" s="132"/>
    </row>
    <row r="414" spans="1:3" ht="15.75" customHeight="1">
      <c r="A414" s="131"/>
      <c r="C414" s="132"/>
    </row>
    <row r="415" spans="1:3" ht="15.75" customHeight="1">
      <c r="A415" s="131"/>
      <c r="C415" s="132"/>
    </row>
    <row r="416" spans="1:3" ht="15.75" customHeight="1">
      <c r="A416" s="131"/>
      <c r="C416" s="132"/>
    </row>
    <row r="417" spans="1:3" ht="15.75" customHeight="1">
      <c r="A417" s="131"/>
      <c r="C417" s="132"/>
    </row>
    <row r="418" spans="1:3" ht="15.75" customHeight="1">
      <c r="A418" s="131"/>
      <c r="C418" s="132"/>
    </row>
    <row r="419" spans="1:3" ht="15.75" customHeight="1">
      <c r="A419" s="131"/>
      <c r="C419" s="132"/>
    </row>
    <row r="420" spans="1:3" ht="15.75" customHeight="1">
      <c r="A420" s="131"/>
      <c r="C420" s="132"/>
    </row>
    <row r="421" spans="1:3" ht="15.75" customHeight="1">
      <c r="A421" s="131"/>
      <c r="C421" s="132"/>
    </row>
    <row r="422" spans="1:3" ht="15.75" customHeight="1">
      <c r="A422" s="131"/>
      <c r="C422" s="132"/>
    </row>
    <row r="423" spans="1:3" ht="15.75" customHeight="1">
      <c r="A423" s="131"/>
      <c r="C423" s="132"/>
    </row>
    <row r="424" spans="1:3" ht="15.75" customHeight="1">
      <c r="A424" s="131"/>
      <c r="C424" s="132"/>
    </row>
    <row r="425" spans="1:3" ht="15.75" customHeight="1">
      <c r="A425" s="131"/>
      <c r="C425" s="132"/>
    </row>
    <row r="426" spans="1:3" ht="15.75" customHeight="1">
      <c r="A426" s="131"/>
      <c r="C426" s="132"/>
    </row>
    <row r="427" spans="1:3" ht="15.75" customHeight="1">
      <c r="A427" s="131"/>
      <c r="C427" s="132"/>
    </row>
    <row r="428" spans="1:3" ht="15.75" customHeight="1">
      <c r="A428" s="131"/>
      <c r="C428" s="132"/>
    </row>
    <row r="429" spans="1:3" ht="15.75" customHeight="1">
      <c r="A429" s="131"/>
      <c r="C429" s="132"/>
    </row>
    <row r="430" spans="1:3" ht="15.75" customHeight="1">
      <c r="A430" s="131"/>
      <c r="C430" s="132"/>
    </row>
    <row r="431" spans="1:3" ht="15.75" customHeight="1">
      <c r="A431" s="131"/>
      <c r="C431" s="132"/>
    </row>
    <row r="432" spans="1:3" ht="15.75" customHeight="1">
      <c r="A432" s="131"/>
      <c r="C432" s="132"/>
    </row>
    <row r="433" spans="1:3" ht="15.75" customHeight="1">
      <c r="A433" s="131"/>
      <c r="C433" s="132"/>
    </row>
    <row r="434" spans="1:3" ht="15.75" customHeight="1">
      <c r="A434" s="131"/>
      <c r="C434" s="132"/>
    </row>
    <row r="435" spans="1:3" ht="15.75" customHeight="1">
      <c r="A435" s="131"/>
      <c r="C435" s="132"/>
    </row>
    <row r="436" spans="1:3" ht="15.75" customHeight="1">
      <c r="A436" s="131"/>
      <c r="C436" s="132"/>
    </row>
    <row r="437" spans="1:3" ht="15.75" customHeight="1">
      <c r="A437" s="131"/>
      <c r="C437" s="132"/>
    </row>
    <row r="438" spans="1:3" ht="15.75" customHeight="1">
      <c r="A438" s="131"/>
      <c r="C438" s="132"/>
    </row>
    <row r="439" spans="1:3" ht="15.75" customHeight="1">
      <c r="A439" s="131"/>
      <c r="C439" s="132"/>
    </row>
    <row r="440" spans="1:3" ht="15.75" customHeight="1">
      <c r="A440" s="131"/>
      <c r="C440" s="132"/>
    </row>
    <row r="441" spans="1:3" ht="15.75" customHeight="1">
      <c r="A441" s="131"/>
      <c r="C441" s="132"/>
    </row>
    <row r="442" spans="1:3" ht="15.75" customHeight="1">
      <c r="A442" s="131"/>
      <c r="C442" s="132"/>
    </row>
    <row r="443" spans="1:3" ht="15.75" customHeight="1">
      <c r="A443" s="131"/>
      <c r="C443" s="132"/>
    </row>
    <row r="444" spans="1:3" ht="15.75" customHeight="1">
      <c r="A444" s="131"/>
      <c r="C444" s="132"/>
    </row>
    <row r="445" spans="1:3" ht="15.75" customHeight="1">
      <c r="A445" s="131"/>
      <c r="C445" s="132"/>
    </row>
    <row r="446" spans="1:3" ht="15.75" customHeight="1">
      <c r="A446" s="131"/>
      <c r="C446" s="132"/>
    </row>
    <row r="447" spans="1:3" ht="15.75" customHeight="1">
      <c r="A447" s="131"/>
      <c r="C447" s="132"/>
    </row>
    <row r="448" spans="1:3" ht="15.75" customHeight="1">
      <c r="A448" s="131"/>
      <c r="C448" s="132"/>
    </row>
    <row r="449" spans="1:3" ht="15.75" customHeight="1">
      <c r="A449" s="131"/>
      <c r="C449" s="132"/>
    </row>
    <row r="450" spans="1:3" ht="15.75" customHeight="1">
      <c r="A450" s="131"/>
      <c r="C450" s="132"/>
    </row>
    <row r="451" spans="1:3" ht="15.75" customHeight="1">
      <c r="A451" s="131"/>
      <c r="C451" s="132"/>
    </row>
    <row r="452" spans="1:3" ht="15.75" customHeight="1">
      <c r="A452" s="131"/>
      <c r="C452" s="132"/>
    </row>
    <row r="453" spans="1:3" ht="15.75" customHeight="1">
      <c r="A453" s="131"/>
      <c r="C453" s="132"/>
    </row>
    <row r="454" spans="1:3" ht="15.75" customHeight="1">
      <c r="A454" s="131"/>
      <c r="C454" s="132"/>
    </row>
    <row r="455" spans="1:3" ht="15.75" customHeight="1">
      <c r="A455" s="131"/>
      <c r="C455" s="132"/>
    </row>
    <row r="456" spans="1:3" ht="15.75" customHeight="1">
      <c r="A456" s="131"/>
      <c r="C456" s="132"/>
    </row>
    <row r="457" spans="1:3" ht="15.75" customHeight="1">
      <c r="A457" s="131"/>
      <c r="C457" s="132"/>
    </row>
    <row r="458" spans="1:3" ht="15.75" customHeight="1">
      <c r="A458" s="131"/>
      <c r="C458" s="132"/>
    </row>
    <row r="459" spans="1:3" ht="15.75" customHeight="1">
      <c r="A459" s="131"/>
      <c r="C459" s="132"/>
    </row>
    <row r="460" spans="1:3" ht="15.75" customHeight="1">
      <c r="A460" s="131"/>
      <c r="C460" s="132"/>
    </row>
    <row r="461" spans="1:3" ht="15.75" customHeight="1">
      <c r="A461" s="131"/>
      <c r="C461" s="132"/>
    </row>
    <row r="462" spans="1:3" ht="15.75" customHeight="1">
      <c r="A462" s="131"/>
      <c r="C462" s="132"/>
    </row>
    <row r="463" spans="1:3" ht="15.75" customHeight="1">
      <c r="A463" s="131"/>
      <c r="C463" s="132"/>
    </row>
    <row r="464" spans="1:3" ht="15.75" customHeight="1">
      <c r="A464" s="131"/>
      <c r="C464" s="132"/>
    </row>
    <row r="465" spans="1:3" ht="15.75" customHeight="1">
      <c r="A465" s="131"/>
      <c r="C465" s="132"/>
    </row>
    <row r="466" spans="1:3" ht="15.75" customHeight="1">
      <c r="A466" s="131"/>
      <c r="C466" s="132"/>
    </row>
    <row r="467" spans="1:3" ht="15.75" customHeight="1">
      <c r="A467" s="131"/>
      <c r="C467" s="132"/>
    </row>
    <row r="468" spans="1:3" ht="15.75" customHeight="1">
      <c r="A468" s="131"/>
      <c r="C468" s="132"/>
    </row>
    <row r="469" spans="1:3" ht="15.75" customHeight="1">
      <c r="A469" s="131"/>
      <c r="C469" s="132"/>
    </row>
    <row r="470" spans="1:3" ht="15.75" customHeight="1">
      <c r="A470" s="131"/>
      <c r="C470" s="132"/>
    </row>
    <row r="471" spans="1:3" ht="15.75" customHeight="1">
      <c r="A471" s="131"/>
      <c r="C471" s="132"/>
    </row>
    <row r="472" spans="1:3" ht="15.75" customHeight="1">
      <c r="A472" s="131"/>
      <c r="C472" s="132"/>
    </row>
    <row r="473" spans="1:3" ht="15.75" customHeight="1">
      <c r="A473" s="131"/>
      <c r="C473" s="132"/>
    </row>
    <row r="474" spans="1:3" ht="15.75" customHeight="1">
      <c r="A474" s="131"/>
      <c r="C474" s="132"/>
    </row>
    <row r="475" spans="1:3" ht="15.75" customHeight="1">
      <c r="A475" s="131"/>
      <c r="C475" s="132"/>
    </row>
    <row r="476" spans="1:3" ht="15.75" customHeight="1">
      <c r="A476" s="131"/>
      <c r="C476" s="132"/>
    </row>
    <row r="477" spans="1:3" ht="15.75" customHeight="1">
      <c r="A477" s="131"/>
      <c r="C477" s="132"/>
    </row>
    <row r="478" spans="1:3" ht="15.75" customHeight="1">
      <c r="A478" s="131"/>
      <c r="C478" s="132"/>
    </row>
    <row r="479" spans="1:3" ht="15.75" customHeight="1">
      <c r="A479" s="131"/>
      <c r="C479" s="132"/>
    </row>
    <row r="480" spans="1:3" ht="15.75" customHeight="1">
      <c r="A480" s="131"/>
      <c r="C480" s="132"/>
    </row>
    <row r="481" spans="1:3" ht="15.75" customHeight="1">
      <c r="A481" s="131"/>
      <c r="C481" s="132"/>
    </row>
    <row r="482" spans="1:3" ht="15.75" customHeight="1">
      <c r="A482" s="131"/>
      <c r="C482" s="132"/>
    </row>
    <row r="483" spans="1:3" ht="15.75" customHeight="1">
      <c r="A483" s="131"/>
      <c r="C483" s="132"/>
    </row>
    <row r="484" spans="1:3" ht="15.75" customHeight="1">
      <c r="A484" s="131"/>
      <c r="C484" s="132"/>
    </row>
    <row r="485" spans="1:3" ht="15.75" customHeight="1">
      <c r="A485" s="131"/>
      <c r="C485" s="132"/>
    </row>
    <row r="486" spans="1:3" ht="15.75" customHeight="1">
      <c r="A486" s="131"/>
      <c r="C486" s="132"/>
    </row>
    <row r="487" spans="1:3" ht="15.75" customHeight="1">
      <c r="A487" s="131"/>
      <c r="C487" s="132"/>
    </row>
    <row r="488" spans="1:3" ht="15.75" customHeight="1">
      <c r="A488" s="131"/>
      <c r="C488" s="132"/>
    </row>
    <row r="489" spans="1:3" ht="15.75" customHeight="1">
      <c r="A489" s="131"/>
      <c r="C489" s="132"/>
    </row>
    <row r="490" spans="1:3" ht="15.75" customHeight="1">
      <c r="A490" s="131"/>
      <c r="C490" s="132"/>
    </row>
    <row r="491" spans="1:3" ht="15.75" customHeight="1">
      <c r="A491" s="131"/>
      <c r="C491" s="132"/>
    </row>
    <row r="492" spans="1:3" ht="15.75" customHeight="1">
      <c r="A492" s="131"/>
      <c r="C492" s="132"/>
    </row>
    <row r="493" spans="1:3" ht="15.75" customHeight="1">
      <c r="A493" s="131"/>
      <c r="C493" s="132"/>
    </row>
    <row r="494" spans="1:3" ht="15.75" customHeight="1">
      <c r="A494" s="131"/>
      <c r="C494" s="132"/>
    </row>
    <row r="495" spans="1:3" ht="15.75" customHeight="1">
      <c r="A495" s="131"/>
      <c r="C495" s="132"/>
    </row>
    <row r="496" spans="1:3" ht="15.75" customHeight="1">
      <c r="A496" s="131"/>
      <c r="C496" s="132"/>
    </row>
    <row r="497" spans="1:3" ht="15.75" customHeight="1">
      <c r="A497" s="131"/>
      <c r="C497" s="132"/>
    </row>
    <row r="498" spans="1:3" ht="15.75" customHeight="1">
      <c r="A498" s="131"/>
      <c r="C498" s="132"/>
    </row>
    <row r="499" spans="1:3" ht="15.75" customHeight="1">
      <c r="A499" s="131"/>
      <c r="C499" s="132"/>
    </row>
    <row r="500" spans="1:3" ht="15.75" customHeight="1">
      <c r="A500" s="131"/>
      <c r="C500" s="132"/>
    </row>
    <row r="501" spans="1:3" ht="15.75" customHeight="1">
      <c r="A501" s="131"/>
      <c r="C501" s="132"/>
    </row>
    <row r="502" spans="1:3" ht="15.75" customHeight="1">
      <c r="A502" s="131"/>
      <c r="C502" s="132"/>
    </row>
    <row r="503" spans="1:3" ht="15.75" customHeight="1">
      <c r="A503" s="131"/>
      <c r="C503" s="132"/>
    </row>
    <row r="504" spans="1:3" ht="15.75" customHeight="1">
      <c r="A504" s="131"/>
      <c r="C504" s="132"/>
    </row>
    <row r="505" spans="1:3" ht="15.75" customHeight="1">
      <c r="A505" s="131"/>
      <c r="C505" s="132"/>
    </row>
    <row r="506" spans="1:3" ht="15.75" customHeight="1">
      <c r="A506" s="131"/>
      <c r="C506" s="132"/>
    </row>
    <row r="507" spans="1:3" ht="15.75" customHeight="1">
      <c r="A507" s="131"/>
      <c r="C507" s="132"/>
    </row>
    <row r="508" spans="1:3" ht="15.75" customHeight="1">
      <c r="A508" s="131"/>
      <c r="C508" s="132"/>
    </row>
    <row r="509" spans="1:3" ht="15.75" customHeight="1">
      <c r="A509" s="131"/>
      <c r="C509" s="132"/>
    </row>
    <row r="510" spans="1:3" ht="15.75" customHeight="1">
      <c r="A510" s="131"/>
      <c r="C510" s="132"/>
    </row>
    <row r="511" spans="1:3" ht="15.75" customHeight="1">
      <c r="A511" s="131"/>
      <c r="C511" s="132"/>
    </row>
    <row r="512" spans="1:3" ht="15.75" customHeight="1">
      <c r="A512" s="131"/>
      <c r="C512" s="132"/>
    </row>
    <row r="513" spans="1:3" ht="15.75" customHeight="1">
      <c r="A513" s="131"/>
      <c r="C513" s="132"/>
    </row>
    <row r="514" spans="1:3" ht="15.75" customHeight="1">
      <c r="A514" s="131"/>
      <c r="C514" s="132"/>
    </row>
    <row r="515" spans="1:3" ht="15.75" customHeight="1">
      <c r="A515" s="131"/>
      <c r="C515" s="132"/>
    </row>
    <row r="516" spans="1:3" ht="15.75" customHeight="1">
      <c r="A516" s="131"/>
      <c r="C516" s="132"/>
    </row>
  </sheetData>
  <conditionalFormatting sqref="B2 Y2 X2:X3 E5:E6">
    <cfRule type="cellIs" dxfId="0" priority="1" operator="lessThan">
      <formula>0</formula>
    </cfRule>
  </conditionalFormatting>
  <hyperlinks>
    <hyperlink ref="B21" r:id="rId1" xr:uid="{00000000-0004-0000-0F00-000000000000}"/>
  </hyperlinks>
  <pageMargins left="0.7" right="0.7" top="0.78740157499999996" bottom="0.78740157499999996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BSO999929 xmlns="http://www.datev.de/BSOffice/999929">06faa91c-7a03-475c-b77b-f79333282532</BSO999929>
</file>

<file path=customXml/item2.xml>�� 
</file>

<file path=customXml/itemProps1.xml><?xml version="1.0" encoding="utf-8"?>
<ds:datastoreItem xmlns:ds="http://schemas.openxmlformats.org/officeDocument/2006/customXml" ds:itemID="{7BABCD97-027F-49A6-8628-32F1DD53C647}">
  <ds:schemaRefs>
    <ds:schemaRef ds:uri="http://www.datev.de/BSOffice/999929"/>
  </ds:schemaRefs>
</ds:datastoreItem>
</file>

<file path=customXml/itemProps2.xml><?xml version="1.0" encoding="utf-8"?>
<ds:datastoreItem xmlns:ds="http://schemas.openxmlformats.org/officeDocument/2006/customXml" ds:itemID="{AD813C77-C8DA-4D64-9B47-6AC462FD3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4</vt:i4>
      </vt:variant>
    </vt:vector>
  </HeadingPairs>
  <TitlesOfParts>
    <vt:vector size="24" baseType="lpstr">
      <vt:lpstr>2018</vt:lpstr>
      <vt:lpstr>2020</vt:lpstr>
      <vt:lpstr>Zusammenfassung</vt:lpstr>
      <vt:lpstr>SARS</vt:lpstr>
      <vt:lpstr>Einnahmen Ausgaben</vt:lpstr>
      <vt:lpstr>ImportSheet</vt:lpstr>
      <vt:lpstr>DE 2025</vt:lpstr>
      <vt:lpstr>UK 24_25</vt:lpstr>
      <vt:lpstr>DE 2024</vt:lpstr>
      <vt:lpstr>DE 2023</vt:lpstr>
      <vt:lpstr>UK 23_24</vt:lpstr>
      <vt:lpstr>Kopie von Zusammenfassung 1</vt:lpstr>
      <vt:lpstr>UK 2021</vt:lpstr>
      <vt:lpstr>UK 2022</vt:lpstr>
      <vt:lpstr>Day Counter</vt:lpstr>
      <vt:lpstr>Flights</vt:lpstr>
      <vt:lpstr>Conversion rates</vt:lpstr>
      <vt:lpstr>Invoices</vt:lpstr>
      <vt:lpstr>Korec invoices</vt:lpstr>
      <vt:lpstr>Kopie von Zusammenfassung</vt:lpstr>
      <vt:lpstr>PndEur2</vt:lpstr>
      <vt:lpstr>PndEur3</vt:lpstr>
      <vt:lpstr>PndEur4</vt:lpstr>
      <vt:lpstr>PndEur5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Julian Gray</cp:lastModifiedBy>
  <dcterms:created xsi:type="dcterms:W3CDTF">2025-10-21T09:09:24Z</dcterms:created>
  <dcterms:modified xsi:type="dcterms:W3CDTF">2026-02-19T13:16:32Z</dcterms:modified>
</cp:coreProperties>
</file>